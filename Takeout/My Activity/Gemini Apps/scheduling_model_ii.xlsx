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 codeName="{1563B04E-AB91-75FE-B8BC-B18F01832D57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ngw\Desktop\"/>
    </mc:Choice>
  </mc:AlternateContent>
  <bookViews>
    <workbookView xWindow="120" yWindow="45" windowWidth="19320" windowHeight="11505" activeTab="1"/>
  </bookViews>
  <sheets>
    <sheet name="REQ'S" sheetId="7" r:id="rId1"/>
    <sheet name="SUMMARY" sheetId="5" r:id="rId2"/>
    <sheet name="SCHEDULES" sheetId="2" r:id="rId3"/>
    <sheet name="ORISCHE" sheetId="6" r:id="rId4"/>
    <sheet name="NEWSCHEDULES" sheetId="4" r:id="rId5"/>
    <sheet name="NCC" sheetId="1" r:id="rId6"/>
  </sheets>
  <definedNames>
    <definedName name="_xlnm.Print_Area" localSheetId="5">NCC!$A$1:$CZ$44</definedName>
    <definedName name="_xlnm.Print_Area" localSheetId="1">SUMMARY!$A$1:$BF$83</definedName>
  </definedNames>
  <calcPr calcId="171027"/>
</workbook>
</file>

<file path=xl/calcChain.xml><?xml version="1.0" encoding="utf-8"?>
<calcChain xmlns="http://schemas.openxmlformats.org/spreadsheetml/2006/main">
  <c r="S59" i="5" l="1"/>
  <c r="T59" i="5"/>
  <c r="P58" i="5"/>
  <c r="Q58" i="5"/>
  <c r="P59" i="5"/>
  <c r="Q59" i="5"/>
  <c r="P55" i="5"/>
  <c r="P56" i="5"/>
  <c r="T55" i="5"/>
  <c r="T56" i="5"/>
  <c r="Q52" i="5"/>
  <c r="Y35" i="7"/>
  <c r="X35" i="7"/>
  <c r="W35" i="7"/>
  <c r="V35" i="7"/>
  <c r="U35" i="7"/>
  <c r="Y34" i="7"/>
  <c r="X34" i="7"/>
  <c r="W34" i="7"/>
  <c r="V34" i="7"/>
  <c r="U34" i="7"/>
  <c r="Y33" i="7"/>
  <c r="X33" i="7"/>
  <c r="W33" i="7"/>
  <c r="V33" i="7"/>
  <c r="U33" i="7"/>
  <c r="Y32" i="7"/>
  <c r="X32" i="7"/>
  <c r="W32" i="7"/>
  <c r="V32" i="7"/>
  <c r="U32" i="7"/>
  <c r="Y31" i="7"/>
  <c r="X31" i="7"/>
  <c r="W31" i="7"/>
  <c r="V31" i="7"/>
  <c r="U31" i="7"/>
  <c r="Y30" i="7"/>
  <c r="X30" i="7"/>
  <c r="W30" i="7"/>
  <c r="V30" i="7"/>
  <c r="U30" i="7"/>
  <c r="Y29" i="7"/>
  <c r="X29" i="7"/>
  <c r="W29" i="7"/>
  <c r="V29" i="7"/>
  <c r="U29" i="7"/>
  <c r="Y28" i="7"/>
  <c r="X28" i="7"/>
  <c r="W28" i="7"/>
  <c r="V28" i="7"/>
  <c r="U28" i="7"/>
  <c r="Y27" i="7"/>
  <c r="X27" i="7"/>
  <c r="W27" i="7"/>
  <c r="V27" i="7"/>
  <c r="U27" i="7"/>
  <c r="Y26" i="7"/>
  <c r="X26" i="7"/>
  <c r="W26" i="7"/>
  <c r="V26" i="7"/>
  <c r="U26" i="7"/>
  <c r="AA25" i="7"/>
  <c r="Z25" i="7"/>
  <c r="Y25" i="7"/>
  <c r="X25" i="7"/>
  <c r="W25" i="7"/>
  <c r="V25" i="7"/>
  <c r="U25" i="7"/>
  <c r="AA24" i="7"/>
  <c r="Z24" i="7"/>
  <c r="Y24" i="7"/>
  <c r="X24" i="7"/>
  <c r="W24" i="7"/>
  <c r="V24" i="7"/>
  <c r="U24" i="7"/>
  <c r="AA23" i="7"/>
  <c r="Z23" i="7"/>
  <c r="Y23" i="7"/>
  <c r="X23" i="7"/>
  <c r="W23" i="7"/>
  <c r="V23" i="7"/>
  <c r="U23" i="7"/>
  <c r="AA22" i="7"/>
  <c r="Z22" i="7"/>
  <c r="Y22" i="7"/>
  <c r="X22" i="7"/>
  <c r="W22" i="7"/>
  <c r="V22" i="7"/>
  <c r="U22" i="7"/>
  <c r="AA21" i="7"/>
  <c r="Z21" i="7"/>
  <c r="Y21" i="7"/>
  <c r="X21" i="7"/>
  <c r="W21" i="7"/>
  <c r="V21" i="7"/>
  <c r="U21" i="7"/>
  <c r="AA20" i="7"/>
  <c r="Z20" i="7"/>
  <c r="Y20" i="7"/>
  <c r="X20" i="7"/>
  <c r="W20" i="7"/>
  <c r="V20" i="7"/>
  <c r="U20" i="7"/>
  <c r="AA19" i="7"/>
  <c r="Z19" i="7"/>
  <c r="Y19" i="7"/>
  <c r="X19" i="7"/>
  <c r="W19" i="7"/>
  <c r="V19" i="7"/>
  <c r="U19" i="7"/>
  <c r="AA18" i="7"/>
  <c r="Z18" i="7"/>
  <c r="Y18" i="7"/>
  <c r="X18" i="7"/>
  <c r="W18" i="7"/>
  <c r="V18" i="7"/>
  <c r="U18" i="7"/>
  <c r="AA17" i="7"/>
  <c r="Z17" i="7"/>
  <c r="Y17" i="7"/>
  <c r="X17" i="7"/>
  <c r="W17" i="7"/>
  <c r="V17" i="7"/>
  <c r="U17" i="7"/>
  <c r="AA16" i="7"/>
  <c r="Z16" i="7"/>
  <c r="Y16" i="7"/>
  <c r="X16" i="7"/>
  <c r="W16" i="7"/>
  <c r="V16" i="7"/>
  <c r="U16" i="7"/>
  <c r="AA15" i="7"/>
  <c r="Z15" i="7"/>
  <c r="Y15" i="7"/>
  <c r="X15" i="7"/>
  <c r="W15" i="7"/>
  <c r="V15" i="7"/>
  <c r="U15" i="7"/>
  <c r="AA14" i="7"/>
  <c r="Z14" i="7"/>
  <c r="Y14" i="7"/>
  <c r="X14" i="7"/>
  <c r="W14" i="7"/>
  <c r="V14" i="7"/>
  <c r="U14" i="7"/>
  <c r="AA13" i="7"/>
  <c r="Z13" i="7"/>
  <c r="Y13" i="7"/>
  <c r="X13" i="7"/>
  <c r="W13" i="7"/>
  <c r="V13" i="7"/>
  <c r="U13" i="7"/>
  <c r="AA12" i="7"/>
  <c r="Z12" i="7"/>
  <c r="Y12" i="7"/>
  <c r="X12" i="7"/>
  <c r="W12" i="7"/>
  <c r="V12" i="7"/>
  <c r="U12" i="7"/>
  <c r="AA11" i="7"/>
  <c r="Z11" i="7"/>
  <c r="Y11" i="7"/>
  <c r="X11" i="7"/>
  <c r="W11" i="7"/>
  <c r="V11" i="7"/>
  <c r="U11" i="7"/>
  <c r="AA10" i="7"/>
  <c r="Z10" i="7"/>
  <c r="Y10" i="7"/>
  <c r="X10" i="7"/>
  <c r="W10" i="7"/>
  <c r="V10" i="7"/>
  <c r="U10" i="7"/>
  <c r="AA9" i="7"/>
  <c r="Z9" i="7"/>
  <c r="Y9" i="7"/>
  <c r="X9" i="7"/>
  <c r="W9" i="7"/>
  <c r="V9" i="7"/>
  <c r="U9" i="7"/>
  <c r="AA8" i="7"/>
  <c r="AA37" i="7"/>
  <c r="Z8" i="7"/>
  <c r="Y8" i="7"/>
  <c r="X8" i="7"/>
  <c r="W8" i="7"/>
  <c r="W5" i="7"/>
  <c r="V8" i="7"/>
  <c r="U8" i="7"/>
  <c r="Y7" i="7"/>
  <c r="X7" i="7"/>
  <c r="W7" i="7"/>
  <c r="V7" i="7"/>
  <c r="U7" i="7"/>
  <c r="Y6" i="7"/>
  <c r="X6" i="7"/>
  <c r="W6" i="7"/>
  <c r="V6" i="7"/>
  <c r="U6" i="7"/>
  <c r="S37" i="7"/>
  <c r="R37" i="7"/>
  <c r="Q37" i="7"/>
  <c r="P37" i="7"/>
  <c r="O37" i="7"/>
  <c r="N37" i="7"/>
  <c r="M37" i="7"/>
  <c r="S5" i="7"/>
  <c r="R5" i="7"/>
  <c r="Q5" i="7"/>
  <c r="P5" i="7"/>
  <c r="O5" i="7"/>
  <c r="N5" i="7"/>
  <c r="M5" i="7"/>
  <c r="K37" i="7"/>
  <c r="J37" i="7"/>
  <c r="I37" i="7"/>
  <c r="H37" i="7"/>
  <c r="G37" i="7"/>
  <c r="F37" i="7"/>
  <c r="E37" i="7"/>
  <c r="K5" i="7"/>
  <c r="J5" i="7"/>
  <c r="I5" i="7"/>
  <c r="H5" i="7"/>
  <c r="G5" i="7"/>
  <c r="F5" i="7"/>
  <c r="E5" i="7"/>
  <c r="AB20" i="5"/>
  <c r="G228" i="2"/>
  <c r="H228" i="2" s="1"/>
  <c r="F224" i="2"/>
  <c r="H224" i="2" s="1"/>
  <c r="F175" i="2"/>
  <c r="F176" i="2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M252" i="4"/>
  <c r="N252" i="4" s="1"/>
  <c r="G259" i="4"/>
  <c r="G260" i="4"/>
  <c r="G261" i="4"/>
  <c r="G262" i="4"/>
  <c r="G263" i="4"/>
  <c r="G264" i="4"/>
  <c r="H264" i="4" s="1"/>
  <c r="G265" i="4"/>
  <c r="G266" i="4"/>
  <c r="G267" i="4"/>
  <c r="G268" i="4"/>
  <c r="G269" i="4"/>
  <c r="H269" i="4" s="1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G257" i="4"/>
  <c r="AG258" i="4"/>
  <c r="AG259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M253" i="4"/>
  <c r="N253" i="4" s="1"/>
  <c r="F259" i="4"/>
  <c r="F260" i="4"/>
  <c r="F261" i="4"/>
  <c r="H261" i="4" s="1"/>
  <c r="F262" i="4"/>
  <c r="F263" i="4"/>
  <c r="F264" i="4"/>
  <c r="F265" i="4"/>
  <c r="H265" i="4" s="1"/>
  <c r="AF257" i="4"/>
  <c r="AF258" i="4"/>
  <c r="E260" i="4"/>
  <c r="AE260" i="4" s="1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E257" i="4"/>
  <c r="AE258" i="4"/>
  <c r="E259" i="4"/>
  <c r="AD259" i="4" s="1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D257" i="4"/>
  <c r="AD258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C257" i="4"/>
  <c r="AC258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B257" i="4"/>
  <c r="AB258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A257" i="4"/>
  <c r="AA258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Z257" i="4"/>
  <c r="Z258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Y257" i="4"/>
  <c r="Y258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X257" i="4"/>
  <c r="X258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W257" i="4"/>
  <c r="W258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V257" i="4"/>
  <c r="V258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U257" i="4"/>
  <c r="U258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T257" i="4"/>
  <c r="T258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S257" i="4"/>
  <c r="S258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R257" i="4"/>
  <c r="R258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Q257" i="4"/>
  <c r="Q258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O257" i="4"/>
  <c r="O258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M257" i="4"/>
  <c r="M258" i="4"/>
  <c r="M259" i="4"/>
  <c r="M260" i="4"/>
  <c r="M255" i="4" s="1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M211" i="4"/>
  <c r="N211" i="4"/>
  <c r="G218" i="4"/>
  <c r="G219" i="4"/>
  <c r="G220" i="4"/>
  <c r="G221" i="4"/>
  <c r="G222" i="4"/>
  <c r="G223" i="4"/>
  <c r="G224" i="4"/>
  <c r="G225" i="4"/>
  <c r="G226" i="4"/>
  <c r="G227" i="4"/>
  <c r="G228" i="4"/>
  <c r="H228" i="4" s="1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G216" i="4"/>
  <c r="AG217" i="4"/>
  <c r="AG218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M212" i="4"/>
  <c r="N212" i="4" s="1"/>
  <c r="O212" i="4" s="1"/>
  <c r="F218" i="4"/>
  <c r="F219" i="4"/>
  <c r="F220" i="4"/>
  <c r="F221" i="4"/>
  <c r="F222" i="4"/>
  <c r="F223" i="4"/>
  <c r="H223" i="4"/>
  <c r="F224" i="4"/>
  <c r="H224" i="4" s="1"/>
  <c r="AF216" i="4"/>
  <c r="AF217" i="4"/>
  <c r="E219" i="4"/>
  <c r="X219" i="4" s="1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E216" i="4"/>
  <c r="AE217" i="4"/>
  <c r="E218" i="4"/>
  <c r="AC218" i="4" s="1"/>
  <c r="T218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D216" i="4"/>
  <c r="AD217" i="4"/>
  <c r="AD218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C216" i="4"/>
  <c r="AC217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B216" i="4"/>
  <c r="AB217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A216" i="4"/>
  <c r="AA217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Z216" i="4"/>
  <c r="Z217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Y216" i="4"/>
  <c r="Y217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X216" i="4"/>
  <c r="X217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W216" i="4"/>
  <c r="W217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V216" i="4"/>
  <c r="V217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U216" i="4"/>
  <c r="U217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T216" i="4"/>
  <c r="T217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S216" i="4"/>
  <c r="S217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R216" i="4"/>
  <c r="R217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Q216" i="4"/>
  <c r="Q217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P216" i="4"/>
  <c r="P217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O216" i="4"/>
  <c r="O217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F265" i="2"/>
  <c r="F264" i="2"/>
  <c r="F263" i="2"/>
  <c r="F262" i="2"/>
  <c r="F261" i="2"/>
  <c r="F260" i="2"/>
  <c r="F259" i="2"/>
  <c r="F223" i="2"/>
  <c r="F222" i="2"/>
  <c r="H222" i="2" s="1"/>
  <c r="F221" i="2"/>
  <c r="F220" i="2"/>
  <c r="F219" i="2"/>
  <c r="F218" i="2"/>
  <c r="M212" i="2"/>
  <c r="N212" i="2"/>
  <c r="M253" i="2"/>
  <c r="N253" i="2"/>
  <c r="O253" i="2" s="1"/>
  <c r="P253" i="2" s="1"/>
  <c r="Q253" i="2" s="1"/>
  <c r="M252" i="2"/>
  <c r="N252" i="2" s="1"/>
  <c r="G259" i="2"/>
  <c r="G260" i="2"/>
  <c r="G261" i="2"/>
  <c r="G262" i="2"/>
  <c r="G263" i="2"/>
  <c r="G264" i="2"/>
  <c r="G265" i="2"/>
  <c r="G227" i="2"/>
  <c r="G226" i="2"/>
  <c r="G225" i="2"/>
  <c r="G224" i="2"/>
  <c r="G223" i="2"/>
  <c r="G222" i="2"/>
  <c r="G221" i="2"/>
  <c r="G220" i="2"/>
  <c r="G219" i="2"/>
  <c r="G218" i="2"/>
  <c r="G269" i="2"/>
  <c r="G268" i="2"/>
  <c r="G267" i="2"/>
  <c r="G266" i="2"/>
  <c r="AP257" i="6"/>
  <c r="AP258" i="6"/>
  <c r="AP259" i="6"/>
  <c r="AP260" i="6"/>
  <c r="AP261" i="6"/>
  <c r="AP262" i="6"/>
  <c r="AP263" i="6"/>
  <c r="AP264" i="6"/>
  <c r="AP265" i="6"/>
  <c r="AP266" i="6"/>
  <c r="AP267" i="6"/>
  <c r="AP268" i="6"/>
  <c r="E269" i="6"/>
  <c r="AF269" i="6" s="1"/>
  <c r="AN269" i="6"/>
  <c r="E270" i="6"/>
  <c r="AN270" i="6"/>
  <c r="AP256" i="6"/>
  <c r="AP216" i="6"/>
  <c r="AP217" i="6"/>
  <c r="AP218" i="6"/>
  <c r="AP219" i="6"/>
  <c r="AP220" i="6"/>
  <c r="AP221" i="6"/>
  <c r="AP222" i="6"/>
  <c r="AP223" i="6"/>
  <c r="AP224" i="6"/>
  <c r="AP225" i="6"/>
  <c r="AP226" i="6"/>
  <c r="AP227" i="6"/>
  <c r="E228" i="6"/>
  <c r="E229" i="6"/>
  <c r="AN229" i="6" s="1"/>
  <c r="AP215" i="6"/>
  <c r="AP175" i="6"/>
  <c r="AP176" i="6"/>
  <c r="AP177" i="6"/>
  <c r="AP178" i="6"/>
  <c r="AP179" i="6"/>
  <c r="AP180" i="6"/>
  <c r="AP181" i="6"/>
  <c r="AP182" i="6"/>
  <c r="AP183" i="6"/>
  <c r="AP184" i="6"/>
  <c r="AP185" i="6"/>
  <c r="AP186" i="6"/>
  <c r="T19" i="5"/>
  <c r="E188" i="6"/>
  <c r="AM188" i="6" s="1"/>
  <c r="AP174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S19" i="5"/>
  <c r="E147" i="6" s="1"/>
  <c r="AP133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R19" i="5"/>
  <c r="E106" i="6"/>
  <c r="AC106" i="6" s="1"/>
  <c r="AP92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Q19" i="5"/>
  <c r="E64" i="6" s="1"/>
  <c r="AG64" i="6" s="1"/>
  <c r="AP50" i="6"/>
  <c r="AP9" i="6"/>
  <c r="AP10" i="6"/>
  <c r="AP11" i="6"/>
  <c r="AP12" i="6"/>
  <c r="AP13" i="6"/>
  <c r="AP14" i="6"/>
  <c r="AP15" i="6"/>
  <c r="AP16" i="6"/>
  <c r="AP17" i="6"/>
  <c r="AP18" i="6"/>
  <c r="AP19" i="6"/>
  <c r="AO257" i="6"/>
  <c r="AO258" i="6"/>
  <c r="AO259" i="6"/>
  <c r="AO260" i="6"/>
  <c r="AO261" i="6"/>
  <c r="AO262" i="6"/>
  <c r="AO263" i="6"/>
  <c r="AO264" i="6"/>
  <c r="AO265" i="6"/>
  <c r="AO266" i="6"/>
  <c r="AO267" i="6"/>
  <c r="E268" i="6"/>
  <c r="AO269" i="6"/>
  <c r="AO256" i="6"/>
  <c r="AO216" i="6"/>
  <c r="AO217" i="6"/>
  <c r="AO218" i="6"/>
  <c r="AO219" i="6"/>
  <c r="AO220" i="6"/>
  <c r="AO221" i="6"/>
  <c r="AO222" i="6"/>
  <c r="AO223" i="6"/>
  <c r="AO224" i="6"/>
  <c r="AO225" i="6"/>
  <c r="AO226" i="6"/>
  <c r="E227" i="6"/>
  <c r="AO227" i="6"/>
  <c r="AO215" i="6"/>
  <c r="AO175" i="6"/>
  <c r="AO176" i="6"/>
  <c r="AO177" i="6"/>
  <c r="AO178" i="6"/>
  <c r="AO179" i="6"/>
  <c r="AO180" i="6"/>
  <c r="AO181" i="6"/>
  <c r="AO182" i="6"/>
  <c r="AO183" i="6"/>
  <c r="AO184" i="6"/>
  <c r="AO185" i="6"/>
  <c r="E187" i="6"/>
  <c r="AO174" i="6"/>
  <c r="AO134" i="6"/>
  <c r="AO135" i="6"/>
  <c r="AO136" i="6"/>
  <c r="AO137" i="6"/>
  <c r="AO138" i="6"/>
  <c r="AO139" i="6"/>
  <c r="AO140" i="6"/>
  <c r="AO141" i="6"/>
  <c r="AO142" i="6"/>
  <c r="AO143" i="6"/>
  <c r="AO144" i="6"/>
  <c r="AO133" i="6"/>
  <c r="AO93" i="6"/>
  <c r="AO94" i="6"/>
  <c r="AO95" i="6"/>
  <c r="AO96" i="6"/>
  <c r="AO97" i="6"/>
  <c r="AO98" i="6"/>
  <c r="AO99" i="6"/>
  <c r="AO100" i="6"/>
  <c r="AO101" i="6"/>
  <c r="AO102" i="6"/>
  <c r="AO103" i="6"/>
  <c r="R18" i="5"/>
  <c r="E105" i="6" s="1"/>
  <c r="Z105" i="6" s="1"/>
  <c r="AO92" i="6"/>
  <c r="AO51" i="6"/>
  <c r="AO52" i="6"/>
  <c r="AO53" i="6"/>
  <c r="AO54" i="6"/>
  <c r="AO55" i="6"/>
  <c r="AO56" i="6"/>
  <c r="AO57" i="6"/>
  <c r="AO58" i="6"/>
  <c r="AO59" i="6"/>
  <c r="AO60" i="6"/>
  <c r="AO61" i="6"/>
  <c r="E63" i="6"/>
  <c r="AI63" i="6" s="1"/>
  <c r="AO50" i="6"/>
  <c r="AO9" i="6"/>
  <c r="AO10" i="6"/>
  <c r="AO11" i="6"/>
  <c r="AO12" i="6"/>
  <c r="AO13" i="6"/>
  <c r="AO14" i="6"/>
  <c r="AO15" i="6"/>
  <c r="AO16" i="6"/>
  <c r="AO17" i="6"/>
  <c r="AO18" i="6"/>
  <c r="AN257" i="6"/>
  <c r="AN258" i="6"/>
  <c r="AN259" i="6"/>
  <c r="AN260" i="6"/>
  <c r="AN261" i="6"/>
  <c r="AN262" i="6"/>
  <c r="AN263" i="6"/>
  <c r="AN264" i="6"/>
  <c r="AN265" i="6"/>
  <c r="AN266" i="6"/>
  <c r="E267" i="6"/>
  <c r="AN256" i="6"/>
  <c r="AN216" i="6"/>
  <c r="AN217" i="6"/>
  <c r="AN218" i="6"/>
  <c r="AN219" i="6"/>
  <c r="AN220" i="6"/>
  <c r="AN221" i="6"/>
  <c r="AN222" i="6"/>
  <c r="AN223" i="6"/>
  <c r="AN224" i="6"/>
  <c r="AN225" i="6"/>
  <c r="E226" i="6"/>
  <c r="AN226" i="6" s="1"/>
  <c r="AN227" i="6"/>
  <c r="AN215" i="6"/>
  <c r="AN175" i="6"/>
  <c r="AN176" i="6"/>
  <c r="AN177" i="6"/>
  <c r="AN178" i="6"/>
  <c r="AN179" i="6"/>
  <c r="AN180" i="6"/>
  <c r="AN181" i="6"/>
  <c r="AN182" i="6"/>
  <c r="AN183" i="6"/>
  <c r="AN184" i="6"/>
  <c r="T17" i="5"/>
  <c r="E186" i="6" s="1"/>
  <c r="AN174" i="6"/>
  <c r="AN134" i="6"/>
  <c r="AN135" i="6"/>
  <c r="AN136" i="6"/>
  <c r="AN137" i="6"/>
  <c r="AN138" i="6"/>
  <c r="AN139" i="6"/>
  <c r="AN140" i="6"/>
  <c r="AN141" i="6"/>
  <c r="AN142" i="6"/>
  <c r="AN143" i="6"/>
  <c r="S17" i="5"/>
  <c r="E145" i="6"/>
  <c r="X145" i="6" s="1"/>
  <c r="AN133" i="6"/>
  <c r="AN93" i="6"/>
  <c r="AN94" i="6"/>
  <c r="AN95" i="6"/>
  <c r="AN96" i="6"/>
  <c r="AN97" i="6"/>
  <c r="AN98" i="6"/>
  <c r="AN99" i="6"/>
  <c r="AN100" i="6"/>
  <c r="AN101" i="6"/>
  <c r="AN102" i="6"/>
  <c r="R17" i="5"/>
  <c r="E104" i="6" s="1"/>
  <c r="AN92" i="6"/>
  <c r="AN51" i="6"/>
  <c r="AN52" i="6"/>
  <c r="AN53" i="6"/>
  <c r="AN54" i="6"/>
  <c r="AN55" i="6"/>
  <c r="AN56" i="6"/>
  <c r="AN57" i="6"/>
  <c r="AN58" i="6"/>
  <c r="AN59" i="6"/>
  <c r="AN60" i="6"/>
  <c r="Q17" i="5"/>
  <c r="AN50" i="6"/>
  <c r="AN9" i="6"/>
  <c r="AN10" i="6"/>
  <c r="AN11" i="6"/>
  <c r="AN12" i="6"/>
  <c r="AN13" i="6"/>
  <c r="AN14" i="6"/>
  <c r="AN15" i="6"/>
  <c r="AN16" i="6"/>
  <c r="AN17" i="6"/>
  <c r="AM257" i="6"/>
  <c r="AM258" i="6"/>
  <c r="AM259" i="6"/>
  <c r="AM260" i="6"/>
  <c r="AM261" i="6"/>
  <c r="AM262" i="6"/>
  <c r="AM263" i="6"/>
  <c r="AM264" i="6"/>
  <c r="AM265" i="6"/>
  <c r="E266" i="6"/>
  <c r="AM268" i="6"/>
  <c r="AM256" i="6"/>
  <c r="AM216" i="6"/>
  <c r="AM217" i="6"/>
  <c r="AM218" i="6"/>
  <c r="AM219" i="6"/>
  <c r="AM220" i="6"/>
  <c r="AM221" i="6"/>
  <c r="AM222" i="6"/>
  <c r="AM223" i="6"/>
  <c r="AM224" i="6"/>
  <c r="E225" i="6"/>
  <c r="AI225" i="6"/>
  <c r="AM226" i="6"/>
  <c r="AM227" i="6"/>
  <c r="AM215" i="6"/>
  <c r="AM175" i="6"/>
  <c r="AM176" i="6"/>
  <c r="AM177" i="6"/>
  <c r="AM178" i="6"/>
  <c r="AM179" i="6"/>
  <c r="AM180" i="6"/>
  <c r="AM181" i="6"/>
  <c r="AM182" i="6"/>
  <c r="AM183" i="6"/>
  <c r="T16" i="5"/>
  <c r="E185" i="6" s="1"/>
  <c r="AM174" i="6"/>
  <c r="AM134" i="6"/>
  <c r="AM135" i="6"/>
  <c r="AM136" i="6"/>
  <c r="AM137" i="6"/>
  <c r="AM138" i="6"/>
  <c r="AM139" i="6"/>
  <c r="AM140" i="6"/>
  <c r="AM141" i="6"/>
  <c r="AM142" i="6"/>
  <c r="S16" i="5"/>
  <c r="E144" i="6" s="1"/>
  <c r="AM133" i="6"/>
  <c r="AM93" i="6"/>
  <c r="AM94" i="6"/>
  <c r="AM95" i="6"/>
  <c r="AM96" i="6"/>
  <c r="AM97" i="6"/>
  <c r="AM98" i="6"/>
  <c r="AM99" i="6"/>
  <c r="AM100" i="6"/>
  <c r="AM101" i="6"/>
  <c r="R16" i="5"/>
  <c r="AM92" i="6"/>
  <c r="AM51" i="6"/>
  <c r="AM52" i="6"/>
  <c r="AM53" i="6"/>
  <c r="AM54" i="6"/>
  <c r="AM55" i="6"/>
  <c r="AM56" i="6"/>
  <c r="AM57" i="6"/>
  <c r="AM58" i="6"/>
  <c r="AM59" i="6"/>
  <c r="Q16" i="5"/>
  <c r="E61" i="6" s="1"/>
  <c r="AB61" i="6" s="1"/>
  <c r="AM50" i="6"/>
  <c r="AM9" i="6"/>
  <c r="AM10" i="6"/>
  <c r="AM11" i="6"/>
  <c r="AM12" i="6"/>
  <c r="AM13" i="6"/>
  <c r="AM14" i="6"/>
  <c r="AM15" i="6"/>
  <c r="AM16" i="6"/>
  <c r="AL257" i="6"/>
  <c r="AL258" i="6"/>
  <c r="AL259" i="6"/>
  <c r="AL260" i="6"/>
  <c r="AL261" i="6"/>
  <c r="AL262" i="6"/>
  <c r="AL263" i="6"/>
  <c r="AL264" i="6"/>
  <c r="E265" i="6"/>
  <c r="AL267" i="6"/>
  <c r="AL256" i="6"/>
  <c r="AL216" i="6"/>
  <c r="AL217" i="6"/>
  <c r="AL218" i="6"/>
  <c r="AL219" i="6"/>
  <c r="AL220" i="6"/>
  <c r="AL221" i="6"/>
  <c r="AL222" i="6"/>
  <c r="AL223" i="6"/>
  <c r="E224" i="6"/>
  <c r="V224" i="6" s="1"/>
  <c r="AC224" i="6"/>
  <c r="AL225" i="6"/>
  <c r="AL226" i="6"/>
  <c r="AL227" i="6"/>
  <c r="AL228" i="6"/>
  <c r="AL229" i="6"/>
  <c r="AL215" i="6"/>
  <c r="AL175" i="6"/>
  <c r="AL176" i="6"/>
  <c r="AL177" i="6"/>
  <c r="AL178" i="6"/>
  <c r="AL179" i="6"/>
  <c r="AL180" i="6"/>
  <c r="AL181" i="6"/>
  <c r="AL182" i="6"/>
  <c r="E184" i="6"/>
  <c r="AA184" i="6" s="1"/>
  <c r="AL174" i="6"/>
  <c r="AL134" i="6"/>
  <c r="AL135" i="6"/>
  <c r="AL136" i="6"/>
  <c r="AL137" i="6"/>
  <c r="AL138" i="6"/>
  <c r="AL139" i="6"/>
  <c r="AL140" i="6"/>
  <c r="AL141" i="6"/>
  <c r="S15" i="5"/>
  <c r="E143" i="6" s="1"/>
  <c r="AL133" i="6"/>
  <c r="AL93" i="6"/>
  <c r="AL94" i="6"/>
  <c r="AL95" i="6"/>
  <c r="AL96" i="6"/>
  <c r="AL97" i="6"/>
  <c r="AL98" i="6"/>
  <c r="AL99" i="6"/>
  <c r="AL100" i="6"/>
  <c r="R15" i="5"/>
  <c r="E102" i="6" s="1"/>
  <c r="AL92" i="6"/>
  <c r="AL51" i="6"/>
  <c r="AL52" i="6"/>
  <c r="AL53" i="6"/>
  <c r="AL54" i="6"/>
  <c r="AL55" i="6"/>
  <c r="AL56" i="6"/>
  <c r="AL57" i="6"/>
  <c r="AL58" i="6"/>
  <c r="Q15" i="5"/>
  <c r="E60" i="6" s="1"/>
  <c r="AL50" i="6"/>
  <c r="AL9" i="6"/>
  <c r="AL10" i="6"/>
  <c r="AL11" i="6"/>
  <c r="AL12" i="6"/>
  <c r="AL13" i="6"/>
  <c r="AL14" i="6"/>
  <c r="AL15" i="6"/>
  <c r="AK257" i="6"/>
  <c r="AK258" i="6"/>
  <c r="AK259" i="6"/>
  <c r="AK260" i="6"/>
  <c r="AK261" i="6"/>
  <c r="AK262" i="6"/>
  <c r="AK263" i="6"/>
  <c r="E264" i="6"/>
  <c r="AK268" i="6"/>
  <c r="AK256" i="6"/>
  <c r="AK216" i="6"/>
  <c r="AK217" i="6"/>
  <c r="AK218" i="6"/>
  <c r="AK219" i="6"/>
  <c r="AK220" i="6"/>
  <c r="AK221" i="6"/>
  <c r="AK222" i="6"/>
  <c r="E223" i="6"/>
  <c r="AJ223" i="6"/>
  <c r="AK225" i="6"/>
  <c r="AK226" i="6"/>
  <c r="AK227" i="6"/>
  <c r="AK229" i="6"/>
  <c r="AK215" i="6"/>
  <c r="AK175" i="6"/>
  <c r="AK176" i="6"/>
  <c r="AK177" i="6"/>
  <c r="AK178" i="6"/>
  <c r="AK179" i="6"/>
  <c r="AK180" i="6"/>
  <c r="AK181" i="6"/>
  <c r="E183" i="6"/>
  <c r="Y183" i="6" s="1"/>
  <c r="AK174" i="6"/>
  <c r="AK134" i="6"/>
  <c r="AK135" i="6"/>
  <c r="AK136" i="6"/>
  <c r="AK137" i="6"/>
  <c r="AK138" i="6"/>
  <c r="AK139" i="6"/>
  <c r="AK140" i="6"/>
  <c r="S14" i="5"/>
  <c r="E142" i="6"/>
  <c r="W142" i="6" s="1"/>
  <c r="AK133" i="6"/>
  <c r="AK93" i="6"/>
  <c r="AK94" i="6"/>
  <c r="AK95" i="6"/>
  <c r="AK96" i="6"/>
  <c r="AK97" i="6"/>
  <c r="AK98" i="6"/>
  <c r="AK99" i="6"/>
  <c r="R14" i="5"/>
  <c r="E101" i="6" s="1"/>
  <c r="AK92" i="6"/>
  <c r="AK51" i="6"/>
  <c r="AK52" i="6"/>
  <c r="AK53" i="6"/>
  <c r="AK54" i="6"/>
  <c r="AK55" i="6"/>
  <c r="AK56" i="6"/>
  <c r="AK57" i="6"/>
  <c r="Q14" i="5"/>
  <c r="E59" i="6" s="1"/>
  <c r="AK50" i="6"/>
  <c r="AK9" i="6"/>
  <c r="AK10" i="6"/>
  <c r="AK11" i="6"/>
  <c r="AK12" i="6"/>
  <c r="AK13" i="6"/>
  <c r="AK14" i="6"/>
  <c r="AJ257" i="6"/>
  <c r="AJ258" i="6"/>
  <c r="AJ259" i="6"/>
  <c r="AJ260" i="6"/>
  <c r="AJ261" i="6"/>
  <c r="AJ262" i="6"/>
  <c r="E263" i="6"/>
  <c r="AJ264" i="6"/>
  <c r="AJ267" i="6"/>
  <c r="AJ268" i="6"/>
  <c r="AJ269" i="6"/>
  <c r="AJ256" i="6"/>
  <c r="AJ216" i="6"/>
  <c r="AJ217" i="6"/>
  <c r="AJ218" i="6"/>
  <c r="AJ219" i="6"/>
  <c r="AJ220" i="6"/>
  <c r="AJ221" i="6"/>
  <c r="E222" i="6"/>
  <c r="AH222" i="6" s="1"/>
  <c r="AJ226" i="6"/>
  <c r="AJ227" i="6"/>
  <c r="AJ215" i="6"/>
  <c r="AJ175" i="6"/>
  <c r="AJ176" i="6"/>
  <c r="AJ177" i="6"/>
  <c r="AJ178" i="6"/>
  <c r="AJ179" i="6"/>
  <c r="AJ180" i="6"/>
  <c r="T13" i="5"/>
  <c r="AJ174" i="6"/>
  <c r="AJ134" i="6"/>
  <c r="AJ135" i="6"/>
  <c r="AJ136" i="6"/>
  <c r="AJ137" i="6"/>
  <c r="AJ138" i="6"/>
  <c r="AJ139" i="6"/>
  <c r="S13" i="5"/>
  <c r="AJ133" i="6"/>
  <c r="AJ93" i="6"/>
  <c r="AJ94" i="6"/>
  <c r="AJ95" i="6"/>
  <c r="AJ96" i="6"/>
  <c r="AJ97" i="6"/>
  <c r="AJ98" i="6"/>
  <c r="R13" i="5"/>
  <c r="E100" i="6" s="1"/>
  <c r="AJ92" i="6"/>
  <c r="AJ51" i="6"/>
  <c r="AJ52" i="6"/>
  <c r="AJ53" i="6"/>
  <c r="AJ54" i="6"/>
  <c r="AJ55" i="6"/>
  <c r="AJ56" i="6"/>
  <c r="Q13" i="5"/>
  <c r="E58" i="6" s="1"/>
  <c r="Z58" i="6" s="1"/>
  <c r="AJ50" i="6"/>
  <c r="AJ9" i="6"/>
  <c r="AJ10" i="6"/>
  <c r="AJ11" i="6"/>
  <c r="AJ12" i="6"/>
  <c r="AJ13" i="6"/>
  <c r="AI257" i="6"/>
  <c r="AI258" i="6"/>
  <c r="AI259" i="6"/>
  <c r="AI260" i="6"/>
  <c r="AI261" i="6"/>
  <c r="E262" i="6"/>
  <c r="AI262" i="6"/>
  <c r="AI264" i="6"/>
  <c r="AI265" i="6"/>
  <c r="AI266" i="6"/>
  <c r="AI268" i="6"/>
  <c r="AI270" i="6"/>
  <c r="AI256" i="6"/>
  <c r="AI216" i="6"/>
  <c r="AI217" i="6"/>
  <c r="AI218" i="6"/>
  <c r="AI219" i="6"/>
  <c r="AI220" i="6"/>
  <c r="E221" i="6"/>
  <c r="AD221" i="6" s="1"/>
  <c r="AI223" i="6"/>
  <c r="AI226" i="6"/>
  <c r="AI227" i="6"/>
  <c r="AI215" i="6"/>
  <c r="AI175" i="6"/>
  <c r="AI176" i="6"/>
  <c r="AI177" i="6"/>
  <c r="AI178" i="6"/>
  <c r="AI179" i="6"/>
  <c r="T12" i="5"/>
  <c r="E181" i="6" s="1"/>
  <c r="AI174" i="6"/>
  <c r="AI134" i="6"/>
  <c r="AI135" i="6"/>
  <c r="AI136" i="6"/>
  <c r="AI137" i="6"/>
  <c r="AI138" i="6"/>
  <c r="S12" i="5"/>
  <c r="E140" i="6" s="1"/>
  <c r="AI140" i="6" s="1"/>
  <c r="AI133" i="6"/>
  <c r="AI93" i="6"/>
  <c r="AI94" i="6"/>
  <c r="AI95" i="6"/>
  <c r="AI96" i="6"/>
  <c r="AI97" i="6"/>
  <c r="R12" i="5"/>
  <c r="E99" i="6" s="1"/>
  <c r="AI92" i="6"/>
  <c r="AI51" i="6"/>
  <c r="AI52" i="6"/>
  <c r="AI53" i="6"/>
  <c r="AI54" i="6"/>
  <c r="AI55" i="6"/>
  <c r="Q12" i="5"/>
  <c r="E57" i="6" s="1"/>
  <c r="AF57" i="6" s="1"/>
  <c r="AI50" i="6"/>
  <c r="AI9" i="6"/>
  <c r="AI10" i="6"/>
  <c r="AI11" i="6"/>
  <c r="AI12" i="6"/>
  <c r="AH257" i="6"/>
  <c r="AH258" i="6"/>
  <c r="AH259" i="6"/>
  <c r="AH260" i="6"/>
  <c r="E261" i="6"/>
  <c r="AH262" i="6"/>
  <c r="AH263" i="6"/>
  <c r="AH264" i="6"/>
  <c r="AH268" i="6"/>
  <c r="AH256" i="6"/>
  <c r="AH216" i="6"/>
  <c r="AH217" i="6"/>
  <c r="AH218" i="6"/>
  <c r="AH219" i="6"/>
  <c r="E220" i="6"/>
  <c r="AG220" i="6"/>
  <c r="AH224" i="6"/>
  <c r="AH225" i="6"/>
  <c r="AH226" i="6"/>
  <c r="AH227" i="6"/>
  <c r="AH229" i="6"/>
  <c r="AH215" i="6"/>
  <c r="AH175" i="6"/>
  <c r="AH176" i="6"/>
  <c r="AH177" i="6"/>
  <c r="AH178" i="6"/>
  <c r="T11" i="5"/>
  <c r="E180" i="6" s="1"/>
  <c r="AH174" i="6"/>
  <c r="AH134" i="6"/>
  <c r="AH135" i="6"/>
  <c r="AH136" i="6"/>
  <c r="AH137" i="6"/>
  <c r="S11" i="5"/>
  <c r="E139" i="6" s="1"/>
  <c r="AH133" i="6"/>
  <c r="AH93" i="6"/>
  <c r="AH94" i="6"/>
  <c r="AH95" i="6"/>
  <c r="AH96" i="6"/>
  <c r="R11" i="5"/>
  <c r="E98" i="6" s="1"/>
  <c r="AD98" i="6" s="1"/>
  <c r="AH92" i="6"/>
  <c r="AH51" i="6"/>
  <c r="AH52" i="6"/>
  <c r="AH53" i="6"/>
  <c r="AH54" i="6"/>
  <c r="E56" i="6"/>
  <c r="T56" i="6" s="1"/>
  <c r="AH50" i="6"/>
  <c r="AH9" i="6"/>
  <c r="AH10" i="6"/>
  <c r="AH11" i="6"/>
  <c r="AG257" i="6"/>
  <c r="AG258" i="6"/>
  <c r="AG259" i="6"/>
  <c r="AG262" i="6"/>
  <c r="AG263" i="6"/>
  <c r="AG268" i="6"/>
  <c r="AG256" i="6"/>
  <c r="AG216" i="6"/>
  <c r="AG217" i="6"/>
  <c r="AG218" i="6"/>
  <c r="AG214" i="6" s="1"/>
  <c r="I236" i="6" s="1"/>
  <c r="J67" i="5" s="1"/>
  <c r="AG223" i="6"/>
  <c r="AG226" i="6"/>
  <c r="AG227" i="6"/>
  <c r="AG228" i="6"/>
  <c r="AG215" i="6"/>
  <c r="AG175" i="6"/>
  <c r="AG176" i="6"/>
  <c r="AG177" i="6"/>
  <c r="T10" i="5"/>
  <c r="E179" i="6" s="1"/>
  <c r="AG174" i="6"/>
  <c r="AG134" i="6"/>
  <c r="AG135" i="6"/>
  <c r="AG136" i="6"/>
  <c r="S10" i="5"/>
  <c r="E138" i="6"/>
  <c r="AG133" i="6"/>
  <c r="AG93" i="6"/>
  <c r="AG94" i="6"/>
  <c r="AG95" i="6"/>
  <c r="R10" i="5"/>
  <c r="E97" i="6" s="1"/>
  <c r="AA97" i="6" s="1"/>
  <c r="AG92" i="6"/>
  <c r="AG51" i="6"/>
  <c r="AG52" i="6"/>
  <c r="AG53" i="6"/>
  <c r="Q10" i="5"/>
  <c r="E55" i="6" s="1"/>
  <c r="AG50" i="6"/>
  <c r="AG9" i="6"/>
  <c r="AG10" i="6"/>
  <c r="AF257" i="6"/>
  <c r="AF258" i="6"/>
  <c r="K5" i="5"/>
  <c r="V8" i="5"/>
  <c r="AF262" i="6"/>
  <c r="AF268" i="6"/>
  <c r="AF256" i="6"/>
  <c r="AF216" i="6"/>
  <c r="AF217" i="6"/>
  <c r="J5" i="5"/>
  <c r="U8" i="5"/>
  <c r="U9" i="5" s="1"/>
  <c r="AF223" i="6"/>
  <c r="AF225" i="6"/>
  <c r="AF226" i="6"/>
  <c r="AF227" i="6"/>
  <c r="AF229" i="6"/>
  <c r="AF215" i="6"/>
  <c r="AF175" i="6"/>
  <c r="AF176" i="6"/>
  <c r="T9" i="5"/>
  <c r="E178" i="6" s="1"/>
  <c r="AF174" i="6"/>
  <c r="AF134" i="6"/>
  <c r="AF135" i="6"/>
  <c r="S9" i="5"/>
  <c r="AF133" i="6"/>
  <c r="AF93" i="6"/>
  <c r="AF94" i="6"/>
  <c r="R9" i="5"/>
  <c r="E96" i="6" s="1"/>
  <c r="W96" i="6" s="1"/>
  <c r="AF92" i="6"/>
  <c r="AF51" i="6"/>
  <c r="AF52" i="6"/>
  <c r="Q9" i="5"/>
  <c r="E54" i="6" s="1"/>
  <c r="AF50" i="6"/>
  <c r="AF9" i="6"/>
  <c r="AE257" i="6"/>
  <c r="AE258" i="6"/>
  <c r="AE263" i="6"/>
  <c r="AE264" i="6"/>
  <c r="AE268" i="6"/>
  <c r="AE269" i="6"/>
  <c r="AE256" i="6"/>
  <c r="AE216" i="6"/>
  <c r="AE217" i="6"/>
  <c r="AE220" i="6"/>
  <c r="AE225" i="6"/>
  <c r="AE226" i="6"/>
  <c r="AE227" i="6"/>
  <c r="AE228" i="6"/>
  <c r="AE229" i="6"/>
  <c r="AE215" i="6"/>
  <c r="AE175" i="6"/>
  <c r="AE176" i="6"/>
  <c r="T8" i="5"/>
  <c r="E177" i="6"/>
  <c r="P177" i="6" s="1"/>
  <c r="AE174" i="6"/>
  <c r="AE134" i="6"/>
  <c r="AE135" i="6"/>
  <c r="S8" i="5"/>
  <c r="E136" i="6" s="1"/>
  <c r="AE133" i="6"/>
  <c r="AE93" i="6"/>
  <c r="AE94" i="6"/>
  <c r="R8" i="5"/>
  <c r="E95" i="6" s="1"/>
  <c r="AE92" i="6"/>
  <c r="AE51" i="6"/>
  <c r="AE52" i="6"/>
  <c r="Q8" i="5"/>
  <c r="E53" i="6"/>
  <c r="AD53" i="6" s="1"/>
  <c r="AE50" i="6"/>
  <c r="AE9" i="6"/>
  <c r="AD257" i="6"/>
  <c r="E258" i="6"/>
  <c r="AD262" i="6"/>
  <c r="AD263" i="6"/>
  <c r="AD268" i="6"/>
  <c r="AD256" i="6"/>
  <c r="AD216" i="6"/>
  <c r="E217" i="6"/>
  <c r="AD217" i="6"/>
  <c r="AD220" i="6"/>
  <c r="AD225" i="6"/>
  <c r="AD226" i="6"/>
  <c r="AD227" i="6"/>
  <c r="AD228" i="6"/>
  <c r="AD229" i="6"/>
  <c r="AD215" i="6"/>
  <c r="AD175" i="6"/>
  <c r="T7" i="5"/>
  <c r="E176" i="6" s="1"/>
  <c r="AD174" i="6"/>
  <c r="AD134" i="6"/>
  <c r="S7" i="5"/>
  <c r="E135" i="6" s="1"/>
  <c r="AD133" i="6"/>
  <c r="AD93" i="6"/>
  <c r="R7" i="5"/>
  <c r="E94" i="6" s="1"/>
  <c r="AD92" i="6"/>
  <c r="AD51" i="6"/>
  <c r="Q7" i="5"/>
  <c r="E52" i="6" s="1"/>
  <c r="AD50" i="6"/>
  <c r="E257" i="6"/>
  <c r="V257" i="6" s="1"/>
  <c r="AC262" i="6"/>
  <c r="AC264" i="6"/>
  <c r="AC256" i="6"/>
  <c r="E216" i="6"/>
  <c r="AB216" i="6"/>
  <c r="AC222" i="6"/>
  <c r="AC226" i="6"/>
  <c r="AC227" i="6"/>
  <c r="AC215" i="6"/>
  <c r="T6" i="5"/>
  <c r="E175" i="6" s="1"/>
  <c r="AC174" i="6"/>
  <c r="S6" i="5"/>
  <c r="E134" i="6" s="1"/>
  <c r="AC133" i="6"/>
  <c r="R6" i="5"/>
  <c r="AC92" i="6"/>
  <c r="Q6" i="5"/>
  <c r="E51" i="6" s="1"/>
  <c r="AC50" i="6"/>
  <c r="AB261" i="6"/>
  <c r="AB263" i="6"/>
  <c r="AB264" i="6"/>
  <c r="AB268" i="6"/>
  <c r="AB269" i="6"/>
  <c r="AB256" i="6"/>
  <c r="AB220" i="6"/>
  <c r="AB226" i="6"/>
  <c r="AB227" i="6"/>
  <c r="AB215" i="6"/>
  <c r="AB174" i="6"/>
  <c r="AB133" i="6"/>
  <c r="AB92" i="6"/>
  <c r="AB50" i="6"/>
  <c r="AA261" i="6"/>
  <c r="AA263" i="6"/>
  <c r="AA264" i="6"/>
  <c r="AA268" i="6"/>
  <c r="AA269" i="6"/>
  <c r="AA256" i="6"/>
  <c r="AA220" i="6"/>
  <c r="AA226" i="6"/>
  <c r="AA227" i="6"/>
  <c r="AA215" i="6"/>
  <c r="AA174" i="6"/>
  <c r="AA133" i="6"/>
  <c r="AA92" i="6"/>
  <c r="AA50" i="6"/>
  <c r="Z258" i="6"/>
  <c r="Z263" i="6"/>
  <c r="Z264" i="6"/>
  <c r="Z267" i="6"/>
  <c r="Z268" i="6"/>
  <c r="Z269" i="6"/>
  <c r="Z270" i="6"/>
  <c r="Z256" i="6"/>
  <c r="Z217" i="6"/>
  <c r="Z224" i="6"/>
  <c r="Z226" i="6"/>
  <c r="Z227" i="6"/>
  <c r="Z215" i="6"/>
  <c r="Z174" i="6"/>
  <c r="Z133" i="6"/>
  <c r="Z92" i="6"/>
  <c r="Z50" i="6"/>
  <c r="Y262" i="6"/>
  <c r="Y263" i="6"/>
  <c r="Y264" i="6"/>
  <c r="Y266" i="6"/>
  <c r="Y268" i="6"/>
  <c r="Y270" i="6"/>
  <c r="Y256" i="6"/>
  <c r="Y217" i="6"/>
  <c r="Y222" i="6"/>
  <c r="Y226" i="6"/>
  <c r="Y227" i="6"/>
  <c r="Y228" i="6"/>
  <c r="Y229" i="6"/>
  <c r="Y215" i="6"/>
  <c r="Y188" i="6"/>
  <c r="Y174" i="6"/>
  <c r="Y147" i="6"/>
  <c r="Y133" i="6"/>
  <c r="Y106" i="6"/>
  <c r="Y92" i="6"/>
  <c r="Y64" i="6"/>
  <c r="Y50" i="6"/>
  <c r="Y21" i="6"/>
  <c r="X263" i="6"/>
  <c r="X264" i="6"/>
  <c r="X268" i="6"/>
  <c r="X269" i="6"/>
  <c r="X270" i="6"/>
  <c r="X256" i="6"/>
  <c r="X216" i="6"/>
  <c r="X217" i="6"/>
  <c r="X223" i="6"/>
  <c r="X226" i="6"/>
  <c r="X227" i="6"/>
  <c r="X228" i="6"/>
  <c r="X229" i="6"/>
  <c r="X215" i="6"/>
  <c r="X187" i="6"/>
  <c r="X188" i="6"/>
  <c r="X174" i="6"/>
  <c r="X146" i="6"/>
  <c r="X147" i="6"/>
  <c r="X133" i="6"/>
  <c r="X105" i="6"/>
  <c r="X106" i="6"/>
  <c r="X92" i="6"/>
  <c r="X63" i="6"/>
  <c r="X64" i="6"/>
  <c r="X50" i="6"/>
  <c r="X20" i="6"/>
  <c r="X21" i="6"/>
  <c r="W263" i="6"/>
  <c r="W264" i="6"/>
  <c r="W268" i="6"/>
  <c r="W269" i="6"/>
  <c r="W270" i="6"/>
  <c r="W256" i="6"/>
  <c r="W217" i="6"/>
  <c r="W220" i="6"/>
  <c r="W226" i="6"/>
  <c r="W227" i="6"/>
  <c r="W228" i="6"/>
  <c r="W229" i="6"/>
  <c r="W215" i="6"/>
  <c r="W186" i="6"/>
  <c r="W187" i="6"/>
  <c r="W188" i="6"/>
  <c r="W174" i="6"/>
  <c r="W145" i="6"/>
  <c r="W146" i="6"/>
  <c r="W147" i="6"/>
  <c r="W133" i="6"/>
  <c r="W104" i="6"/>
  <c r="W105" i="6"/>
  <c r="W106" i="6"/>
  <c r="W92" i="6"/>
  <c r="W62" i="6"/>
  <c r="W63" i="6"/>
  <c r="W64" i="6"/>
  <c r="W50" i="6"/>
  <c r="W19" i="6"/>
  <c r="W20" i="6"/>
  <c r="W21" i="6"/>
  <c r="V262" i="6"/>
  <c r="V263" i="6"/>
  <c r="V264" i="6"/>
  <c r="V266" i="6"/>
  <c r="V267" i="6"/>
  <c r="V268" i="6"/>
  <c r="V269" i="6"/>
  <c r="V270" i="6"/>
  <c r="V256" i="6"/>
  <c r="V217" i="6"/>
  <c r="V226" i="6"/>
  <c r="V227" i="6"/>
  <c r="V228" i="6"/>
  <c r="V229" i="6"/>
  <c r="V215" i="6"/>
  <c r="V185" i="6"/>
  <c r="V186" i="6"/>
  <c r="V187" i="6"/>
  <c r="V188" i="6"/>
  <c r="V174" i="6"/>
  <c r="V144" i="6"/>
  <c r="V145" i="6"/>
  <c r="V146" i="6"/>
  <c r="V147" i="6"/>
  <c r="V133" i="6"/>
  <c r="V103" i="6"/>
  <c r="V104" i="6"/>
  <c r="V105" i="6"/>
  <c r="V106" i="6"/>
  <c r="V92" i="6"/>
  <c r="V61" i="6"/>
  <c r="V62" i="6"/>
  <c r="V63" i="6"/>
  <c r="V64" i="6"/>
  <c r="V50" i="6"/>
  <c r="V18" i="6"/>
  <c r="V19" i="6"/>
  <c r="V20" i="6"/>
  <c r="V21" i="6"/>
  <c r="U262" i="6"/>
  <c r="U264" i="6"/>
  <c r="U265" i="6"/>
  <c r="U266" i="6"/>
  <c r="U267" i="6"/>
  <c r="U268" i="6"/>
  <c r="U269" i="6"/>
  <c r="U270" i="6"/>
  <c r="U256" i="6"/>
  <c r="U217" i="6"/>
  <c r="U221" i="6"/>
  <c r="U223" i="6"/>
  <c r="U225" i="6"/>
  <c r="U226" i="6"/>
  <c r="U227" i="6"/>
  <c r="U228" i="6"/>
  <c r="U229" i="6"/>
  <c r="U215" i="6"/>
  <c r="U184" i="6"/>
  <c r="U185" i="6"/>
  <c r="U186" i="6"/>
  <c r="U187" i="6"/>
  <c r="U188" i="6"/>
  <c r="U174" i="6"/>
  <c r="U143" i="6"/>
  <c r="U144" i="6"/>
  <c r="U145" i="6"/>
  <c r="U146" i="6"/>
  <c r="U147" i="6"/>
  <c r="U133" i="6"/>
  <c r="U102" i="6"/>
  <c r="U103" i="6"/>
  <c r="U104" i="6"/>
  <c r="U105" i="6"/>
  <c r="U106" i="6"/>
  <c r="U92" i="6"/>
  <c r="U60" i="6"/>
  <c r="U61" i="6"/>
  <c r="U62" i="6"/>
  <c r="U63" i="6"/>
  <c r="U64" i="6"/>
  <c r="U50" i="6"/>
  <c r="U17" i="6"/>
  <c r="U18" i="6"/>
  <c r="U19" i="6"/>
  <c r="U20" i="6"/>
  <c r="U21" i="6"/>
  <c r="T262" i="6"/>
  <c r="T263" i="6"/>
  <c r="T264" i="6"/>
  <c r="T265" i="6"/>
  <c r="T266" i="6"/>
  <c r="T267" i="6"/>
  <c r="T268" i="6"/>
  <c r="T269" i="6"/>
  <c r="T270" i="6"/>
  <c r="T256" i="6"/>
  <c r="T216" i="6"/>
  <c r="T221" i="6"/>
  <c r="T222" i="6"/>
  <c r="T224" i="6"/>
  <c r="T225" i="6"/>
  <c r="T226" i="6"/>
  <c r="T227" i="6"/>
  <c r="T228" i="6"/>
  <c r="T229" i="6"/>
  <c r="T215" i="6"/>
  <c r="T183" i="6"/>
  <c r="T184" i="6"/>
  <c r="T185" i="6"/>
  <c r="T186" i="6"/>
  <c r="T187" i="6"/>
  <c r="T188" i="6"/>
  <c r="T174" i="6"/>
  <c r="T142" i="6"/>
  <c r="T143" i="6"/>
  <c r="T144" i="6"/>
  <c r="T145" i="6"/>
  <c r="T146" i="6"/>
  <c r="T147" i="6"/>
  <c r="T133" i="6"/>
  <c r="T101" i="6"/>
  <c r="T102" i="6"/>
  <c r="T103" i="6"/>
  <c r="T104" i="6"/>
  <c r="T105" i="6"/>
  <c r="T106" i="6"/>
  <c r="T92" i="6"/>
  <c r="T59" i="6"/>
  <c r="T60" i="6"/>
  <c r="T61" i="6"/>
  <c r="T62" i="6"/>
  <c r="T63" i="6"/>
  <c r="T64" i="6"/>
  <c r="T50" i="6"/>
  <c r="T16" i="6"/>
  <c r="T17" i="6"/>
  <c r="T18" i="6"/>
  <c r="T19" i="6"/>
  <c r="T20" i="6"/>
  <c r="T21" i="6"/>
  <c r="S262" i="6"/>
  <c r="S263" i="6"/>
  <c r="S264" i="6"/>
  <c r="S265" i="6"/>
  <c r="S266" i="6"/>
  <c r="S267" i="6"/>
  <c r="S268" i="6"/>
  <c r="S269" i="6"/>
  <c r="S270" i="6"/>
  <c r="S256" i="6"/>
  <c r="S221" i="6"/>
  <c r="S223" i="6"/>
  <c r="S224" i="6"/>
  <c r="S225" i="6"/>
  <c r="S226" i="6"/>
  <c r="S227" i="6"/>
  <c r="S228" i="6"/>
  <c r="S229" i="6"/>
  <c r="S215" i="6"/>
  <c r="S182" i="6"/>
  <c r="S183" i="6"/>
  <c r="S184" i="6"/>
  <c r="S185" i="6"/>
  <c r="S186" i="6"/>
  <c r="S187" i="6"/>
  <c r="S188" i="6"/>
  <c r="S174" i="6"/>
  <c r="S141" i="6"/>
  <c r="S142" i="6"/>
  <c r="S143" i="6"/>
  <c r="S144" i="6"/>
  <c r="S145" i="6"/>
  <c r="S146" i="6"/>
  <c r="S147" i="6"/>
  <c r="S133" i="6"/>
  <c r="S100" i="6"/>
  <c r="S101" i="6"/>
  <c r="S102" i="6"/>
  <c r="S103" i="6"/>
  <c r="S104" i="6"/>
  <c r="S105" i="6"/>
  <c r="S106" i="6"/>
  <c r="S92" i="6"/>
  <c r="S58" i="6"/>
  <c r="S59" i="6"/>
  <c r="S60" i="6"/>
  <c r="S61" i="6"/>
  <c r="S62" i="6"/>
  <c r="S63" i="6"/>
  <c r="S64" i="6"/>
  <c r="S50" i="6"/>
  <c r="S15" i="6"/>
  <c r="S16" i="6"/>
  <c r="S17" i="6"/>
  <c r="S18" i="6"/>
  <c r="S19" i="6"/>
  <c r="S20" i="6"/>
  <c r="S21" i="6"/>
  <c r="R262" i="6"/>
  <c r="R263" i="6"/>
  <c r="R264" i="6"/>
  <c r="R265" i="6"/>
  <c r="R266" i="6"/>
  <c r="R267" i="6"/>
  <c r="R268" i="6"/>
  <c r="R269" i="6"/>
  <c r="R270" i="6"/>
  <c r="R256" i="6"/>
  <c r="R216" i="6"/>
  <c r="R217" i="6"/>
  <c r="R221" i="6"/>
  <c r="R222" i="6"/>
  <c r="R223" i="6"/>
  <c r="R224" i="6"/>
  <c r="R225" i="6"/>
  <c r="R226" i="6"/>
  <c r="R227" i="6"/>
  <c r="R228" i="6"/>
  <c r="R229" i="6"/>
  <c r="R215" i="6"/>
  <c r="R181" i="6"/>
  <c r="R182" i="6"/>
  <c r="R183" i="6"/>
  <c r="R184" i="6"/>
  <c r="R185" i="6"/>
  <c r="R186" i="6"/>
  <c r="R187" i="6"/>
  <c r="R188" i="6"/>
  <c r="R174" i="6"/>
  <c r="R140" i="6"/>
  <c r="R141" i="6"/>
  <c r="R142" i="6"/>
  <c r="R143" i="6"/>
  <c r="R144" i="6"/>
  <c r="R145" i="6"/>
  <c r="R146" i="6"/>
  <c r="R147" i="6"/>
  <c r="R133" i="6"/>
  <c r="R99" i="6"/>
  <c r="R100" i="6"/>
  <c r="R101" i="6"/>
  <c r="R102" i="6"/>
  <c r="R103" i="6"/>
  <c r="R104" i="6"/>
  <c r="R105" i="6"/>
  <c r="R106" i="6"/>
  <c r="R92" i="6"/>
  <c r="R57" i="6"/>
  <c r="R58" i="6"/>
  <c r="R59" i="6"/>
  <c r="R60" i="6"/>
  <c r="R61" i="6"/>
  <c r="R62" i="6"/>
  <c r="R63" i="6"/>
  <c r="R64" i="6"/>
  <c r="R50" i="6"/>
  <c r="R14" i="6"/>
  <c r="R15" i="6"/>
  <c r="R16" i="6"/>
  <c r="R17" i="6"/>
  <c r="R18" i="6"/>
  <c r="R19" i="6"/>
  <c r="R20" i="6"/>
  <c r="R21" i="6"/>
  <c r="Q261" i="6"/>
  <c r="Q262" i="6"/>
  <c r="Q263" i="6"/>
  <c r="Q264" i="6"/>
  <c r="Q265" i="6"/>
  <c r="Q266" i="6"/>
  <c r="Q267" i="6"/>
  <c r="Q268" i="6"/>
  <c r="Q269" i="6"/>
  <c r="Q270" i="6"/>
  <c r="Q256" i="6"/>
  <c r="Q217" i="6"/>
  <c r="Q220" i="6"/>
  <c r="Q221" i="6"/>
  <c r="Q222" i="6"/>
  <c r="Q223" i="6"/>
  <c r="Q224" i="6"/>
  <c r="Q225" i="6"/>
  <c r="Q226" i="6"/>
  <c r="Q227" i="6"/>
  <c r="Q228" i="6"/>
  <c r="Q229" i="6"/>
  <c r="Q215" i="6"/>
  <c r="Q180" i="6"/>
  <c r="Q181" i="6"/>
  <c r="Q182" i="6"/>
  <c r="Q183" i="6"/>
  <c r="Q184" i="6"/>
  <c r="Q185" i="6"/>
  <c r="Q186" i="6"/>
  <c r="Q187" i="6"/>
  <c r="Q188" i="6"/>
  <c r="Q174" i="6"/>
  <c r="Q139" i="6"/>
  <c r="Q140" i="6"/>
  <c r="Q141" i="6"/>
  <c r="Q142" i="6"/>
  <c r="Q143" i="6"/>
  <c r="Q144" i="6"/>
  <c r="Q145" i="6"/>
  <c r="Q146" i="6"/>
  <c r="Q147" i="6"/>
  <c r="Q133" i="6"/>
  <c r="Q98" i="6"/>
  <c r="Q99" i="6"/>
  <c r="Q100" i="6"/>
  <c r="Q101" i="6"/>
  <c r="Q102" i="6"/>
  <c r="Q103" i="6"/>
  <c r="Q104" i="6"/>
  <c r="Q105" i="6"/>
  <c r="Q106" i="6"/>
  <c r="Q92" i="6"/>
  <c r="Q56" i="6"/>
  <c r="Q57" i="6"/>
  <c r="Q58" i="6"/>
  <c r="Q59" i="6"/>
  <c r="Q60" i="6"/>
  <c r="Q61" i="6"/>
  <c r="Q62" i="6"/>
  <c r="Q63" i="6"/>
  <c r="Q64" i="6"/>
  <c r="Q50" i="6"/>
  <c r="Q13" i="6"/>
  <c r="Q14" i="6"/>
  <c r="Q15" i="6"/>
  <c r="Q16" i="6"/>
  <c r="Q17" i="6"/>
  <c r="Q18" i="6"/>
  <c r="Q19" i="6"/>
  <c r="Q20" i="6"/>
  <c r="Q21" i="6"/>
  <c r="P261" i="6"/>
  <c r="P262" i="6"/>
  <c r="P263" i="6"/>
  <c r="P264" i="6"/>
  <c r="P265" i="6"/>
  <c r="P266" i="6"/>
  <c r="P267" i="6"/>
  <c r="P268" i="6"/>
  <c r="P269" i="6"/>
  <c r="P270" i="6"/>
  <c r="P256" i="6"/>
  <c r="P217" i="6"/>
  <c r="P220" i="6"/>
  <c r="P221" i="6"/>
  <c r="P222" i="6"/>
  <c r="P223" i="6"/>
  <c r="P224" i="6"/>
  <c r="P225" i="6"/>
  <c r="P226" i="6"/>
  <c r="P227" i="6"/>
  <c r="P228" i="6"/>
  <c r="P229" i="6"/>
  <c r="P215" i="6"/>
  <c r="P179" i="6"/>
  <c r="P180" i="6"/>
  <c r="P181" i="6"/>
  <c r="P182" i="6"/>
  <c r="P183" i="6"/>
  <c r="P184" i="6"/>
  <c r="P185" i="6"/>
  <c r="P186" i="6"/>
  <c r="P187" i="6"/>
  <c r="P188" i="6"/>
  <c r="P174" i="6"/>
  <c r="P138" i="6"/>
  <c r="P139" i="6"/>
  <c r="P140" i="6"/>
  <c r="P141" i="6"/>
  <c r="P142" i="6"/>
  <c r="P143" i="6"/>
  <c r="P144" i="6"/>
  <c r="P145" i="6"/>
  <c r="P146" i="6"/>
  <c r="P147" i="6"/>
  <c r="P133" i="6"/>
  <c r="P97" i="6"/>
  <c r="P98" i="6"/>
  <c r="P99" i="6"/>
  <c r="P100" i="6"/>
  <c r="P101" i="6"/>
  <c r="P102" i="6"/>
  <c r="P103" i="6"/>
  <c r="P104" i="6"/>
  <c r="P105" i="6"/>
  <c r="P106" i="6"/>
  <c r="P92" i="6"/>
  <c r="P55" i="6"/>
  <c r="P56" i="6"/>
  <c r="P57" i="6"/>
  <c r="P58" i="6"/>
  <c r="P59" i="6"/>
  <c r="P60" i="6"/>
  <c r="P61" i="6"/>
  <c r="P62" i="6"/>
  <c r="P63" i="6"/>
  <c r="P64" i="6"/>
  <c r="P50" i="6"/>
  <c r="P12" i="6"/>
  <c r="P13" i="6"/>
  <c r="P14" i="6"/>
  <c r="P15" i="6"/>
  <c r="P16" i="6"/>
  <c r="P17" i="6"/>
  <c r="P18" i="6"/>
  <c r="P19" i="6"/>
  <c r="P20" i="6"/>
  <c r="P21" i="6"/>
  <c r="O260" i="6"/>
  <c r="O261" i="6"/>
  <c r="O262" i="6"/>
  <c r="O263" i="6"/>
  <c r="O264" i="6"/>
  <c r="O265" i="6"/>
  <c r="O266" i="6"/>
  <c r="O267" i="6"/>
  <c r="O268" i="6"/>
  <c r="O269" i="6"/>
  <c r="O270" i="6"/>
  <c r="O256" i="6"/>
  <c r="O217" i="6"/>
  <c r="O219" i="6"/>
  <c r="O220" i="6"/>
  <c r="O221" i="6"/>
  <c r="O222" i="6"/>
  <c r="O223" i="6"/>
  <c r="O224" i="6"/>
  <c r="O225" i="6"/>
  <c r="O226" i="6"/>
  <c r="O227" i="6"/>
  <c r="O228" i="6"/>
  <c r="O229" i="6"/>
  <c r="O215" i="6"/>
  <c r="O178" i="6"/>
  <c r="O179" i="6"/>
  <c r="O180" i="6"/>
  <c r="O181" i="6"/>
  <c r="O182" i="6"/>
  <c r="O183" i="6"/>
  <c r="O184" i="6"/>
  <c r="O185" i="6"/>
  <c r="O186" i="6"/>
  <c r="O187" i="6"/>
  <c r="O188" i="6"/>
  <c r="O174" i="6"/>
  <c r="O137" i="6"/>
  <c r="O138" i="6"/>
  <c r="O139" i="6"/>
  <c r="O140" i="6"/>
  <c r="O141" i="6"/>
  <c r="O142" i="6"/>
  <c r="O143" i="6"/>
  <c r="O144" i="6"/>
  <c r="O145" i="6"/>
  <c r="O146" i="6"/>
  <c r="O147" i="6"/>
  <c r="O133" i="6"/>
  <c r="O96" i="6"/>
  <c r="O97" i="6"/>
  <c r="O98" i="6"/>
  <c r="O99" i="6"/>
  <c r="O100" i="6"/>
  <c r="O101" i="6"/>
  <c r="O102" i="6"/>
  <c r="O103" i="6"/>
  <c r="O104" i="6"/>
  <c r="O105" i="6"/>
  <c r="O106" i="6"/>
  <c r="O92" i="6"/>
  <c r="O54" i="6"/>
  <c r="O55" i="6"/>
  <c r="O56" i="6"/>
  <c r="O57" i="6"/>
  <c r="O58" i="6"/>
  <c r="O59" i="6"/>
  <c r="O60" i="6"/>
  <c r="O61" i="6"/>
  <c r="O62" i="6"/>
  <c r="O63" i="6"/>
  <c r="O64" i="6"/>
  <c r="O50" i="6"/>
  <c r="O11" i="6"/>
  <c r="O12" i="6"/>
  <c r="O13" i="6"/>
  <c r="O14" i="6"/>
  <c r="O15" i="6"/>
  <c r="O16" i="6"/>
  <c r="O17" i="6"/>
  <c r="O18" i="6"/>
  <c r="O19" i="6"/>
  <c r="O20" i="6"/>
  <c r="O21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5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15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74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33" i="6"/>
  <c r="N95" i="6"/>
  <c r="N96" i="6"/>
  <c r="N97" i="6"/>
  <c r="N98" i="6"/>
  <c r="N99" i="6"/>
  <c r="N100" i="6"/>
  <c r="N101" i="6"/>
  <c r="N102" i="6"/>
  <c r="N103" i="6"/>
  <c r="N104" i="6"/>
  <c r="N105" i="6"/>
  <c r="N106" i="6"/>
  <c r="N92" i="6"/>
  <c r="N53" i="6"/>
  <c r="N54" i="6"/>
  <c r="N55" i="6"/>
  <c r="N56" i="6"/>
  <c r="N57" i="6"/>
  <c r="N58" i="6"/>
  <c r="N59" i="6"/>
  <c r="N60" i="6"/>
  <c r="N61" i="6"/>
  <c r="N62" i="6"/>
  <c r="N63" i="6"/>
  <c r="N64" i="6"/>
  <c r="N50" i="6"/>
  <c r="N10" i="6"/>
  <c r="N11" i="6"/>
  <c r="N12" i="6"/>
  <c r="N13" i="6"/>
  <c r="N14" i="6"/>
  <c r="N15" i="6"/>
  <c r="N16" i="6"/>
  <c r="N17" i="6"/>
  <c r="N18" i="6"/>
  <c r="N19" i="6"/>
  <c r="N20" i="6"/>
  <c r="N21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5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1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7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3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92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50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53" i="6"/>
  <c r="N253" i="6" s="1"/>
  <c r="AD253" i="6" s="1"/>
  <c r="AL254" i="6" s="1"/>
  <c r="M252" i="6"/>
  <c r="N252" i="6" s="1"/>
  <c r="O252" i="6" s="1"/>
  <c r="P252" i="6" s="1"/>
  <c r="Q252" i="6" s="1"/>
  <c r="R252" i="6" s="1"/>
  <c r="S252" i="6" s="1"/>
  <c r="T252" i="6" s="1"/>
  <c r="U252" i="6" s="1"/>
  <c r="V252" i="6" s="1"/>
  <c r="W252" i="6" s="1"/>
  <c r="X252" i="6" s="1"/>
  <c r="Y252" i="6" s="1"/>
  <c r="M3" i="6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M4" i="6"/>
  <c r="N4" i="6"/>
  <c r="AC4" i="6"/>
  <c r="U5" i="6"/>
  <c r="AK5" i="6"/>
  <c r="F7" i="6"/>
  <c r="G7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M46" i="6"/>
  <c r="N46" i="6" s="1"/>
  <c r="O46" i="6" s="1"/>
  <c r="M47" i="6"/>
  <c r="N47" i="6"/>
  <c r="O47" i="6" s="1"/>
  <c r="P47" i="6" s="1"/>
  <c r="AC47" i="6"/>
  <c r="AD47" i="6"/>
  <c r="U48" i="6"/>
  <c r="V48" i="6"/>
  <c r="AK48" i="6"/>
  <c r="AL48" i="6"/>
  <c r="F50" i="6"/>
  <c r="G50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AQ50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I81" i="6"/>
  <c r="M88" i="6"/>
  <c r="N88" i="6" s="1"/>
  <c r="O88" i="6" s="1"/>
  <c r="P88" i="6" s="1"/>
  <c r="M89" i="6"/>
  <c r="AC89" i="6" s="1"/>
  <c r="F92" i="6"/>
  <c r="G92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AQ92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I123" i="6"/>
  <c r="M129" i="6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M130" i="6"/>
  <c r="U131" i="6"/>
  <c r="F133" i="6"/>
  <c r="G133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I164" i="6"/>
  <c r="M170" i="6"/>
  <c r="M171" i="6"/>
  <c r="N171" i="6"/>
  <c r="O171" i="6" s="1"/>
  <c r="AC171" i="6"/>
  <c r="AK172" i="6" s="1"/>
  <c r="U172" i="6"/>
  <c r="V172" i="6"/>
  <c r="F174" i="6"/>
  <c r="G174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I205" i="6"/>
  <c r="M211" i="6"/>
  <c r="N211" i="6" s="1"/>
  <c r="O211" i="6" s="1"/>
  <c r="P211" i="6" s="1"/>
  <c r="Q211" i="6" s="1"/>
  <c r="R211" i="6" s="1"/>
  <c r="S211" i="6" s="1"/>
  <c r="T211" i="6" s="1"/>
  <c r="U211" i="6" s="1"/>
  <c r="V211" i="6" s="1"/>
  <c r="W211" i="6" s="1"/>
  <c r="X211" i="6" s="1"/>
  <c r="Y211" i="6" s="1"/>
  <c r="M212" i="6"/>
  <c r="U213" i="6"/>
  <c r="F215" i="6"/>
  <c r="G215" i="6"/>
  <c r="H217" i="6"/>
  <c r="H221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I246" i="6"/>
  <c r="AC253" i="6"/>
  <c r="U254" i="6"/>
  <c r="AK254" i="6"/>
  <c r="F256" i="6"/>
  <c r="G256" i="6"/>
  <c r="H262" i="6"/>
  <c r="H263" i="6"/>
  <c r="H264" i="6"/>
  <c r="H266" i="6"/>
  <c r="H268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I287" i="6"/>
  <c r="V49" i="5"/>
  <c r="AN38" i="5"/>
  <c r="V71" i="5"/>
  <c r="V72" i="5"/>
  <c r="U49" i="5"/>
  <c r="U71" i="5"/>
  <c r="U72" i="5"/>
  <c r="T47" i="5"/>
  <c r="T48" i="5"/>
  <c r="T49" i="5"/>
  <c r="T50" i="5"/>
  <c r="T51" i="5"/>
  <c r="T52" i="5"/>
  <c r="T71" i="5" s="1"/>
  <c r="T53" i="5"/>
  <c r="T54" i="5"/>
  <c r="T57" i="5"/>
  <c r="T58" i="5"/>
  <c r="T60" i="5"/>
  <c r="S47" i="5"/>
  <c r="S48" i="5"/>
  <c r="S49" i="5"/>
  <c r="S70" i="5" s="1"/>
  <c r="S50" i="5"/>
  <c r="S51" i="5"/>
  <c r="S52" i="5"/>
  <c r="S53" i="5"/>
  <c r="S54" i="5"/>
  <c r="S55" i="5"/>
  <c r="S56" i="5"/>
  <c r="S57" i="5"/>
  <c r="S58" i="5"/>
  <c r="S60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Q47" i="5"/>
  <c r="Q48" i="5"/>
  <c r="Q49" i="5"/>
  <c r="Q50" i="5"/>
  <c r="Q51" i="5"/>
  <c r="Q53" i="5"/>
  <c r="Q54" i="5"/>
  <c r="Q55" i="5"/>
  <c r="Q56" i="5"/>
  <c r="Q57" i="5"/>
  <c r="Q60" i="5"/>
  <c r="AC81" i="5"/>
  <c r="AN81" i="5"/>
  <c r="AU81" i="5"/>
  <c r="AC79" i="5"/>
  <c r="AC80" i="5"/>
  <c r="AN79" i="5"/>
  <c r="AN80" i="5"/>
  <c r="AU79" i="5"/>
  <c r="AU80" i="5"/>
  <c r="AB81" i="5"/>
  <c r="AM81" i="5"/>
  <c r="AT81" i="5"/>
  <c r="AB79" i="5"/>
  <c r="AB80" i="5"/>
  <c r="AM79" i="5"/>
  <c r="AM80" i="5"/>
  <c r="AT79" i="5"/>
  <c r="AT80" i="5"/>
  <c r="AA81" i="5"/>
  <c r="AL81" i="5"/>
  <c r="AS81" i="5"/>
  <c r="AA79" i="5"/>
  <c r="AA70" i="5" s="1"/>
  <c r="AA80" i="5"/>
  <c r="AL79" i="5"/>
  <c r="AL80" i="5"/>
  <c r="AS79" i="5"/>
  <c r="AS80" i="5"/>
  <c r="Z81" i="5"/>
  <c r="Z72" i="5" s="1"/>
  <c r="AK81" i="5"/>
  <c r="AR81" i="5"/>
  <c r="Z79" i="5"/>
  <c r="Z70" i="5" s="1"/>
  <c r="Z80" i="5"/>
  <c r="AK79" i="5"/>
  <c r="AK80" i="5"/>
  <c r="AR79" i="5"/>
  <c r="AR80" i="5"/>
  <c r="Y81" i="5"/>
  <c r="Y72" i="5" s="1"/>
  <c r="AJ81" i="5"/>
  <c r="AQ81" i="5"/>
  <c r="Y79" i="5"/>
  <c r="Y80" i="5"/>
  <c r="AJ79" i="5"/>
  <c r="AJ80" i="5"/>
  <c r="AQ79" i="5"/>
  <c r="AQ80" i="5"/>
  <c r="X80" i="5"/>
  <c r="X71" i="5" s="1"/>
  <c r="X79" i="5"/>
  <c r="X81" i="5"/>
  <c r="X72" i="5" s="1"/>
  <c r="AI79" i="5"/>
  <c r="AI80" i="5"/>
  <c r="AI81" i="5"/>
  <c r="AP79" i="5"/>
  <c r="AP80" i="5"/>
  <c r="AP81" i="5"/>
  <c r="W81" i="5"/>
  <c r="W72" i="5" s="1"/>
  <c r="AH81" i="5"/>
  <c r="AO81" i="5"/>
  <c r="W79" i="5"/>
  <c r="W80" i="5"/>
  <c r="AH79" i="5"/>
  <c r="AH80" i="5"/>
  <c r="AO79" i="5"/>
  <c r="AO80" i="5"/>
  <c r="AB71" i="5"/>
  <c r="W38" i="5"/>
  <c r="AH38" i="5"/>
  <c r="AO38" i="5"/>
  <c r="W39" i="5"/>
  <c r="W40" i="5"/>
  <c r="AH39" i="5"/>
  <c r="AH40" i="5"/>
  <c r="AO39" i="5"/>
  <c r="AO40" i="5"/>
  <c r="Z40" i="5"/>
  <c r="Z38" i="5"/>
  <c r="Z39" i="5"/>
  <c r="AK38" i="5"/>
  <c r="AK39" i="5"/>
  <c r="AK40" i="5"/>
  <c r="AR38" i="5"/>
  <c r="AR39" i="5"/>
  <c r="AR40" i="5"/>
  <c r="Y40" i="5"/>
  <c r="Y38" i="5"/>
  <c r="Y29" i="5" s="1"/>
  <c r="Y39" i="5"/>
  <c r="AJ38" i="5"/>
  <c r="AJ39" i="5"/>
  <c r="AJ40" i="5"/>
  <c r="AQ38" i="5"/>
  <c r="AQ39" i="5"/>
  <c r="AQ40" i="5"/>
  <c r="X40" i="5"/>
  <c r="X38" i="5"/>
  <c r="X39" i="5"/>
  <c r="AI38" i="5"/>
  <c r="AI39" i="5"/>
  <c r="AI40" i="5"/>
  <c r="AP38" i="5"/>
  <c r="AP39" i="5"/>
  <c r="AP40" i="5"/>
  <c r="AA40" i="5"/>
  <c r="AA38" i="5"/>
  <c r="AA39" i="5"/>
  <c r="AL38" i="5"/>
  <c r="AL39" i="5"/>
  <c r="AL40" i="5"/>
  <c r="AS38" i="5"/>
  <c r="AS39" i="5"/>
  <c r="AS40" i="5"/>
  <c r="AB40" i="5"/>
  <c r="AB38" i="5"/>
  <c r="AB39" i="5"/>
  <c r="AM38" i="5"/>
  <c r="AM39" i="5"/>
  <c r="AM40" i="5"/>
  <c r="AT38" i="5"/>
  <c r="AT39" i="5"/>
  <c r="AT40" i="5"/>
  <c r="AC40" i="5"/>
  <c r="AC38" i="5"/>
  <c r="AC39" i="5"/>
  <c r="AN39" i="5"/>
  <c r="AN40" i="5"/>
  <c r="AU38" i="5"/>
  <c r="AC29" i="5" s="1"/>
  <c r="AU39" i="5"/>
  <c r="AU40" i="5"/>
  <c r="U30" i="5"/>
  <c r="U31" i="5"/>
  <c r="V30" i="5"/>
  <c r="V31" i="5"/>
  <c r="W61" i="5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H22" i="4" s="1"/>
  <c r="G23" i="4"/>
  <c r="G24" i="4"/>
  <c r="G25" i="4"/>
  <c r="G26" i="4"/>
  <c r="H26" i="4" s="1"/>
  <c r="G27" i="4"/>
  <c r="G28" i="4"/>
  <c r="G29" i="4"/>
  <c r="G30" i="4"/>
  <c r="H30" i="4" s="1"/>
  <c r="G31" i="4"/>
  <c r="G32" i="4"/>
  <c r="G33" i="4"/>
  <c r="G34" i="4"/>
  <c r="H34" i="4" s="1"/>
  <c r="G35" i="4"/>
  <c r="G36" i="4"/>
  <c r="G37" i="4"/>
  <c r="F9" i="4"/>
  <c r="F10" i="4"/>
  <c r="F11" i="4"/>
  <c r="F12" i="4"/>
  <c r="F13" i="4"/>
  <c r="F14" i="4"/>
  <c r="F15" i="4"/>
  <c r="F16" i="4"/>
  <c r="E9" i="4"/>
  <c r="W9" i="4" s="1"/>
  <c r="E10" i="4"/>
  <c r="AD10" i="4" s="1"/>
  <c r="E11" i="4"/>
  <c r="Y11" i="4" s="1"/>
  <c r="E12" i="4"/>
  <c r="E13" i="4"/>
  <c r="Z13" i="4" s="1"/>
  <c r="E14" i="4"/>
  <c r="AI14" i="4" s="1"/>
  <c r="E15" i="4"/>
  <c r="AB15" i="4" s="1"/>
  <c r="E16" i="4"/>
  <c r="U16" i="4" s="1"/>
  <c r="E17" i="4"/>
  <c r="AD17" i="4" s="1"/>
  <c r="E18" i="4"/>
  <c r="AL18" i="4" s="1"/>
  <c r="E19" i="4"/>
  <c r="AL19" i="4" s="1"/>
  <c r="E20" i="4"/>
  <c r="AB20" i="4" s="1"/>
  <c r="E21" i="4"/>
  <c r="AM21" i="4" s="1"/>
  <c r="E52" i="4"/>
  <c r="X52" i="4" s="1"/>
  <c r="E53" i="4"/>
  <c r="E54" i="4"/>
  <c r="Q54" i="4" s="1"/>
  <c r="E55" i="4"/>
  <c r="AA55" i="4" s="1"/>
  <c r="E56" i="4"/>
  <c r="AA56" i="4" s="1"/>
  <c r="E57" i="4"/>
  <c r="AG57" i="4" s="1"/>
  <c r="E58" i="4"/>
  <c r="AF58" i="4" s="1"/>
  <c r="E59" i="4"/>
  <c r="Z59" i="4" s="1"/>
  <c r="E60" i="4"/>
  <c r="AH60" i="4" s="1"/>
  <c r="E61" i="4"/>
  <c r="AH61" i="4" s="1"/>
  <c r="E62" i="4"/>
  <c r="AN62" i="4" s="1"/>
  <c r="E63" i="4"/>
  <c r="Y63" i="4" s="1"/>
  <c r="E64" i="4"/>
  <c r="AC64" i="4" s="1"/>
  <c r="X61" i="5"/>
  <c r="F52" i="4"/>
  <c r="F53" i="4"/>
  <c r="F54" i="4"/>
  <c r="F55" i="4"/>
  <c r="F56" i="4"/>
  <c r="F57" i="4"/>
  <c r="F58" i="4"/>
  <c r="F59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H66" i="4" s="1"/>
  <c r="G67" i="4"/>
  <c r="H67" i="4"/>
  <c r="G68" i="4"/>
  <c r="G69" i="4"/>
  <c r="H69" i="4" s="1"/>
  <c r="G70" i="4"/>
  <c r="G71" i="4"/>
  <c r="H71" i="4" s="1"/>
  <c r="G72" i="4"/>
  <c r="H72" i="4" s="1"/>
  <c r="G73" i="4"/>
  <c r="H73" i="4" s="1"/>
  <c r="G74" i="4"/>
  <c r="G75" i="4"/>
  <c r="H75" i="4"/>
  <c r="G76" i="4"/>
  <c r="H76" i="4"/>
  <c r="G77" i="4"/>
  <c r="H77" i="4"/>
  <c r="G78" i="4"/>
  <c r="G79" i="4"/>
  <c r="H79" i="4" s="1"/>
  <c r="G80" i="4"/>
  <c r="H80" i="4" s="1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108" i="4"/>
  <c r="G109" i="4"/>
  <c r="H109" i="4"/>
  <c r="G110" i="4"/>
  <c r="G111" i="4"/>
  <c r="H111" i="4" s="1"/>
  <c r="G112" i="4"/>
  <c r="H112" i="4"/>
  <c r="G113" i="4"/>
  <c r="G114" i="4"/>
  <c r="H114" i="4" s="1"/>
  <c r="G115" i="4"/>
  <c r="H115" i="4" s="1"/>
  <c r="G116" i="4"/>
  <c r="H116" i="4" s="1"/>
  <c r="G117" i="4"/>
  <c r="G118" i="4"/>
  <c r="G119" i="4"/>
  <c r="G120" i="4"/>
  <c r="H120" i="4"/>
  <c r="G121" i="4"/>
  <c r="H121" i="4"/>
  <c r="G122" i="4"/>
  <c r="F94" i="4"/>
  <c r="F95" i="4"/>
  <c r="F96" i="4"/>
  <c r="F97" i="4"/>
  <c r="F98" i="4"/>
  <c r="F99" i="4"/>
  <c r="F100" i="4"/>
  <c r="F101" i="4"/>
  <c r="E94" i="4"/>
  <c r="AB94" i="4" s="1"/>
  <c r="E95" i="4"/>
  <c r="R95" i="4" s="1"/>
  <c r="AA95" i="4"/>
  <c r="E96" i="4"/>
  <c r="Q96" i="4" s="1"/>
  <c r="E97" i="4"/>
  <c r="V97" i="4" s="1"/>
  <c r="E98" i="4"/>
  <c r="AD98" i="4" s="1"/>
  <c r="E99" i="4"/>
  <c r="W99" i="4" s="1"/>
  <c r="E100" i="4"/>
  <c r="AH100" i="4" s="1"/>
  <c r="E101" i="4"/>
  <c r="E102" i="4"/>
  <c r="W102" i="4" s="1"/>
  <c r="E103" i="4"/>
  <c r="AM103" i="4" s="1"/>
  <c r="E104" i="4"/>
  <c r="AK104" i="4" s="1"/>
  <c r="E105" i="4"/>
  <c r="AC105" i="4" s="1"/>
  <c r="E106" i="4"/>
  <c r="AI106" i="4" s="1"/>
  <c r="Y61" i="5"/>
  <c r="E135" i="4"/>
  <c r="O135" i="4" s="1"/>
  <c r="E136" i="4"/>
  <c r="Z136" i="4" s="1"/>
  <c r="E137" i="4"/>
  <c r="R137" i="4" s="1"/>
  <c r="E138" i="4"/>
  <c r="W138" i="4" s="1"/>
  <c r="E139" i="4"/>
  <c r="AF139" i="4" s="1"/>
  <c r="E140" i="4"/>
  <c r="Z140" i="4" s="1"/>
  <c r="E141" i="4"/>
  <c r="AH141" i="4" s="1"/>
  <c r="E142" i="4"/>
  <c r="X142" i="4" s="1"/>
  <c r="E143" i="4"/>
  <c r="AA143" i="4" s="1"/>
  <c r="E144" i="4"/>
  <c r="AB144" i="4" s="1"/>
  <c r="E145" i="4"/>
  <c r="AD145" i="4" s="1"/>
  <c r="E146" i="4"/>
  <c r="AF146" i="4" s="1"/>
  <c r="E147" i="4"/>
  <c r="AD147" i="4" s="1"/>
  <c r="Z61" i="5"/>
  <c r="F135" i="4"/>
  <c r="F136" i="4"/>
  <c r="F137" i="4"/>
  <c r="F138" i="4"/>
  <c r="F139" i="4"/>
  <c r="F140" i="4"/>
  <c r="F141" i="4"/>
  <c r="F142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H148" i="4" s="1"/>
  <c r="G149" i="4"/>
  <c r="G150" i="4"/>
  <c r="G151" i="4"/>
  <c r="G152" i="4"/>
  <c r="H152" i="4"/>
  <c r="G153" i="4"/>
  <c r="H153" i="4" s="1"/>
  <c r="G154" i="4"/>
  <c r="G155" i="4"/>
  <c r="H155" i="4"/>
  <c r="G156" i="4"/>
  <c r="H156" i="4" s="1"/>
  <c r="G157" i="4"/>
  <c r="G158" i="4"/>
  <c r="H158" i="4" s="1"/>
  <c r="G159" i="4"/>
  <c r="H159" i="4" s="1"/>
  <c r="G160" i="4"/>
  <c r="H160" i="4" s="1"/>
  <c r="G161" i="4"/>
  <c r="H161" i="4"/>
  <c r="G162" i="4"/>
  <c r="H162" i="4" s="1"/>
  <c r="G163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H189" i="4" s="1"/>
  <c r="G190" i="4"/>
  <c r="H190" i="4" s="1"/>
  <c r="G191" i="4"/>
  <c r="G192" i="4"/>
  <c r="H192" i="4" s="1"/>
  <c r="G193" i="4"/>
  <c r="H193" i="4" s="1"/>
  <c r="G194" i="4"/>
  <c r="H194" i="4" s="1"/>
  <c r="G195" i="4"/>
  <c r="G196" i="4"/>
  <c r="H196" i="4"/>
  <c r="G197" i="4"/>
  <c r="G198" i="4"/>
  <c r="H198" i="4" s="1"/>
  <c r="G199" i="4"/>
  <c r="G200" i="4"/>
  <c r="H200" i="4" s="1"/>
  <c r="G201" i="4"/>
  <c r="H201" i="4" s="1"/>
  <c r="G202" i="4"/>
  <c r="H202" i="4" s="1"/>
  <c r="G203" i="4"/>
  <c r="G204" i="4"/>
  <c r="H204" i="4"/>
  <c r="F176" i="4"/>
  <c r="F177" i="4"/>
  <c r="F178" i="4"/>
  <c r="F179" i="4"/>
  <c r="F180" i="4"/>
  <c r="F181" i="4"/>
  <c r="F182" i="4"/>
  <c r="F183" i="4"/>
  <c r="E176" i="4"/>
  <c r="AC176" i="4" s="1"/>
  <c r="E177" i="4"/>
  <c r="AA177" i="4" s="1"/>
  <c r="E178" i="4"/>
  <c r="X178" i="4" s="1"/>
  <c r="E179" i="4"/>
  <c r="AG179" i="4" s="1"/>
  <c r="E180" i="4"/>
  <c r="AH180" i="4" s="1"/>
  <c r="E181" i="4"/>
  <c r="AC181" i="4" s="1"/>
  <c r="E182" i="4"/>
  <c r="E183" i="4"/>
  <c r="AC183" i="4" s="1"/>
  <c r="E184" i="4"/>
  <c r="H184" i="4" s="1"/>
  <c r="E185" i="4"/>
  <c r="E186" i="4"/>
  <c r="X186" i="4" s="1"/>
  <c r="E187" i="4"/>
  <c r="AG187" i="4" s="1"/>
  <c r="E188" i="4"/>
  <c r="AC188" i="4" s="1"/>
  <c r="AA61" i="5"/>
  <c r="AB61" i="5"/>
  <c r="AC61" i="5"/>
  <c r="G175" i="4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AG170" i="4" s="1"/>
  <c r="AH170" i="4" s="1"/>
  <c r="AI170" i="4" s="1"/>
  <c r="AJ170" i="4" s="1"/>
  <c r="AK170" i="4" s="1"/>
  <c r="AL170" i="4" s="1"/>
  <c r="AM170" i="4" s="1"/>
  <c r="F175" i="4"/>
  <c r="E175" i="4"/>
  <c r="G134" i="4"/>
  <c r="M129" i="4" s="1"/>
  <c r="F134" i="4"/>
  <c r="M130" i="4"/>
  <c r="E134" i="4"/>
  <c r="G93" i="4"/>
  <c r="F93" i="4"/>
  <c r="E93" i="4"/>
  <c r="G51" i="4"/>
  <c r="M46" i="4" s="1"/>
  <c r="F51" i="4"/>
  <c r="E51" i="4"/>
  <c r="Z51" i="4" s="1"/>
  <c r="G8" i="4"/>
  <c r="M3" i="4" s="1"/>
  <c r="N3" i="4" s="1"/>
  <c r="F8" i="4"/>
  <c r="E8" i="4"/>
  <c r="T8" i="4" s="1"/>
  <c r="I287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AP281" i="4"/>
  <c r="AP282" i="4"/>
  <c r="AP283" i="4"/>
  <c r="AP284" i="4"/>
  <c r="AP285" i="4"/>
  <c r="H286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AO281" i="4"/>
  <c r="AO282" i="4"/>
  <c r="AO283" i="4"/>
  <c r="AO284" i="4"/>
  <c r="H285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AN281" i="4"/>
  <c r="AN282" i="4"/>
  <c r="AN283" i="4"/>
  <c r="H284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AM281" i="4"/>
  <c r="AM282" i="4"/>
  <c r="H283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AL281" i="4"/>
  <c r="H282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8" i="4"/>
  <c r="H267" i="4"/>
  <c r="H266" i="4"/>
  <c r="H263" i="4"/>
  <c r="H262" i="4"/>
  <c r="H258" i="4"/>
  <c r="H257" i="4"/>
  <c r="I246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AP244" i="4"/>
  <c r="H245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7" i="4"/>
  <c r="H226" i="4"/>
  <c r="H225" i="4"/>
  <c r="H222" i="4"/>
  <c r="H221" i="4"/>
  <c r="H220" i="4"/>
  <c r="H217" i="4"/>
  <c r="H216" i="4"/>
  <c r="E215" i="4"/>
  <c r="I205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174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AO175" i="4"/>
  <c r="AO176" i="4"/>
  <c r="AO177" i="4"/>
  <c r="AO178" i="4"/>
  <c r="AO179" i="4"/>
  <c r="AO180" i="4"/>
  <c r="AO181" i="4"/>
  <c r="AO182" i="4"/>
  <c r="AO183" i="4"/>
  <c r="AO184" i="4"/>
  <c r="AO185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174" i="4"/>
  <c r="H203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AN175" i="4"/>
  <c r="AN176" i="4"/>
  <c r="AN177" i="4"/>
  <c r="AN178" i="4"/>
  <c r="AN179" i="4"/>
  <c r="AN180" i="4"/>
  <c r="AN181" i="4"/>
  <c r="AN182" i="4"/>
  <c r="AN183" i="4"/>
  <c r="AN184" i="4"/>
  <c r="AN187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174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AM175" i="4"/>
  <c r="AM176" i="4"/>
  <c r="AM177" i="4"/>
  <c r="AM178" i="4"/>
  <c r="AM179" i="4"/>
  <c r="AM180" i="4"/>
  <c r="AM181" i="4"/>
  <c r="AM182" i="4"/>
  <c r="AM183" i="4"/>
  <c r="AM186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174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AL175" i="4"/>
  <c r="AL176" i="4"/>
  <c r="AL177" i="4"/>
  <c r="AL178" i="4"/>
  <c r="AL179" i="4"/>
  <c r="AL180" i="4"/>
  <c r="AL181" i="4"/>
  <c r="AL182" i="4"/>
  <c r="AL189" i="4"/>
  <c r="AL190" i="4"/>
  <c r="AL191" i="4"/>
  <c r="AL192" i="4"/>
  <c r="AL193" i="4"/>
  <c r="AL194" i="4"/>
  <c r="AL195" i="4"/>
  <c r="AL196" i="4"/>
  <c r="AL197" i="4"/>
  <c r="AL198" i="4"/>
  <c r="AL199" i="4"/>
  <c r="AL174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AK175" i="4"/>
  <c r="AK176" i="4"/>
  <c r="AK177" i="4"/>
  <c r="AK178" i="4"/>
  <c r="AK179" i="4"/>
  <c r="AK180" i="4"/>
  <c r="AK181" i="4"/>
  <c r="AK186" i="4"/>
  <c r="AK189" i="4"/>
  <c r="AK190" i="4"/>
  <c r="AK191" i="4"/>
  <c r="AK192" i="4"/>
  <c r="AK193" i="4"/>
  <c r="AK194" i="4"/>
  <c r="AK195" i="4"/>
  <c r="AK196" i="4"/>
  <c r="AK197" i="4"/>
  <c r="AK198" i="4"/>
  <c r="AK174" i="4"/>
  <c r="H199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AJ175" i="4"/>
  <c r="AJ176" i="4"/>
  <c r="AJ177" i="4"/>
  <c r="AJ178" i="4"/>
  <c r="AJ179" i="4"/>
  <c r="AJ180" i="4"/>
  <c r="AJ189" i="4"/>
  <c r="AJ190" i="4"/>
  <c r="AJ191" i="4"/>
  <c r="AJ192" i="4"/>
  <c r="AJ193" i="4"/>
  <c r="AJ194" i="4"/>
  <c r="AJ195" i="4"/>
  <c r="AJ196" i="4"/>
  <c r="AJ197" i="4"/>
  <c r="AJ174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AI175" i="4"/>
  <c r="AI176" i="4"/>
  <c r="AI177" i="4"/>
  <c r="AI178" i="4"/>
  <c r="AI179" i="4"/>
  <c r="AI189" i="4"/>
  <c r="AI190" i="4"/>
  <c r="AI191" i="4"/>
  <c r="AI192" i="4"/>
  <c r="AI193" i="4"/>
  <c r="AI194" i="4"/>
  <c r="AI195" i="4"/>
  <c r="AI196" i="4"/>
  <c r="AI174" i="4"/>
  <c r="H197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AH175" i="4"/>
  <c r="AH176" i="4"/>
  <c r="AH177" i="4"/>
  <c r="AH178" i="4"/>
  <c r="AH189" i="4"/>
  <c r="AH190" i="4"/>
  <c r="AH191" i="4"/>
  <c r="AH192" i="4"/>
  <c r="AH193" i="4"/>
  <c r="AH194" i="4"/>
  <c r="AH195" i="4"/>
  <c r="AH174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AG175" i="4"/>
  <c r="AG176" i="4"/>
  <c r="AG177" i="4"/>
  <c r="AG189" i="4"/>
  <c r="AG190" i="4"/>
  <c r="AG191" i="4"/>
  <c r="AG192" i="4"/>
  <c r="AG193" i="4"/>
  <c r="AG194" i="4"/>
  <c r="AG174" i="4"/>
  <c r="H195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AF175" i="4"/>
  <c r="AF176" i="4"/>
  <c r="AF189" i="4"/>
  <c r="AF190" i="4"/>
  <c r="AF191" i="4"/>
  <c r="AF192" i="4"/>
  <c r="AF193" i="4"/>
  <c r="AF174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AE175" i="4"/>
  <c r="AE176" i="4"/>
  <c r="AE189" i="4"/>
  <c r="AE190" i="4"/>
  <c r="AE191" i="4"/>
  <c r="AE192" i="4"/>
  <c r="AE174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AD175" i="4"/>
  <c r="AD189" i="4"/>
  <c r="AD190" i="4"/>
  <c r="AD191" i="4"/>
  <c r="AD174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AC189" i="4"/>
  <c r="AC190" i="4"/>
  <c r="AC174" i="4"/>
  <c r="H191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AB189" i="4"/>
  <c r="AB174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AA174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Z174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Y174" i="4"/>
  <c r="W186" i="4"/>
  <c r="V186" i="4"/>
  <c r="U186" i="4"/>
  <c r="T186" i="4"/>
  <c r="S186" i="4"/>
  <c r="R186" i="4"/>
  <c r="Q186" i="4"/>
  <c r="P186" i="4"/>
  <c r="O186" i="4"/>
  <c r="N186" i="4"/>
  <c r="M186" i="4"/>
  <c r="X174" i="4"/>
  <c r="V185" i="4"/>
  <c r="U185" i="4"/>
  <c r="T185" i="4"/>
  <c r="S185" i="4"/>
  <c r="R185" i="4"/>
  <c r="Q185" i="4"/>
  <c r="P185" i="4"/>
  <c r="O185" i="4"/>
  <c r="N185" i="4"/>
  <c r="M185" i="4"/>
  <c r="W174" i="4"/>
  <c r="U184" i="4"/>
  <c r="T184" i="4"/>
  <c r="S184" i="4"/>
  <c r="R184" i="4"/>
  <c r="Q184" i="4"/>
  <c r="P184" i="4"/>
  <c r="O184" i="4"/>
  <c r="N184" i="4"/>
  <c r="M184" i="4"/>
  <c r="V174" i="4"/>
  <c r="T183" i="4"/>
  <c r="S183" i="4"/>
  <c r="R183" i="4"/>
  <c r="Q183" i="4"/>
  <c r="P183" i="4"/>
  <c r="O183" i="4"/>
  <c r="N183" i="4"/>
  <c r="M183" i="4"/>
  <c r="U174" i="4"/>
  <c r="S182" i="4"/>
  <c r="R182" i="4"/>
  <c r="Q182" i="4"/>
  <c r="P182" i="4"/>
  <c r="O182" i="4"/>
  <c r="N182" i="4"/>
  <c r="M182" i="4"/>
  <c r="T174" i="4"/>
  <c r="R181" i="4"/>
  <c r="Q181" i="4"/>
  <c r="P181" i="4"/>
  <c r="O181" i="4"/>
  <c r="N181" i="4"/>
  <c r="M181" i="4"/>
  <c r="S174" i="4"/>
  <c r="Q180" i="4"/>
  <c r="P180" i="4"/>
  <c r="O180" i="4"/>
  <c r="N180" i="4"/>
  <c r="M180" i="4"/>
  <c r="R174" i="4"/>
  <c r="P179" i="4"/>
  <c r="O179" i="4"/>
  <c r="N179" i="4"/>
  <c r="M179" i="4"/>
  <c r="Q174" i="4"/>
  <c r="O178" i="4"/>
  <c r="N178" i="4"/>
  <c r="M178" i="4"/>
  <c r="P174" i="4"/>
  <c r="N177" i="4"/>
  <c r="M177" i="4"/>
  <c r="O174" i="4"/>
  <c r="M176" i="4"/>
  <c r="N174" i="4"/>
  <c r="M174" i="4"/>
  <c r="I164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33" i="4"/>
  <c r="H163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AO134" i="4"/>
  <c r="AO135" i="4"/>
  <c r="AO136" i="4"/>
  <c r="AO137" i="4"/>
  <c r="AO138" i="4"/>
  <c r="AO139" i="4"/>
  <c r="AO140" i="4"/>
  <c r="AO141" i="4"/>
  <c r="AO142" i="4"/>
  <c r="AO143" i="4"/>
  <c r="AO144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33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AN134" i="4"/>
  <c r="AN135" i="4"/>
  <c r="AN136" i="4"/>
  <c r="AN137" i="4"/>
  <c r="AN138" i="4"/>
  <c r="AN139" i="4"/>
  <c r="AN140" i="4"/>
  <c r="AN141" i="4"/>
  <c r="AN142" i="4"/>
  <c r="AN143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33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AM134" i="4"/>
  <c r="AM135" i="4"/>
  <c r="AM136" i="4"/>
  <c r="AM137" i="4"/>
  <c r="AM138" i="4"/>
  <c r="AM139" i="4"/>
  <c r="AM140" i="4"/>
  <c r="AM141" i="4"/>
  <c r="AM142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33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AL134" i="4"/>
  <c r="AL135" i="4"/>
  <c r="AL136" i="4"/>
  <c r="AL137" i="4"/>
  <c r="AL138" i="4"/>
  <c r="AL139" i="4"/>
  <c r="AL140" i="4"/>
  <c r="AL141" i="4"/>
  <c r="AL148" i="4"/>
  <c r="AL149" i="4"/>
  <c r="AL150" i="4"/>
  <c r="AL151" i="4"/>
  <c r="AL152" i="4"/>
  <c r="AL153" i="4"/>
  <c r="AL154" i="4"/>
  <c r="AL155" i="4"/>
  <c r="AL156" i="4"/>
  <c r="AL157" i="4"/>
  <c r="AL158" i="4"/>
  <c r="AL133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AK134" i="4"/>
  <c r="AK135" i="4"/>
  <c r="AK136" i="4"/>
  <c r="AK137" i="4"/>
  <c r="AK138" i="4"/>
  <c r="AK139" i="4"/>
  <c r="AK140" i="4"/>
  <c r="AK148" i="4"/>
  <c r="AK149" i="4"/>
  <c r="AK150" i="4"/>
  <c r="AK151" i="4"/>
  <c r="AK152" i="4"/>
  <c r="AK153" i="4"/>
  <c r="AK154" i="4"/>
  <c r="AK155" i="4"/>
  <c r="AK156" i="4"/>
  <c r="AK157" i="4"/>
  <c r="AK133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AJ134" i="4"/>
  <c r="AJ135" i="4"/>
  <c r="AJ136" i="4"/>
  <c r="AJ137" i="4"/>
  <c r="AJ138" i="4"/>
  <c r="AJ139" i="4"/>
  <c r="AJ148" i="4"/>
  <c r="AJ149" i="4"/>
  <c r="AJ150" i="4"/>
  <c r="AJ151" i="4"/>
  <c r="AJ152" i="4"/>
  <c r="AJ153" i="4"/>
  <c r="AJ154" i="4"/>
  <c r="AJ155" i="4"/>
  <c r="AJ156" i="4"/>
  <c r="AJ133" i="4"/>
  <c r="H157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AI134" i="4"/>
  <c r="AI135" i="4"/>
  <c r="AI136" i="4"/>
  <c r="AI137" i="4"/>
  <c r="AI138" i="4"/>
  <c r="AI148" i="4"/>
  <c r="AI149" i="4"/>
  <c r="AI150" i="4"/>
  <c r="AI151" i="4"/>
  <c r="AI152" i="4"/>
  <c r="AI153" i="4"/>
  <c r="AI154" i="4"/>
  <c r="AI155" i="4"/>
  <c r="AI133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AH134" i="4"/>
  <c r="AH135" i="4"/>
  <c r="AH136" i="4"/>
  <c r="AH137" i="4"/>
  <c r="AH148" i="4"/>
  <c r="AH149" i="4"/>
  <c r="AH150" i="4"/>
  <c r="AH151" i="4"/>
  <c r="AH152" i="4"/>
  <c r="AH153" i="4"/>
  <c r="AH154" i="4"/>
  <c r="AH133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AG134" i="4"/>
  <c r="AG135" i="4"/>
  <c r="AG136" i="4"/>
  <c r="AG148" i="4"/>
  <c r="AG149" i="4"/>
  <c r="AG150" i="4"/>
  <c r="AG151" i="4"/>
  <c r="AG152" i="4"/>
  <c r="AG153" i="4"/>
  <c r="AG133" i="4"/>
  <c r="H154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AF134" i="4"/>
  <c r="AF135" i="4"/>
  <c r="AF148" i="4"/>
  <c r="AF149" i="4"/>
  <c r="AF150" i="4"/>
  <c r="AF151" i="4"/>
  <c r="AF152" i="4"/>
  <c r="AF133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AE134" i="4"/>
  <c r="AE135" i="4"/>
  <c r="AE148" i="4"/>
  <c r="AE149" i="4"/>
  <c r="AE150" i="4"/>
  <c r="AE151" i="4"/>
  <c r="AE133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AD134" i="4"/>
  <c r="AD148" i="4"/>
  <c r="AD149" i="4"/>
  <c r="AD150" i="4"/>
  <c r="AD133" i="4"/>
  <c r="H151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AC148" i="4"/>
  <c r="AC149" i="4"/>
  <c r="AC133" i="4"/>
  <c r="H150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AB148" i="4"/>
  <c r="AB133" i="4"/>
  <c r="H149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AA133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Z133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Y133" i="4"/>
  <c r="W145" i="4"/>
  <c r="V145" i="4"/>
  <c r="U145" i="4"/>
  <c r="T145" i="4"/>
  <c r="S145" i="4"/>
  <c r="R145" i="4"/>
  <c r="Q145" i="4"/>
  <c r="P145" i="4"/>
  <c r="O145" i="4"/>
  <c r="N145" i="4"/>
  <c r="M145" i="4"/>
  <c r="X133" i="4"/>
  <c r="V144" i="4"/>
  <c r="U144" i="4"/>
  <c r="T144" i="4"/>
  <c r="S144" i="4"/>
  <c r="R144" i="4"/>
  <c r="Q144" i="4"/>
  <c r="P144" i="4"/>
  <c r="O144" i="4"/>
  <c r="N144" i="4"/>
  <c r="M144" i="4"/>
  <c r="W133" i="4"/>
  <c r="U143" i="4"/>
  <c r="T143" i="4"/>
  <c r="S143" i="4"/>
  <c r="R143" i="4"/>
  <c r="Q143" i="4"/>
  <c r="P143" i="4"/>
  <c r="O143" i="4"/>
  <c r="N143" i="4"/>
  <c r="M143" i="4"/>
  <c r="V133" i="4"/>
  <c r="T142" i="4"/>
  <c r="S142" i="4"/>
  <c r="R142" i="4"/>
  <c r="Q142" i="4"/>
  <c r="P142" i="4"/>
  <c r="O142" i="4"/>
  <c r="N142" i="4"/>
  <c r="M142" i="4"/>
  <c r="U133" i="4"/>
  <c r="S141" i="4"/>
  <c r="R141" i="4"/>
  <c r="Q141" i="4"/>
  <c r="P141" i="4"/>
  <c r="O141" i="4"/>
  <c r="N141" i="4"/>
  <c r="M141" i="4"/>
  <c r="T133" i="4"/>
  <c r="R140" i="4"/>
  <c r="Q140" i="4"/>
  <c r="P140" i="4"/>
  <c r="O140" i="4"/>
  <c r="N140" i="4"/>
  <c r="M140" i="4"/>
  <c r="S133" i="4"/>
  <c r="Q139" i="4"/>
  <c r="P139" i="4"/>
  <c r="O139" i="4"/>
  <c r="N139" i="4"/>
  <c r="M139" i="4"/>
  <c r="R133" i="4"/>
  <c r="P138" i="4"/>
  <c r="O138" i="4"/>
  <c r="N138" i="4"/>
  <c r="M138" i="4"/>
  <c r="Q133" i="4"/>
  <c r="O137" i="4"/>
  <c r="N137" i="4"/>
  <c r="M137" i="4"/>
  <c r="P133" i="4"/>
  <c r="N136" i="4"/>
  <c r="M136" i="4"/>
  <c r="O133" i="4"/>
  <c r="M135" i="4"/>
  <c r="N133" i="4"/>
  <c r="M133" i="4"/>
  <c r="I123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92" i="4"/>
  <c r="H122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AO93" i="4"/>
  <c r="AO94" i="4"/>
  <c r="AO95" i="4"/>
  <c r="AO96" i="4"/>
  <c r="AO97" i="4"/>
  <c r="AO98" i="4"/>
  <c r="AO99" i="4"/>
  <c r="AO100" i="4"/>
  <c r="AO101" i="4"/>
  <c r="AO102" i="4"/>
  <c r="AO103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92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AN93" i="4"/>
  <c r="AN94" i="4"/>
  <c r="AN95" i="4"/>
  <c r="AN96" i="4"/>
  <c r="AN97" i="4"/>
  <c r="AN98" i="4"/>
  <c r="AN99" i="4"/>
  <c r="AN100" i="4"/>
  <c r="AN101" i="4"/>
  <c r="AN102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92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AM93" i="4"/>
  <c r="AM94" i="4"/>
  <c r="AM95" i="4"/>
  <c r="AM96" i="4"/>
  <c r="AM97" i="4"/>
  <c r="AM98" i="4"/>
  <c r="AM99" i="4"/>
  <c r="AM100" i="4"/>
  <c r="AM101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92" i="4"/>
  <c r="H119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AL93" i="4"/>
  <c r="AL94" i="4"/>
  <c r="AL95" i="4"/>
  <c r="AL96" i="4"/>
  <c r="AL97" i="4"/>
  <c r="AL98" i="4"/>
  <c r="AL99" i="4"/>
  <c r="AL100" i="4"/>
  <c r="AL107" i="4"/>
  <c r="AL108" i="4"/>
  <c r="AL109" i="4"/>
  <c r="AL110" i="4"/>
  <c r="AL111" i="4"/>
  <c r="AL112" i="4"/>
  <c r="AL113" i="4"/>
  <c r="AL114" i="4"/>
  <c r="AL115" i="4"/>
  <c r="AL116" i="4"/>
  <c r="AL117" i="4"/>
  <c r="AL92" i="4"/>
  <c r="H118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AK93" i="4"/>
  <c r="AK94" i="4"/>
  <c r="AK95" i="4"/>
  <c r="AK96" i="4"/>
  <c r="AK97" i="4"/>
  <c r="AK98" i="4"/>
  <c r="AK99" i="4"/>
  <c r="AK107" i="4"/>
  <c r="AK108" i="4"/>
  <c r="AK109" i="4"/>
  <c r="AK110" i="4"/>
  <c r="AK111" i="4"/>
  <c r="AK112" i="4"/>
  <c r="AK113" i="4"/>
  <c r="AK114" i="4"/>
  <c r="AK115" i="4"/>
  <c r="AK116" i="4"/>
  <c r="AK92" i="4"/>
  <c r="H117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AJ93" i="4"/>
  <c r="AJ94" i="4"/>
  <c r="AJ95" i="4"/>
  <c r="AJ96" i="4"/>
  <c r="AJ97" i="4"/>
  <c r="AJ98" i="4"/>
  <c r="AJ107" i="4"/>
  <c r="AJ108" i="4"/>
  <c r="AJ109" i="4"/>
  <c r="AJ110" i="4"/>
  <c r="AJ111" i="4"/>
  <c r="AJ112" i="4"/>
  <c r="AJ113" i="4"/>
  <c r="AJ114" i="4"/>
  <c r="AJ115" i="4"/>
  <c r="AJ92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AI93" i="4"/>
  <c r="AI94" i="4"/>
  <c r="AI95" i="4"/>
  <c r="AI96" i="4"/>
  <c r="AI97" i="4"/>
  <c r="AI107" i="4"/>
  <c r="AI108" i="4"/>
  <c r="AI109" i="4"/>
  <c r="AI110" i="4"/>
  <c r="AI111" i="4"/>
  <c r="AI112" i="4"/>
  <c r="AI113" i="4"/>
  <c r="AI114" i="4"/>
  <c r="AI92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AH93" i="4"/>
  <c r="AH94" i="4"/>
  <c r="AH95" i="4"/>
  <c r="AH96" i="4"/>
  <c r="AH107" i="4"/>
  <c r="AH108" i="4"/>
  <c r="AH109" i="4"/>
  <c r="AH110" i="4"/>
  <c r="AH111" i="4"/>
  <c r="AH112" i="4"/>
  <c r="AH113" i="4"/>
  <c r="AH92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AG93" i="4"/>
  <c r="AG94" i="4"/>
  <c r="AG95" i="4"/>
  <c r="AG98" i="4"/>
  <c r="AG107" i="4"/>
  <c r="AG108" i="4"/>
  <c r="AG109" i="4"/>
  <c r="AG110" i="4"/>
  <c r="AG111" i="4"/>
  <c r="AG112" i="4"/>
  <c r="AG92" i="4"/>
  <c r="H113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AF93" i="4"/>
  <c r="AF94" i="4"/>
  <c r="AF107" i="4"/>
  <c r="AF108" i="4"/>
  <c r="AF109" i="4"/>
  <c r="AF110" i="4"/>
  <c r="AF111" i="4"/>
  <c r="AF92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AE93" i="4"/>
  <c r="AE94" i="4"/>
  <c r="AE102" i="4"/>
  <c r="AE107" i="4"/>
  <c r="AE108" i="4"/>
  <c r="AE109" i="4"/>
  <c r="AE110" i="4"/>
  <c r="AE92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AD93" i="4"/>
  <c r="AD107" i="4"/>
  <c r="AD108" i="4"/>
  <c r="AD109" i="4"/>
  <c r="AD92" i="4"/>
  <c r="H110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AC107" i="4"/>
  <c r="AC108" i="4"/>
  <c r="AC92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AB107" i="4"/>
  <c r="AB92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AA92" i="4"/>
  <c r="H107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Z97" i="4"/>
  <c r="Z92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Y97" i="4"/>
  <c r="Y92" i="4"/>
  <c r="W104" i="4"/>
  <c r="V104" i="4"/>
  <c r="U104" i="4"/>
  <c r="T104" i="4"/>
  <c r="S104" i="4"/>
  <c r="R104" i="4"/>
  <c r="Q104" i="4"/>
  <c r="P104" i="4"/>
  <c r="O104" i="4"/>
  <c r="N104" i="4"/>
  <c r="M104" i="4"/>
  <c r="X92" i="4"/>
  <c r="V103" i="4"/>
  <c r="U103" i="4"/>
  <c r="T103" i="4"/>
  <c r="S103" i="4"/>
  <c r="R103" i="4"/>
  <c r="Q103" i="4"/>
  <c r="P103" i="4"/>
  <c r="O103" i="4"/>
  <c r="N103" i="4"/>
  <c r="M103" i="4"/>
  <c r="W92" i="4"/>
  <c r="U102" i="4"/>
  <c r="T102" i="4"/>
  <c r="S102" i="4"/>
  <c r="R102" i="4"/>
  <c r="Q102" i="4"/>
  <c r="P102" i="4"/>
  <c r="O102" i="4"/>
  <c r="N102" i="4"/>
  <c r="M102" i="4"/>
  <c r="V92" i="4"/>
  <c r="T101" i="4"/>
  <c r="S101" i="4"/>
  <c r="R101" i="4"/>
  <c r="Q101" i="4"/>
  <c r="P101" i="4"/>
  <c r="O101" i="4"/>
  <c r="N101" i="4"/>
  <c r="M101" i="4"/>
  <c r="U92" i="4"/>
  <c r="S100" i="4"/>
  <c r="R100" i="4"/>
  <c r="Q100" i="4"/>
  <c r="P100" i="4"/>
  <c r="O100" i="4"/>
  <c r="N100" i="4"/>
  <c r="M100" i="4"/>
  <c r="T92" i="4"/>
  <c r="R99" i="4"/>
  <c r="Q99" i="4"/>
  <c r="P99" i="4"/>
  <c r="O99" i="4"/>
  <c r="N99" i="4"/>
  <c r="M99" i="4"/>
  <c r="S92" i="4"/>
  <c r="Q98" i="4"/>
  <c r="P98" i="4"/>
  <c r="O98" i="4"/>
  <c r="N98" i="4"/>
  <c r="M98" i="4"/>
  <c r="R92" i="4"/>
  <c r="P97" i="4"/>
  <c r="O97" i="4"/>
  <c r="N97" i="4"/>
  <c r="M97" i="4"/>
  <c r="Q92" i="4"/>
  <c r="O96" i="4"/>
  <c r="N96" i="4"/>
  <c r="M96" i="4"/>
  <c r="P92" i="4"/>
  <c r="N95" i="4"/>
  <c r="M95" i="4"/>
  <c r="O92" i="4"/>
  <c r="M94" i="4"/>
  <c r="N92" i="4"/>
  <c r="M92" i="4"/>
  <c r="AQ92" i="4"/>
  <c r="I81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50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AO51" i="4"/>
  <c r="AO52" i="4"/>
  <c r="AO53" i="4"/>
  <c r="AO54" i="4"/>
  <c r="AO55" i="4"/>
  <c r="AO56" i="4"/>
  <c r="AO57" i="4"/>
  <c r="AO58" i="4"/>
  <c r="AO59" i="4"/>
  <c r="AO60" i="4"/>
  <c r="AO61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50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AN51" i="4"/>
  <c r="AN52" i="4"/>
  <c r="AN53" i="4"/>
  <c r="AN54" i="4"/>
  <c r="AN55" i="4"/>
  <c r="AN56" i="4"/>
  <c r="AN57" i="4"/>
  <c r="AN58" i="4"/>
  <c r="AN59" i="4"/>
  <c r="AN60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M47" i="4"/>
  <c r="AC47" i="4" s="1"/>
  <c r="AK48" i="4" s="1"/>
  <c r="AN50" i="4"/>
  <c r="H78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AM51" i="4"/>
  <c r="AM52" i="4"/>
  <c r="AM53" i="4"/>
  <c r="AM54" i="4"/>
  <c r="AM55" i="4"/>
  <c r="AM56" i="4"/>
  <c r="AM57" i="4"/>
  <c r="AM58" i="4"/>
  <c r="AM59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50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AL51" i="4"/>
  <c r="AL52" i="4"/>
  <c r="AL53" i="4"/>
  <c r="AL54" i="4"/>
  <c r="AL55" i="4"/>
  <c r="AL56" i="4"/>
  <c r="AL57" i="4"/>
  <c r="AL58" i="4"/>
  <c r="AL65" i="4"/>
  <c r="AL66" i="4"/>
  <c r="AL67" i="4"/>
  <c r="AL68" i="4"/>
  <c r="AL69" i="4"/>
  <c r="AL70" i="4"/>
  <c r="AL71" i="4"/>
  <c r="AL72" i="4"/>
  <c r="AL73" i="4"/>
  <c r="AL74" i="4"/>
  <c r="AL75" i="4"/>
  <c r="AL50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AK51" i="4"/>
  <c r="AK52" i="4"/>
  <c r="AK53" i="4"/>
  <c r="AK54" i="4"/>
  <c r="AK55" i="4"/>
  <c r="AK56" i="4"/>
  <c r="AK57" i="4"/>
  <c r="AK65" i="4"/>
  <c r="AK66" i="4"/>
  <c r="AK67" i="4"/>
  <c r="AK68" i="4"/>
  <c r="AK69" i="4"/>
  <c r="AK70" i="4"/>
  <c r="AK71" i="4"/>
  <c r="AK72" i="4"/>
  <c r="AK73" i="4"/>
  <c r="AK74" i="4"/>
  <c r="AK50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AJ51" i="4"/>
  <c r="AJ52" i="4"/>
  <c r="AJ53" i="4"/>
  <c r="AJ54" i="4"/>
  <c r="AJ55" i="4"/>
  <c r="AJ56" i="4"/>
  <c r="AJ65" i="4"/>
  <c r="AJ66" i="4"/>
  <c r="AJ67" i="4"/>
  <c r="AJ68" i="4"/>
  <c r="AJ69" i="4"/>
  <c r="AJ70" i="4"/>
  <c r="AJ71" i="4"/>
  <c r="AJ72" i="4"/>
  <c r="AJ73" i="4"/>
  <c r="AJ50" i="4"/>
  <c r="H74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AI51" i="4"/>
  <c r="AI52" i="4"/>
  <c r="AI53" i="4"/>
  <c r="AI54" i="4"/>
  <c r="AI55" i="4"/>
  <c r="AI65" i="4"/>
  <c r="AI66" i="4"/>
  <c r="AI67" i="4"/>
  <c r="AI68" i="4"/>
  <c r="AI69" i="4"/>
  <c r="AI70" i="4"/>
  <c r="AI71" i="4"/>
  <c r="AI72" i="4"/>
  <c r="AI50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AH51" i="4"/>
  <c r="AH52" i="4"/>
  <c r="AH53" i="4"/>
  <c r="AH54" i="4"/>
  <c r="AH65" i="4"/>
  <c r="AH66" i="4"/>
  <c r="AH67" i="4"/>
  <c r="AH68" i="4"/>
  <c r="AH69" i="4"/>
  <c r="AH70" i="4"/>
  <c r="AH71" i="4"/>
  <c r="AH50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AG51" i="4"/>
  <c r="AG52" i="4"/>
  <c r="AG53" i="4"/>
  <c r="AG65" i="4"/>
  <c r="AG66" i="4"/>
  <c r="AG67" i="4"/>
  <c r="AG68" i="4"/>
  <c r="AG69" i="4"/>
  <c r="AG70" i="4"/>
  <c r="AG5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AF51" i="4"/>
  <c r="AF52" i="4"/>
  <c r="AF65" i="4"/>
  <c r="AF66" i="4"/>
  <c r="AF67" i="4"/>
  <c r="AF68" i="4"/>
  <c r="AF69" i="4"/>
  <c r="AF50" i="4"/>
  <c r="H70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AE51" i="4"/>
  <c r="AE52" i="4"/>
  <c r="AE65" i="4"/>
  <c r="AE66" i="4"/>
  <c r="AE67" i="4"/>
  <c r="AE68" i="4"/>
  <c r="AE50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AD51" i="4"/>
  <c r="AD65" i="4"/>
  <c r="AD66" i="4"/>
  <c r="AD67" i="4"/>
  <c r="AD50" i="4"/>
  <c r="H68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AC65" i="4"/>
  <c r="AC66" i="4"/>
  <c r="AC50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AB65" i="4"/>
  <c r="AB50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AA50" i="4"/>
  <c r="H65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Z50" i="4"/>
  <c r="X63" i="4"/>
  <c r="W63" i="4"/>
  <c r="V63" i="4"/>
  <c r="U63" i="4"/>
  <c r="T63" i="4"/>
  <c r="S63" i="4"/>
  <c r="R63" i="4"/>
  <c r="Q63" i="4"/>
  <c r="P63" i="4"/>
  <c r="O63" i="4"/>
  <c r="N63" i="4"/>
  <c r="M63" i="4"/>
  <c r="Y50" i="4"/>
  <c r="W62" i="4"/>
  <c r="V62" i="4"/>
  <c r="U62" i="4"/>
  <c r="T62" i="4"/>
  <c r="S62" i="4"/>
  <c r="R62" i="4"/>
  <c r="Q62" i="4"/>
  <c r="P62" i="4"/>
  <c r="O62" i="4"/>
  <c r="N62" i="4"/>
  <c r="M62" i="4"/>
  <c r="X50" i="4"/>
  <c r="V61" i="4"/>
  <c r="U61" i="4"/>
  <c r="T61" i="4"/>
  <c r="S61" i="4"/>
  <c r="R61" i="4"/>
  <c r="Q61" i="4"/>
  <c r="P61" i="4"/>
  <c r="O61" i="4"/>
  <c r="N61" i="4"/>
  <c r="M61" i="4"/>
  <c r="W50" i="4"/>
  <c r="U60" i="4"/>
  <c r="T60" i="4"/>
  <c r="S60" i="4"/>
  <c r="R60" i="4"/>
  <c r="Q60" i="4"/>
  <c r="P60" i="4"/>
  <c r="O60" i="4"/>
  <c r="N60" i="4"/>
  <c r="M60" i="4"/>
  <c r="V50" i="4"/>
  <c r="T59" i="4"/>
  <c r="S59" i="4"/>
  <c r="R59" i="4"/>
  <c r="Q59" i="4"/>
  <c r="P59" i="4"/>
  <c r="O59" i="4"/>
  <c r="N59" i="4"/>
  <c r="M59" i="4"/>
  <c r="U48" i="4"/>
  <c r="U50" i="4"/>
  <c r="S58" i="4"/>
  <c r="R58" i="4"/>
  <c r="Q58" i="4"/>
  <c r="P58" i="4"/>
  <c r="O58" i="4"/>
  <c r="N58" i="4"/>
  <c r="M58" i="4"/>
  <c r="T50" i="4"/>
  <c r="R57" i="4"/>
  <c r="Q57" i="4"/>
  <c r="P57" i="4"/>
  <c r="O57" i="4"/>
  <c r="N57" i="4"/>
  <c r="M57" i="4"/>
  <c r="S50" i="4"/>
  <c r="H57" i="4"/>
  <c r="Q56" i="4"/>
  <c r="P56" i="4"/>
  <c r="O56" i="4"/>
  <c r="N56" i="4"/>
  <c r="M56" i="4"/>
  <c r="R54" i="4"/>
  <c r="R50" i="4"/>
  <c r="P55" i="4"/>
  <c r="O55" i="4"/>
  <c r="N55" i="4"/>
  <c r="M55" i="4"/>
  <c r="Q50" i="4"/>
  <c r="O54" i="4"/>
  <c r="N54" i="4"/>
  <c r="M54" i="4"/>
  <c r="P50" i="4"/>
  <c r="N53" i="4"/>
  <c r="M53" i="4"/>
  <c r="O50" i="4"/>
  <c r="M52" i="4"/>
  <c r="N50" i="4"/>
  <c r="M50" i="4"/>
  <c r="AQ50" i="4"/>
  <c r="F50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O8" i="4"/>
  <c r="AO9" i="4"/>
  <c r="AO10" i="4"/>
  <c r="AO11" i="4"/>
  <c r="AO12" i="4"/>
  <c r="AO13" i="4"/>
  <c r="AO14" i="4"/>
  <c r="AO15" i="4"/>
  <c r="AO16" i="4"/>
  <c r="AO17" i="4"/>
  <c r="AO18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N8" i="4"/>
  <c r="AN9" i="4"/>
  <c r="AN10" i="4"/>
  <c r="AN11" i="4"/>
  <c r="AN12" i="4"/>
  <c r="AN13" i="4"/>
  <c r="AN14" i="4"/>
  <c r="AN15" i="4"/>
  <c r="AN16" i="4"/>
  <c r="AN17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M8" i="4"/>
  <c r="AM9" i="4"/>
  <c r="AM10" i="4"/>
  <c r="AM11" i="4"/>
  <c r="AM12" i="4"/>
  <c r="AM13" i="4"/>
  <c r="AM14" i="4"/>
  <c r="AM15" i="4"/>
  <c r="AM16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L8" i="4"/>
  <c r="AL9" i="4"/>
  <c r="AL10" i="4"/>
  <c r="AL11" i="4"/>
  <c r="AL12" i="4"/>
  <c r="AL13" i="4"/>
  <c r="AL14" i="4"/>
  <c r="AL15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K8" i="4"/>
  <c r="AK9" i="4"/>
  <c r="AK10" i="4"/>
  <c r="AK11" i="4"/>
  <c r="AK12" i="4"/>
  <c r="AK13" i="4"/>
  <c r="AK14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J8" i="4"/>
  <c r="AJ9" i="4"/>
  <c r="AJ10" i="4"/>
  <c r="AJ11" i="4"/>
  <c r="AJ12" i="4"/>
  <c r="AJ13" i="4"/>
  <c r="AJ19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I8" i="4"/>
  <c r="AI9" i="4"/>
  <c r="AI10" i="4"/>
  <c r="AI11" i="4"/>
  <c r="AI12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H8" i="4"/>
  <c r="AH9" i="4"/>
  <c r="AH10" i="4"/>
  <c r="AH1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G8" i="4"/>
  <c r="AG9" i="4"/>
  <c r="AG10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F8" i="4"/>
  <c r="AF9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E8" i="4"/>
  <c r="AE9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D8" i="4"/>
  <c r="AD1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B1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Q11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H37" i="4"/>
  <c r="H36" i="4"/>
  <c r="H35" i="4"/>
  <c r="H33" i="4"/>
  <c r="H32" i="4"/>
  <c r="H31" i="4"/>
  <c r="H29" i="4"/>
  <c r="H28" i="4"/>
  <c r="H27" i="4"/>
  <c r="H25" i="4"/>
  <c r="H24" i="4"/>
  <c r="H23" i="4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I258" i="2" s="1"/>
  <c r="CJ7" i="1" s="1"/>
  <c r="M256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57" i="2"/>
  <c r="AA258" i="2"/>
  <c r="E259" i="2"/>
  <c r="AA259" i="2" s="1"/>
  <c r="E260" i="2"/>
  <c r="AA260" i="2"/>
  <c r="AA261" i="2"/>
  <c r="AA262" i="2"/>
  <c r="AA263" i="2"/>
  <c r="AA264" i="2"/>
  <c r="AA265" i="2"/>
  <c r="AA266" i="2"/>
  <c r="AA267" i="2"/>
  <c r="AA268" i="2"/>
  <c r="AA269" i="2"/>
  <c r="AA270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H189" i="2" s="1"/>
  <c r="G190" i="2"/>
  <c r="H190" i="2" s="1"/>
  <c r="G191" i="2"/>
  <c r="H191" i="2"/>
  <c r="G192" i="2"/>
  <c r="H192" i="2" s="1"/>
  <c r="G193" i="2"/>
  <c r="H193" i="2" s="1"/>
  <c r="G194" i="2"/>
  <c r="G195" i="2"/>
  <c r="H195" i="2" s="1"/>
  <c r="G196" i="2"/>
  <c r="H196" i="2" s="1"/>
  <c r="G197" i="2"/>
  <c r="H197" i="2" s="1"/>
  <c r="G198" i="2"/>
  <c r="G199" i="2"/>
  <c r="H199" i="2" s="1"/>
  <c r="G200" i="2"/>
  <c r="H200" i="2" s="1"/>
  <c r="G201" i="2"/>
  <c r="G202" i="2"/>
  <c r="H202" i="2" s="1"/>
  <c r="G203" i="2"/>
  <c r="H203" i="2" s="1"/>
  <c r="G204" i="2"/>
  <c r="G175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H148" i="2"/>
  <c r="G149" i="2"/>
  <c r="H149" i="2" s="1"/>
  <c r="G150" i="2"/>
  <c r="G151" i="2"/>
  <c r="H151" i="2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/>
  <c r="G159" i="2"/>
  <c r="G160" i="2"/>
  <c r="H160" i="2" s="1"/>
  <c r="G161" i="2"/>
  <c r="G162" i="2"/>
  <c r="H162" i="2" s="1"/>
  <c r="G163" i="2"/>
  <c r="H163" i="2" s="1"/>
  <c r="G134" i="2"/>
  <c r="G94" i="2"/>
  <c r="G95" i="2"/>
  <c r="G92" i="2" s="1"/>
  <c r="G96" i="2"/>
  <c r="G97" i="2"/>
  <c r="G98" i="2"/>
  <c r="G99" i="2"/>
  <c r="G100" i="2"/>
  <c r="G101" i="2"/>
  <c r="G102" i="2"/>
  <c r="G103" i="2"/>
  <c r="G104" i="2"/>
  <c r="G105" i="2"/>
  <c r="G106" i="2"/>
  <c r="G107" i="2"/>
  <c r="H107" i="2" s="1"/>
  <c r="G108" i="2"/>
  <c r="H108" i="2"/>
  <c r="G109" i="2"/>
  <c r="H109" i="2" s="1"/>
  <c r="G110" i="2"/>
  <c r="H110" i="2" s="1"/>
  <c r="G111" i="2"/>
  <c r="H111" i="2" s="1"/>
  <c r="G112" i="2"/>
  <c r="G113" i="2"/>
  <c r="H113" i="2" s="1"/>
  <c r="G114" i="2"/>
  <c r="H114" i="2" s="1"/>
  <c r="G115" i="2"/>
  <c r="H115" i="2" s="1"/>
  <c r="G116" i="2"/>
  <c r="G117" i="2"/>
  <c r="H117" i="2"/>
  <c r="G118" i="2"/>
  <c r="G119" i="2"/>
  <c r="G120" i="2"/>
  <c r="H120" i="2" s="1"/>
  <c r="G121" i="2"/>
  <c r="H121" i="2" s="1"/>
  <c r="G122" i="2"/>
  <c r="G93" i="2"/>
  <c r="G8" i="2"/>
  <c r="M3" i="2" s="1"/>
  <c r="E218" i="2"/>
  <c r="E219" i="2"/>
  <c r="E93" i="2"/>
  <c r="E9" i="2"/>
  <c r="N9" i="2" s="1"/>
  <c r="E10" i="2"/>
  <c r="P10" i="2" s="1"/>
  <c r="E11" i="2"/>
  <c r="E12" i="2"/>
  <c r="AD12" i="2" s="1"/>
  <c r="E13" i="2"/>
  <c r="V13" i="2" s="1"/>
  <c r="E14" i="2"/>
  <c r="AA14" i="2" s="1"/>
  <c r="E15" i="2"/>
  <c r="E16" i="2"/>
  <c r="E17" i="2"/>
  <c r="AB17" i="2" s="1"/>
  <c r="E18" i="2"/>
  <c r="E19" i="2"/>
  <c r="Z19" i="2" s="1"/>
  <c r="E20" i="2"/>
  <c r="E21" i="2"/>
  <c r="AI21" i="2" s="1"/>
  <c r="W20" i="5"/>
  <c r="E8" i="2"/>
  <c r="E52" i="2"/>
  <c r="AA52" i="2" s="1"/>
  <c r="E53" i="2"/>
  <c r="E54" i="2"/>
  <c r="E55" i="2"/>
  <c r="H55" i="2" s="1"/>
  <c r="E56" i="2"/>
  <c r="E57" i="2"/>
  <c r="E58" i="2"/>
  <c r="E59" i="2"/>
  <c r="U59" i="2" s="1"/>
  <c r="E60" i="2"/>
  <c r="E61" i="2"/>
  <c r="E62" i="2"/>
  <c r="E63" i="2"/>
  <c r="E64" i="2"/>
  <c r="E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X20" i="5"/>
  <c r="G51" i="2"/>
  <c r="E176" i="2"/>
  <c r="E177" i="2"/>
  <c r="E178" i="2"/>
  <c r="E179" i="2"/>
  <c r="AC179" i="2" s="1"/>
  <c r="E180" i="2"/>
  <c r="E181" i="2"/>
  <c r="E182" i="2"/>
  <c r="E183" i="2"/>
  <c r="E184" i="2"/>
  <c r="E185" i="2"/>
  <c r="E186" i="2"/>
  <c r="E187" i="2"/>
  <c r="E188" i="2"/>
  <c r="AA20" i="5"/>
  <c r="F177" i="2"/>
  <c r="F178" i="2"/>
  <c r="F179" i="2"/>
  <c r="F180" i="2"/>
  <c r="F181" i="2"/>
  <c r="F182" i="2"/>
  <c r="H182" i="2" s="1"/>
  <c r="F183" i="2"/>
  <c r="E175" i="2"/>
  <c r="H257" i="2"/>
  <c r="H258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F256" i="2"/>
  <c r="H216" i="2"/>
  <c r="H217" i="2"/>
  <c r="H220" i="2"/>
  <c r="H221" i="2"/>
  <c r="H223" i="2"/>
  <c r="H225" i="2"/>
  <c r="H226" i="2"/>
  <c r="H227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G215" i="2"/>
  <c r="F215" i="2"/>
  <c r="H194" i="2"/>
  <c r="H198" i="2"/>
  <c r="H201" i="2"/>
  <c r="H204" i="2"/>
  <c r="E134" i="2"/>
  <c r="F134" i="2"/>
  <c r="M130" i="2" s="1"/>
  <c r="E135" i="2"/>
  <c r="F135" i="2"/>
  <c r="E136" i="2"/>
  <c r="F136" i="2"/>
  <c r="E137" i="2"/>
  <c r="F137" i="2"/>
  <c r="E138" i="2"/>
  <c r="F138" i="2"/>
  <c r="E139" i="2"/>
  <c r="R139" i="2" s="1"/>
  <c r="F139" i="2"/>
  <c r="E140" i="2"/>
  <c r="F140" i="2"/>
  <c r="E141" i="2"/>
  <c r="F141" i="2"/>
  <c r="E142" i="2"/>
  <c r="F142" i="2"/>
  <c r="E143" i="2"/>
  <c r="E144" i="2"/>
  <c r="E145" i="2"/>
  <c r="E146" i="2"/>
  <c r="E147" i="2"/>
  <c r="Z20" i="5"/>
  <c r="H150" i="2"/>
  <c r="H159" i="2"/>
  <c r="H161" i="2"/>
  <c r="F94" i="2"/>
  <c r="F95" i="2"/>
  <c r="F96" i="2"/>
  <c r="F97" i="2"/>
  <c r="F98" i="2"/>
  <c r="F99" i="2"/>
  <c r="F100" i="2"/>
  <c r="F101" i="2"/>
  <c r="E94" i="2"/>
  <c r="S94" i="2" s="1"/>
  <c r="E95" i="2"/>
  <c r="W95" i="2" s="1"/>
  <c r="E96" i="2"/>
  <c r="E97" i="2"/>
  <c r="E98" i="2"/>
  <c r="E99" i="2"/>
  <c r="E100" i="2"/>
  <c r="Y100" i="2"/>
  <c r="E101" i="2"/>
  <c r="E102" i="2"/>
  <c r="E103" i="2"/>
  <c r="E104" i="2"/>
  <c r="E105" i="2"/>
  <c r="E106" i="2"/>
  <c r="Y20" i="5"/>
  <c r="H100" i="2"/>
  <c r="H112" i="2"/>
  <c r="H116" i="2"/>
  <c r="H118" i="2"/>
  <c r="H119" i="2"/>
  <c r="H122" i="2"/>
  <c r="F93" i="2"/>
  <c r="F53" i="2"/>
  <c r="H53" i="2" s="1"/>
  <c r="F54" i="2"/>
  <c r="F55" i="2"/>
  <c r="F56" i="2"/>
  <c r="F57" i="2"/>
  <c r="F58" i="2"/>
  <c r="F59" i="2"/>
  <c r="F51" i="2"/>
  <c r="F52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9" i="2"/>
  <c r="M10" i="2"/>
  <c r="M11" i="2"/>
  <c r="M12" i="2"/>
  <c r="M13" i="2"/>
  <c r="M28" i="2"/>
  <c r="M29" i="2"/>
  <c r="M30" i="2"/>
  <c r="M31" i="2"/>
  <c r="M32" i="2"/>
  <c r="M33" i="2"/>
  <c r="M34" i="2"/>
  <c r="M35" i="2"/>
  <c r="M36" i="2"/>
  <c r="M37" i="2"/>
  <c r="F8" i="2"/>
  <c r="M4" i="2" s="1"/>
  <c r="F9" i="2"/>
  <c r="F10" i="2"/>
  <c r="O4" i="2" s="1"/>
  <c r="F11" i="2"/>
  <c r="F12" i="2"/>
  <c r="F13" i="2"/>
  <c r="F14" i="2"/>
  <c r="F15" i="2"/>
  <c r="F16" i="2"/>
  <c r="G9" i="2"/>
  <c r="G10" i="2"/>
  <c r="G11" i="2"/>
  <c r="G12" i="2"/>
  <c r="G13" i="2"/>
  <c r="G14" i="2"/>
  <c r="G15" i="2"/>
  <c r="G16" i="2"/>
  <c r="G17" i="2"/>
  <c r="H17" i="2" s="1"/>
  <c r="G18" i="2"/>
  <c r="G19" i="2"/>
  <c r="G20" i="2"/>
  <c r="G21" i="2"/>
  <c r="G22" i="2"/>
  <c r="H22" i="2" s="1"/>
  <c r="G23" i="2"/>
  <c r="G24" i="2"/>
  <c r="G25" i="2"/>
  <c r="H25" i="2" s="1"/>
  <c r="G26" i="2"/>
  <c r="H26" i="2" s="1"/>
  <c r="G27" i="2"/>
  <c r="H27" i="2" s="1"/>
  <c r="G28" i="2"/>
  <c r="G29" i="2"/>
  <c r="G30" i="2"/>
  <c r="H30" i="2" s="1"/>
  <c r="G31" i="2"/>
  <c r="H31" i="2" s="1"/>
  <c r="G32" i="2"/>
  <c r="G33" i="2"/>
  <c r="G34" i="2"/>
  <c r="H34" i="2" s="1"/>
  <c r="G35" i="2"/>
  <c r="H35" i="2" s="1"/>
  <c r="G36" i="2"/>
  <c r="G37" i="2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F5" i="5"/>
  <c r="G5" i="5"/>
  <c r="H5" i="5"/>
  <c r="I5" i="5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V9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W17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X13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Y17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AA9" i="2"/>
  <c r="AA13" i="2"/>
  <c r="AA17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B9" i="2"/>
  <c r="AB19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D1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E9" i="2"/>
  <c r="AE17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F9" i="2"/>
  <c r="AF13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G9" i="2"/>
  <c r="AG10" i="2"/>
  <c r="AG17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H9" i="2"/>
  <c r="AH10" i="2"/>
  <c r="AH11" i="2"/>
  <c r="AH13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I9" i="2"/>
  <c r="AI10" i="2"/>
  <c r="AI11" i="2"/>
  <c r="AI12" i="2"/>
  <c r="AI17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J9" i="2"/>
  <c r="AJ10" i="2"/>
  <c r="AJ11" i="2"/>
  <c r="AJ12" i="2"/>
  <c r="AJ13" i="2"/>
  <c r="AJ17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K9" i="2"/>
  <c r="AK10" i="2"/>
  <c r="AK11" i="2"/>
  <c r="AK12" i="2"/>
  <c r="AK13" i="2"/>
  <c r="AK14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L9" i="2"/>
  <c r="AL10" i="2"/>
  <c r="AL11" i="2"/>
  <c r="AL12" i="2"/>
  <c r="AL13" i="2"/>
  <c r="AL14" i="2"/>
  <c r="AL15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M9" i="2"/>
  <c r="AM10" i="2"/>
  <c r="AM11" i="2"/>
  <c r="AM12" i="2"/>
  <c r="AM13" i="2"/>
  <c r="AM14" i="2"/>
  <c r="AM15" i="2"/>
  <c r="AM16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N9" i="2"/>
  <c r="AN10" i="2"/>
  <c r="AN11" i="2"/>
  <c r="AN12" i="2"/>
  <c r="AN13" i="2"/>
  <c r="AN14" i="2"/>
  <c r="AN15" i="2"/>
  <c r="AN16" i="2"/>
  <c r="AN17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O9" i="2"/>
  <c r="AO10" i="2"/>
  <c r="AO11" i="2"/>
  <c r="AO12" i="2"/>
  <c r="AO13" i="2"/>
  <c r="AO14" i="2"/>
  <c r="AO15" i="2"/>
  <c r="AO16" i="2"/>
  <c r="AO17" i="2"/>
  <c r="AO18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P9" i="2"/>
  <c r="AP10" i="2"/>
  <c r="AP11" i="2"/>
  <c r="AP12" i="2"/>
  <c r="AP13" i="2"/>
  <c r="AP14" i="2"/>
  <c r="AP15" i="2"/>
  <c r="AP16" i="2"/>
  <c r="AP17" i="2"/>
  <c r="AP18" i="2"/>
  <c r="AP19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47" i="2"/>
  <c r="M46" i="2"/>
  <c r="N46" i="2" s="1"/>
  <c r="O46" i="2" s="1"/>
  <c r="P46" i="2" s="1"/>
  <c r="Q46" i="2" s="1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T57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U57" i="2"/>
  <c r="U60" i="2"/>
  <c r="U61" i="2"/>
  <c r="U62" i="2"/>
  <c r="U63" i="2"/>
  <c r="U64" i="2"/>
  <c r="U48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V57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W57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X57" i="2"/>
  <c r="X61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Y53" i="2"/>
  <c r="Y57" i="2"/>
  <c r="Y61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Z57" i="2"/>
  <c r="Z61" i="2"/>
  <c r="Z63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AA57" i="2"/>
  <c r="AA61" i="2"/>
  <c r="AA63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B57" i="2"/>
  <c r="AB61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C53" i="2"/>
  <c r="AC57" i="2"/>
  <c r="AC61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D51" i="2"/>
  <c r="AD57" i="2"/>
  <c r="AD61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E51" i="2"/>
  <c r="AE52" i="2"/>
  <c r="AE57" i="2"/>
  <c r="AE60" i="2"/>
  <c r="AE61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F51" i="2"/>
  <c r="AF52" i="2"/>
  <c r="AF57" i="2"/>
  <c r="AF61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G51" i="2"/>
  <c r="AG52" i="2"/>
  <c r="AG53" i="2"/>
  <c r="AG61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H51" i="2"/>
  <c r="AH52" i="2"/>
  <c r="AH53" i="2"/>
  <c r="AH54" i="2"/>
  <c r="AH57" i="2"/>
  <c r="AH61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I51" i="2"/>
  <c r="AI52" i="2"/>
  <c r="AI53" i="2"/>
  <c r="AI54" i="2"/>
  <c r="AI55" i="2"/>
  <c r="AI61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J51" i="2"/>
  <c r="AJ52" i="2"/>
  <c r="AJ53" i="2"/>
  <c r="AJ54" i="2"/>
  <c r="AJ55" i="2"/>
  <c r="AJ56" i="2"/>
  <c r="AJ61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K51" i="2"/>
  <c r="AK52" i="2"/>
  <c r="AK53" i="2"/>
  <c r="AK54" i="2"/>
  <c r="AK55" i="2"/>
  <c r="AK56" i="2"/>
  <c r="AK57" i="2"/>
  <c r="AK61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L51" i="2"/>
  <c r="AL52" i="2"/>
  <c r="AL53" i="2"/>
  <c r="AL54" i="2"/>
  <c r="AL55" i="2"/>
  <c r="AL56" i="2"/>
  <c r="AL57" i="2"/>
  <c r="AL58" i="2"/>
  <c r="AL61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M51" i="2"/>
  <c r="AM52" i="2"/>
  <c r="AM53" i="2"/>
  <c r="AM54" i="2"/>
  <c r="AM55" i="2"/>
  <c r="AM56" i="2"/>
  <c r="AM57" i="2"/>
  <c r="AM58" i="2"/>
  <c r="AM59" i="2"/>
  <c r="AM61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N51" i="2"/>
  <c r="AN52" i="2"/>
  <c r="AN53" i="2"/>
  <c r="AN54" i="2"/>
  <c r="AN55" i="2"/>
  <c r="AN56" i="2"/>
  <c r="AN57" i="2"/>
  <c r="AN58" i="2"/>
  <c r="AN59" i="2"/>
  <c r="AN60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O51" i="2"/>
  <c r="AO52" i="2"/>
  <c r="AO53" i="2"/>
  <c r="AO54" i="2"/>
  <c r="AO55" i="2"/>
  <c r="AO56" i="2"/>
  <c r="AO57" i="2"/>
  <c r="AO58" i="2"/>
  <c r="AO59" i="2"/>
  <c r="AO60" i="2"/>
  <c r="AO61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89" i="2"/>
  <c r="AC89" i="2" s="1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Q96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S96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T93" i="2"/>
  <c r="T96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U96" i="2"/>
  <c r="U100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V96" i="2"/>
  <c r="V100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W100" i="2"/>
  <c r="W101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X96" i="2"/>
  <c r="X100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Y96" i="2"/>
  <c r="Y97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Z96" i="2"/>
  <c r="Z100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AA96" i="2"/>
  <c r="AA99" i="2"/>
  <c r="AA100" i="2"/>
  <c r="AA103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B93" i="2"/>
  <c r="AB96" i="2"/>
  <c r="AB100" i="2"/>
  <c r="AB103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C96" i="2"/>
  <c r="AC97" i="2"/>
  <c r="AC100" i="2"/>
  <c r="AC102" i="2"/>
  <c r="AC103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D93" i="2"/>
  <c r="AD96" i="2"/>
  <c r="AD100" i="2"/>
  <c r="AD103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E93" i="2"/>
  <c r="AE94" i="2"/>
  <c r="AE96" i="2"/>
  <c r="AE97" i="2"/>
  <c r="AE100" i="2"/>
  <c r="AE103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F93" i="2"/>
  <c r="AF94" i="2"/>
  <c r="AF96" i="2"/>
  <c r="AF97" i="2"/>
  <c r="AF100" i="2"/>
  <c r="AF103" i="2"/>
  <c r="AF105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G93" i="2"/>
  <c r="AG94" i="2"/>
  <c r="AG95" i="2"/>
  <c r="AG97" i="2"/>
  <c r="AG100" i="2"/>
  <c r="AG103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H93" i="2"/>
  <c r="AH94" i="2"/>
  <c r="AH95" i="2"/>
  <c r="AH96" i="2"/>
  <c r="AH100" i="2"/>
  <c r="AH103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I93" i="2"/>
  <c r="AI94" i="2"/>
  <c r="AI95" i="2"/>
  <c r="AI96" i="2"/>
  <c r="AI97" i="2"/>
  <c r="AI100" i="2"/>
  <c r="AI101" i="2"/>
  <c r="AI102" i="2"/>
  <c r="AI103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J93" i="2"/>
  <c r="AJ94" i="2"/>
  <c r="AJ95" i="2"/>
  <c r="AJ96" i="2"/>
  <c r="AJ97" i="2"/>
  <c r="AJ98" i="2"/>
  <c r="AJ100" i="2"/>
  <c r="AJ103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K93" i="2"/>
  <c r="AK94" i="2"/>
  <c r="AK95" i="2"/>
  <c r="AK96" i="2"/>
  <c r="AK97" i="2"/>
  <c r="AK98" i="2"/>
  <c r="AK99" i="2"/>
  <c r="AK103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L93" i="2"/>
  <c r="AL94" i="2"/>
  <c r="AL95" i="2"/>
  <c r="AL96" i="2"/>
  <c r="AL97" i="2"/>
  <c r="AL98" i="2"/>
  <c r="AL99" i="2"/>
  <c r="AL100" i="2"/>
  <c r="AL103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M93" i="2"/>
  <c r="AM94" i="2"/>
  <c r="AM95" i="2"/>
  <c r="AM96" i="2"/>
  <c r="AM97" i="2"/>
  <c r="AM98" i="2"/>
  <c r="AM99" i="2"/>
  <c r="AM100" i="2"/>
  <c r="AM101" i="2"/>
  <c r="AM103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N93" i="2"/>
  <c r="AN94" i="2"/>
  <c r="AN95" i="2"/>
  <c r="AN96" i="2"/>
  <c r="AN97" i="2"/>
  <c r="AN98" i="2"/>
  <c r="AN99" i="2"/>
  <c r="AN100" i="2"/>
  <c r="AN101" i="2"/>
  <c r="AN102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O93" i="2"/>
  <c r="AO94" i="2"/>
  <c r="AO95" i="2"/>
  <c r="AO96" i="2"/>
  <c r="AO97" i="2"/>
  <c r="AO98" i="2"/>
  <c r="AO99" i="2"/>
  <c r="AO100" i="2"/>
  <c r="AO101" i="2"/>
  <c r="AO102" i="2"/>
  <c r="AO103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29" i="2"/>
  <c r="N129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T136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U136" i="2"/>
  <c r="U143" i="2"/>
  <c r="U144" i="2"/>
  <c r="U145" i="2"/>
  <c r="U146" i="2"/>
  <c r="U147" i="2"/>
  <c r="U131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V136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X138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Y138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Z144" i="2"/>
  <c r="Z146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AA140" i="2"/>
  <c r="AA146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B144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D134" i="2"/>
  <c r="AD136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E134" i="2"/>
  <c r="AE135" i="2"/>
  <c r="AE142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F134" i="2"/>
  <c r="AF135" i="2"/>
  <c r="AF140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G134" i="2"/>
  <c r="AG135" i="2"/>
  <c r="AG136" i="2"/>
  <c r="AG143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H134" i="2"/>
  <c r="AH135" i="2"/>
  <c r="AH136" i="2"/>
  <c r="AH137" i="2"/>
  <c r="AH144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I134" i="2"/>
  <c r="AI135" i="2"/>
  <c r="AI136" i="2"/>
  <c r="AI137" i="2"/>
  <c r="AI138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J134" i="2"/>
  <c r="AJ135" i="2"/>
  <c r="AJ136" i="2"/>
  <c r="AJ137" i="2"/>
  <c r="AJ138" i="2"/>
  <c r="AJ139" i="2"/>
  <c r="AJ146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K134" i="2"/>
  <c r="AK135" i="2"/>
  <c r="AK136" i="2"/>
  <c r="AK137" i="2"/>
  <c r="AK138" i="2"/>
  <c r="AK139" i="2"/>
  <c r="AK140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L134" i="2"/>
  <c r="AL135" i="2"/>
  <c r="AL136" i="2"/>
  <c r="AL137" i="2"/>
  <c r="AL138" i="2"/>
  <c r="AL139" i="2"/>
  <c r="AL140" i="2"/>
  <c r="AL141" i="2"/>
  <c r="AL144" i="2"/>
  <c r="AL145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M134" i="2"/>
  <c r="AM135" i="2"/>
  <c r="AM136" i="2"/>
  <c r="AM137" i="2"/>
  <c r="AM138" i="2"/>
  <c r="AM139" i="2"/>
  <c r="AM140" i="2"/>
  <c r="AM141" i="2"/>
  <c r="AM142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N134" i="2"/>
  <c r="AN135" i="2"/>
  <c r="AN136" i="2"/>
  <c r="AN137" i="2"/>
  <c r="AN138" i="2"/>
  <c r="AN139" i="2"/>
  <c r="AN140" i="2"/>
  <c r="AN141" i="2"/>
  <c r="AN142" i="2"/>
  <c r="AN143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O134" i="2"/>
  <c r="AO135" i="2"/>
  <c r="AO136" i="2"/>
  <c r="AO137" i="2"/>
  <c r="AO138" i="2"/>
  <c r="AO139" i="2"/>
  <c r="AO140" i="2"/>
  <c r="AO141" i="2"/>
  <c r="AO142" i="2"/>
  <c r="AO143" i="2"/>
  <c r="AO144" i="2"/>
  <c r="AO146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71" i="2"/>
  <c r="M170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N175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70" i="2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O175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P175" i="2"/>
  <c r="P177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Q175" i="2"/>
  <c r="Q177" i="2"/>
  <c r="Q178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R175" i="2"/>
  <c r="R177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S175" i="2"/>
  <c r="S177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T175" i="2"/>
  <c r="T177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U175" i="2"/>
  <c r="U177" i="2"/>
  <c r="U181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V175" i="2"/>
  <c r="V177" i="2"/>
  <c r="V181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W175" i="2"/>
  <c r="W177" i="2"/>
  <c r="W181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X175" i="2"/>
  <c r="X177" i="2"/>
  <c r="X181" i="2"/>
  <c r="X185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Y175" i="2"/>
  <c r="Y177" i="2"/>
  <c r="Y181" i="2"/>
  <c r="Y182" i="2"/>
  <c r="Y185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Z175" i="2"/>
  <c r="Z177" i="2"/>
  <c r="Z178" i="2"/>
  <c r="Z181" i="2"/>
  <c r="Z185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AA175" i="2"/>
  <c r="AA177" i="2"/>
  <c r="AA181" i="2"/>
  <c r="AA185" i="2"/>
  <c r="AA186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B175" i="2"/>
  <c r="AB177" i="2"/>
  <c r="AB179" i="2"/>
  <c r="AB181" i="2"/>
  <c r="AB185" i="2"/>
  <c r="AB186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C175" i="2"/>
  <c r="AC177" i="2"/>
  <c r="AC180" i="2"/>
  <c r="AC181" i="2"/>
  <c r="AC184" i="2"/>
  <c r="AC185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D175" i="2"/>
  <c r="AD177" i="2"/>
  <c r="AD181" i="2"/>
  <c r="AD185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E175" i="2"/>
  <c r="AE176" i="2"/>
  <c r="AE177" i="2"/>
  <c r="AE181" i="2"/>
  <c r="AE185" i="2"/>
  <c r="AE186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F175" i="2"/>
  <c r="AF176" i="2"/>
  <c r="AF181" i="2"/>
  <c r="AF185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G175" i="2"/>
  <c r="AG176" i="2"/>
  <c r="AG177" i="2"/>
  <c r="AG181" i="2"/>
  <c r="AG185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H175" i="2"/>
  <c r="AH176" i="2"/>
  <c r="AH177" i="2"/>
  <c r="AH178" i="2"/>
  <c r="AH181" i="2"/>
  <c r="AH185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I175" i="2"/>
  <c r="AI176" i="2"/>
  <c r="AI177" i="2"/>
  <c r="AI178" i="2"/>
  <c r="AI179" i="2"/>
  <c r="AI181" i="2"/>
  <c r="AI185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J175" i="2"/>
  <c r="AJ176" i="2"/>
  <c r="AJ177" i="2"/>
  <c r="AJ178" i="2"/>
  <c r="AJ179" i="2"/>
  <c r="AJ180" i="2"/>
  <c r="AJ185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K175" i="2"/>
  <c r="AK176" i="2"/>
  <c r="AK177" i="2"/>
  <c r="AK178" i="2"/>
  <c r="AK179" i="2"/>
  <c r="AK180" i="2"/>
  <c r="AK181" i="2"/>
  <c r="AK185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L175" i="2"/>
  <c r="AL176" i="2"/>
  <c r="AL177" i="2"/>
  <c r="AL178" i="2"/>
  <c r="AL179" i="2"/>
  <c r="AL180" i="2"/>
  <c r="AL181" i="2"/>
  <c r="AL182" i="2"/>
  <c r="AL185" i="2"/>
  <c r="AL186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M175" i="2"/>
  <c r="AM176" i="2"/>
  <c r="AM177" i="2"/>
  <c r="AM178" i="2"/>
  <c r="AM179" i="2"/>
  <c r="AM180" i="2"/>
  <c r="AM181" i="2"/>
  <c r="AM182" i="2"/>
  <c r="AM183" i="2"/>
  <c r="AM185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N175" i="2"/>
  <c r="AN176" i="2"/>
  <c r="AN177" i="2"/>
  <c r="AN178" i="2"/>
  <c r="AN179" i="2"/>
  <c r="AN180" i="2"/>
  <c r="AN181" i="2"/>
  <c r="AN182" i="2"/>
  <c r="AN183" i="2"/>
  <c r="AN184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O175" i="2"/>
  <c r="AO176" i="2"/>
  <c r="AO177" i="2"/>
  <c r="AO178" i="2"/>
  <c r="AO179" i="2"/>
  <c r="AO180" i="2"/>
  <c r="AO181" i="2"/>
  <c r="AO182" i="2"/>
  <c r="AO183" i="2"/>
  <c r="AO184" i="2"/>
  <c r="AO185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11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O216" i="2"/>
  <c r="O217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P216" i="2"/>
  <c r="P217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Q216" i="2"/>
  <c r="Q217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R216" i="2"/>
  <c r="R217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S216" i="2"/>
  <c r="S217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T216" i="2"/>
  <c r="T217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V216" i="2"/>
  <c r="V217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W216" i="2"/>
  <c r="W217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X216" i="2"/>
  <c r="X217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Y216" i="2"/>
  <c r="Y217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Z216" i="2"/>
  <c r="Z217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AA216" i="2"/>
  <c r="AA217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B216" i="2"/>
  <c r="AB217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D216" i="2"/>
  <c r="AD217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E216" i="2"/>
  <c r="AE217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F216" i="2"/>
  <c r="AF217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G216" i="2"/>
  <c r="AG217" i="2"/>
  <c r="AG218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F257" i="2"/>
  <c r="AF258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G257" i="2"/>
  <c r="AG258" i="2"/>
  <c r="AG259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O6" i="5"/>
  <c r="O7" i="5"/>
  <c r="F37" i="5"/>
  <c r="G37" i="5"/>
  <c r="AY37" i="5" s="1"/>
  <c r="H37" i="5"/>
  <c r="I37" i="5"/>
  <c r="J37" i="5"/>
  <c r="BB37" i="5" s="1"/>
  <c r="K37" i="5"/>
  <c r="BC37" i="5" s="1"/>
  <c r="B39" i="5"/>
  <c r="AC20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BD40" i="1"/>
  <c r="AQ92" i="2"/>
  <c r="AQ50" i="2"/>
  <c r="I81" i="2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V46" i="1"/>
  <c r="AU46" i="1"/>
  <c r="AT46" i="1"/>
  <c r="AS46" i="1"/>
  <c r="AR46" i="1"/>
  <c r="AQ46" i="1"/>
  <c r="AP46" i="1"/>
  <c r="AO46" i="1"/>
  <c r="AN46" i="1"/>
  <c r="AV45" i="1"/>
  <c r="AU45" i="1"/>
  <c r="AT45" i="1"/>
  <c r="AS45" i="1"/>
  <c r="AR45" i="1"/>
  <c r="AQ45" i="1"/>
  <c r="AP45" i="1"/>
  <c r="AO45" i="1"/>
  <c r="AN45" i="1"/>
  <c r="H57" i="2"/>
  <c r="H61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23" i="2"/>
  <c r="H24" i="2"/>
  <c r="H28" i="2"/>
  <c r="H29" i="2"/>
  <c r="H32" i="2"/>
  <c r="H33" i="2"/>
  <c r="H36" i="2"/>
  <c r="H37" i="2"/>
  <c r="BC40" i="1"/>
  <c r="BB40" i="1"/>
  <c r="BA40" i="1"/>
  <c r="AZ40" i="1"/>
  <c r="AY40" i="1"/>
  <c r="AX40" i="1"/>
  <c r="AW40" i="1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I287" i="2"/>
  <c r="I246" i="2"/>
  <c r="I205" i="2"/>
  <c r="I164" i="2"/>
  <c r="I123" i="2"/>
  <c r="U3" i="1"/>
  <c r="U6" i="1"/>
  <c r="U7" i="1"/>
  <c r="U8" i="1"/>
  <c r="U9" i="1"/>
  <c r="U10" i="1"/>
  <c r="B10" i="1" s="1"/>
  <c r="U11" i="1"/>
  <c r="U12" i="1"/>
  <c r="U13" i="1"/>
  <c r="U14" i="1"/>
  <c r="U15" i="1"/>
  <c r="U16" i="1"/>
  <c r="B16" i="1" s="1"/>
  <c r="U17" i="1"/>
  <c r="U18" i="1"/>
  <c r="U19" i="1"/>
  <c r="B19" i="1"/>
  <c r="U20" i="1"/>
  <c r="U21" i="1"/>
  <c r="U22" i="1"/>
  <c r="B22" i="1"/>
  <c r="U23" i="1"/>
  <c r="U24" i="1"/>
  <c r="B24" i="1" s="1"/>
  <c r="U25" i="1"/>
  <c r="U26" i="1"/>
  <c r="U27" i="1"/>
  <c r="U28" i="1"/>
  <c r="U29" i="1"/>
  <c r="U30" i="1"/>
  <c r="U31" i="1"/>
  <c r="U32" i="1"/>
  <c r="B32" i="1" s="1"/>
  <c r="U33" i="1"/>
  <c r="U34" i="1"/>
  <c r="B34" i="1"/>
  <c r="U35" i="1"/>
  <c r="V3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5" i="1" s="1"/>
  <c r="V26" i="1"/>
  <c r="V27" i="1"/>
  <c r="V28" i="1"/>
  <c r="V29" i="1"/>
  <c r="B29" i="1" s="1"/>
  <c r="V30" i="1"/>
  <c r="V31" i="1"/>
  <c r="V32" i="1"/>
  <c r="V33" i="1"/>
  <c r="B33" i="1" s="1"/>
  <c r="V34" i="1"/>
  <c r="V35" i="1"/>
  <c r="W3" i="1"/>
  <c r="W4" i="1"/>
  <c r="W6" i="1"/>
  <c r="W7" i="1"/>
  <c r="W8" i="1"/>
  <c r="W9" i="1"/>
  <c r="B9" i="1" s="1"/>
  <c r="W10" i="1"/>
  <c r="W11" i="1"/>
  <c r="W12" i="1"/>
  <c r="W13" i="1"/>
  <c r="W14" i="1"/>
  <c r="W15" i="1"/>
  <c r="W16" i="1"/>
  <c r="W17" i="1"/>
  <c r="W18" i="1"/>
  <c r="W19" i="1"/>
  <c r="W20" i="1"/>
  <c r="B20" i="1" s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X3" i="1"/>
  <c r="Y3" i="1"/>
  <c r="X6" i="1"/>
  <c r="X7" i="1"/>
  <c r="X8" i="1"/>
  <c r="X9" i="1"/>
  <c r="X10" i="1"/>
  <c r="X5" i="1" s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B26" i="1" s="1"/>
  <c r="X27" i="1"/>
  <c r="X28" i="1"/>
  <c r="B28" i="1" s="1"/>
  <c r="X29" i="1"/>
  <c r="X30" i="1"/>
  <c r="X31" i="1"/>
  <c r="X32" i="1"/>
  <c r="X33" i="1"/>
  <c r="X34" i="1"/>
  <c r="X35" i="1"/>
  <c r="Y6" i="1"/>
  <c r="Y7" i="1"/>
  <c r="Y8" i="1"/>
  <c r="Y9" i="1"/>
  <c r="Y10" i="1"/>
  <c r="Y11" i="1"/>
  <c r="B11" i="1" s="1"/>
  <c r="Y12" i="1"/>
  <c r="Y13" i="1"/>
  <c r="Y14" i="1"/>
  <c r="Y15" i="1"/>
  <c r="Y16" i="1"/>
  <c r="Y17" i="1"/>
  <c r="Y18" i="1"/>
  <c r="Y19" i="1"/>
  <c r="Y20" i="1"/>
  <c r="Y21" i="1"/>
  <c r="B21" i="1" s="1"/>
  <c r="Y22" i="1"/>
  <c r="Y23" i="1"/>
  <c r="Y24" i="1"/>
  <c r="Y25" i="1"/>
  <c r="Y26" i="1"/>
  <c r="Y27" i="1"/>
  <c r="B27" i="1" s="1"/>
  <c r="Y28" i="1"/>
  <c r="Y29" i="1"/>
  <c r="Y30" i="1"/>
  <c r="Y31" i="1"/>
  <c r="Y32" i="1"/>
  <c r="Y33" i="1"/>
  <c r="Y34" i="1"/>
  <c r="Y35" i="1"/>
  <c r="Z6" i="1"/>
  <c r="Z7" i="1"/>
  <c r="Z8" i="1"/>
  <c r="Z9" i="1"/>
  <c r="Z10" i="1"/>
  <c r="Z11" i="1"/>
  <c r="Z12" i="1"/>
  <c r="Z13" i="1"/>
  <c r="B13" i="1" s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AA6" i="1"/>
  <c r="AA5" i="1"/>
  <c r="AA7" i="1"/>
  <c r="AA8" i="1"/>
  <c r="AA40" i="1" s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BH19" i="1"/>
  <c r="BG19" i="1"/>
  <c r="BF19" i="1"/>
  <c r="BE19" i="1"/>
  <c r="BD19" i="1"/>
  <c r="BH18" i="1"/>
  <c r="BG18" i="1"/>
  <c r="BF18" i="1"/>
  <c r="BE18" i="1"/>
  <c r="BD18" i="1"/>
  <c r="BH17" i="1"/>
  <c r="BG17" i="1"/>
  <c r="BF17" i="1"/>
  <c r="BE17" i="1"/>
  <c r="BD17" i="1"/>
  <c r="BH16" i="1"/>
  <c r="BG16" i="1"/>
  <c r="BF16" i="1"/>
  <c r="BE16" i="1"/>
  <c r="BD16" i="1"/>
  <c r="BH15" i="1"/>
  <c r="BG15" i="1"/>
  <c r="BF15" i="1"/>
  <c r="BE15" i="1"/>
  <c r="BD15" i="1"/>
  <c r="BH14" i="1"/>
  <c r="BG14" i="1"/>
  <c r="BF14" i="1"/>
  <c r="BE14" i="1"/>
  <c r="BD14" i="1"/>
  <c r="BH13" i="1"/>
  <c r="BG13" i="1"/>
  <c r="BF13" i="1"/>
  <c r="BF5" i="1"/>
  <c r="BE13" i="1"/>
  <c r="BD13" i="1"/>
  <c r="BH12" i="1"/>
  <c r="BG12" i="1"/>
  <c r="BF12" i="1"/>
  <c r="BE12" i="1"/>
  <c r="BD12" i="1"/>
  <c r="BH11" i="1"/>
  <c r="BG11" i="1"/>
  <c r="BF11" i="1"/>
  <c r="BE11" i="1"/>
  <c r="BD11" i="1"/>
  <c r="BH10" i="1"/>
  <c r="BG10" i="1"/>
  <c r="BF10" i="1"/>
  <c r="BE10" i="1"/>
  <c r="BD10" i="1"/>
  <c r="T5" i="1"/>
  <c r="BC8" i="1"/>
  <c r="BJ9" i="1"/>
  <c r="S5" i="1"/>
  <c r="BI9" i="1"/>
  <c r="BB8" i="1"/>
  <c r="BH9" i="1"/>
  <c r="BG9" i="1"/>
  <c r="BF9" i="1"/>
  <c r="BE9" i="1"/>
  <c r="BD9" i="1"/>
  <c r="BI8" i="1"/>
  <c r="BI20" i="1"/>
  <c r="BH8" i="1"/>
  <c r="BG8" i="1"/>
  <c r="BF8" i="1"/>
  <c r="BE8" i="1"/>
  <c r="BD8" i="1"/>
  <c r="BH7" i="1"/>
  <c r="BG7" i="1"/>
  <c r="BF7" i="1"/>
  <c r="BE7" i="1"/>
  <c r="BD7" i="1"/>
  <c r="BH6" i="1"/>
  <c r="BG6" i="1"/>
  <c r="BF6" i="1"/>
  <c r="BE6" i="1"/>
  <c r="BD6" i="1"/>
  <c r="BD20" i="1" s="1"/>
  <c r="BC9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AZ19" i="1"/>
  <c r="AZ18" i="1"/>
  <c r="AZ17" i="1"/>
  <c r="AZ16" i="1"/>
  <c r="AZ15" i="1"/>
  <c r="AZ14" i="1"/>
  <c r="AZ13" i="1"/>
  <c r="AZ12" i="1"/>
  <c r="AZ11" i="1"/>
  <c r="AZ10" i="1"/>
  <c r="AZ9" i="1"/>
  <c r="AZ20" i="1" s="1"/>
  <c r="Q93" i="1" s="1"/>
  <c r="AZ8" i="1"/>
  <c r="AZ7" i="1"/>
  <c r="AZ6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20" i="1" s="1"/>
  <c r="P93" i="1" s="1"/>
  <c r="AY6" i="1"/>
  <c r="AX19" i="1"/>
  <c r="AX18" i="1"/>
  <c r="AX17" i="1"/>
  <c r="AX16" i="1"/>
  <c r="AX15" i="1"/>
  <c r="AX14" i="1"/>
  <c r="AX13" i="1"/>
  <c r="AX12" i="1"/>
  <c r="AX11" i="1"/>
  <c r="AX5" i="1" s="1"/>
  <c r="AX10" i="1"/>
  <c r="AX9" i="1"/>
  <c r="AX8" i="1"/>
  <c r="AX20" i="1"/>
  <c r="AX7" i="1"/>
  <c r="AX6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5" i="1" s="1"/>
  <c r="AW6" i="1"/>
  <c r="AN3" i="1"/>
  <c r="AO3" i="1"/>
  <c r="F90" i="1" s="1"/>
  <c r="O40" i="1"/>
  <c r="P40" i="1"/>
  <c r="CF40" i="1"/>
  <c r="Q40" i="1"/>
  <c r="CG40" i="1" s="1"/>
  <c r="R40" i="1"/>
  <c r="S40" i="1"/>
  <c r="T40" i="1"/>
  <c r="N40" i="1"/>
  <c r="CD40" i="1"/>
  <c r="Q5" i="1"/>
  <c r="P5" i="1"/>
  <c r="V4" i="1"/>
  <c r="U4" i="1"/>
  <c r="M4" i="1"/>
  <c r="L4" i="1"/>
  <c r="K4" i="1"/>
  <c r="AT23" i="1"/>
  <c r="J4" i="1"/>
  <c r="I4" i="1"/>
  <c r="H4" i="1"/>
  <c r="G4" i="1"/>
  <c r="AP23" i="1" s="1"/>
  <c r="F4" i="1"/>
  <c r="AO4" i="1" s="1"/>
  <c r="F91" i="1" s="1"/>
  <c r="E4" i="1"/>
  <c r="CC8" i="1"/>
  <c r="G5" i="1"/>
  <c r="L40" i="1"/>
  <c r="BK40" i="1"/>
  <c r="AB104" i="1"/>
  <c r="BJ40" i="1"/>
  <c r="AA104" i="1"/>
  <c r="BI40" i="1"/>
  <c r="Z104" i="1"/>
  <c r="BH40" i="1"/>
  <c r="BE40" i="1"/>
  <c r="V104" i="1"/>
  <c r="U104" i="1"/>
  <c r="BK16" i="1"/>
  <c r="BK17" i="1"/>
  <c r="BK18" i="1"/>
  <c r="BK19" i="1"/>
  <c r="BK6" i="1"/>
  <c r="BK7" i="1"/>
  <c r="BK8" i="1"/>
  <c r="BK9" i="1"/>
  <c r="BK10" i="1"/>
  <c r="BK11" i="1"/>
  <c r="BK12" i="1"/>
  <c r="BK13" i="1"/>
  <c r="BK14" i="1"/>
  <c r="BK15" i="1"/>
  <c r="AB100" i="1"/>
  <c r="Z100" i="1"/>
  <c r="Y100" i="1"/>
  <c r="V100" i="1"/>
  <c r="U100" i="1"/>
  <c r="S100" i="1"/>
  <c r="AB98" i="1"/>
  <c r="AA98" i="1"/>
  <c r="Z98" i="1"/>
  <c r="V98" i="1"/>
  <c r="U98" i="1"/>
  <c r="S98" i="1"/>
  <c r="AB96" i="1"/>
  <c r="Z96" i="1"/>
  <c r="Y96" i="1"/>
  <c r="V96" i="1"/>
  <c r="U96" i="1"/>
  <c r="S96" i="1"/>
  <c r="AB94" i="1"/>
  <c r="AA94" i="1"/>
  <c r="Z94" i="1"/>
  <c r="V94" i="1"/>
  <c r="U94" i="1"/>
  <c r="T94" i="1"/>
  <c r="S94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CU35" i="1"/>
  <c r="CT35" i="1"/>
  <c r="CS35" i="1"/>
  <c r="CR35" i="1"/>
  <c r="CU34" i="1"/>
  <c r="CT34" i="1"/>
  <c r="CS34" i="1"/>
  <c r="CR34" i="1"/>
  <c r="CU33" i="1"/>
  <c r="CT33" i="1"/>
  <c r="CS33" i="1"/>
  <c r="CR33" i="1"/>
  <c r="CU32" i="1"/>
  <c r="CT32" i="1"/>
  <c r="CS32" i="1"/>
  <c r="CR32" i="1"/>
  <c r="CU31" i="1"/>
  <c r="CT31" i="1"/>
  <c r="CS31" i="1"/>
  <c r="CR31" i="1"/>
  <c r="CU30" i="1"/>
  <c r="CT30" i="1"/>
  <c r="CS30" i="1"/>
  <c r="CR30" i="1"/>
  <c r="CU29" i="1"/>
  <c r="CT29" i="1"/>
  <c r="CS29" i="1"/>
  <c r="CR29" i="1"/>
  <c r="CU28" i="1"/>
  <c r="CT28" i="1"/>
  <c r="CS28" i="1"/>
  <c r="CR28" i="1"/>
  <c r="CU27" i="1"/>
  <c r="CT27" i="1"/>
  <c r="CS27" i="1"/>
  <c r="CR27" i="1"/>
  <c r="CU26" i="1"/>
  <c r="CT26" i="1"/>
  <c r="CS26" i="1"/>
  <c r="CR26" i="1"/>
  <c r="CU25" i="1"/>
  <c r="CT25" i="1"/>
  <c r="CS25" i="1"/>
  <c r="CR25" i="1"/>
  <c r="CU24" i="1"/>
  <c r="CT24" i="1"/>
  <c r="CS24" i="1"/>
  <c r="CR24" i="1"/>
  <c r="CU23" i="1"/>
  <c r="CT23" i="1"/>
  <c r="CS23" i="1"/>
  <c r="CR23" i="1"/>
  <c r="CU22" i="1"/>
  <c r="CT22" i="1"/>
  <c r="CS22" i="1"/>
  <c r="CR22" i="1"/>
  <c r="CU21" i="1"/>
  <c r="CT21" i="1"/>
  <c r="CS21" i="1"/>
  <c r="CR21" i="1"/>
  <c r="CU20" i="1"/>
  <c r="CT20" i="1"/>
  <c r="CS20" i="1"/>
  <c r="CR20" i="1"/>
  <c r="CU19" i="1"/>
  <c r="CT19" i="1"/>
  <c r="CS19" i="1"/>
  <c r="CR19" i="1"/>
  <c r="CU18" i="1"/>
  <c r="CT18" i="1"/>
  <c r="CS18" i="1"/>
  <c r="CR18" i="1"/>
  <c r="CU17" i="1"/>
  <c r="CT17" i="1"/>
  <c r="CS17" i="1"/>
  <c r="CR17" i="1"/>
  <c r="CU16" i="1"/>
  <c r="CT16" i="1"/>
  <c r="CS16" i="1"/>
  <c r="CR16" i="1"/>
  <c r="CU15" i="1"/>
  <c r="CT15" i="1"/>
  <c r="CS15" i="1"/>
  <c r="CR15" i="1"/>
  <c r="CU14" i="1"/>
  <c r="CT14" i="1"/>
  <c r="CS14" i="1"/>
  <c r="CR14" i="1"/>
  <c r="CU13" i="1"/>
  <c r="CT13" i="1"/>
  <c r="CS13" i="1"/>
  <c r="CR13" i="1"/>
  <c r="CU12" i="1"/>
  <c r="CT12" i="1"/>
  <c r="CS12" i="1"/>
  <c r="CR12" i="1"/>
  <c r="CU11" i="1"/>
  <c r="CT11" i="1"/>
  <c r="CS11" i="1"/>
  <c r="CR11" i="1"/>
  <c r="CU10" i="1"/>
  <c r="CT10" i="1"/>
  <c r="CS10" i="1"/>
  <c r="CR10" i="1"/>
  <c r="CU9" i="1"/>
  <c r="CT9" i="1"/>
  <c r="CS9" i="1"/>
  <c r="CR9" i="1"/>
  <c r="CU8" i="1"/>
  <c r="CT8" i="1"/>
  <c r="CS8" i="1"/>
  <c r="CR8" i="1"/>
  <c r="CU7" i="1"/>
  <c r="CT7" i="1"/>
  <c r="CS7" i="1"/>
  <c r="CR7" i="1"/>
  <c r="CU6" i="1"/>
  <c r="CU5" i="1" s="1"/>
  <c r="CT6" i="1"/>
  <c r="CT5" i="1" s="1"/>
  <c r="CS6" i="1"/>
  <c r="CR6" i="1"/>
  <c r="CR5" i="1" s="1"/>
  <c r="BF40" i="1"/>
  <c r="BG40" i="1"/>
  <c r="S90" i="1"/>
  <c r="T90" i="1"/>
  <c r="U90" i="1"/>
  <c r="V90" i="1"/>
  <c r="W90" i="1"/>
  <c r="X90" i="1"/>
  <c r="Y90" i="1"/>
  <c r="S91" i="1"/>
  <c r="T91" i="1"/>
  <c r="U91" i="1"/>
  <c r="V91" i="1"/>
  <c r="W91" i="1"/>
  <c r="X91" i="1"/>
  <c r="Y91" i="1"/>
  <c r="AT40" i="1"/>
  <c r="AT16" i="1"/>
  <c r="AT17" i="1"/>
  <c r="AT18" i="1"/>
  <c r="AT19" i="1"/>
  <c r="AT6" i="1"/>
  <c r="AT7" i="1"/>
  <c r="AT8" i="1"/>
  <c r="AT9" i="1"/>
  <c r="AT10" i="1"/>
  <c r="AT11" i="1"/>
  <c r="AT20" i="1" s="1"/>
  <c r="AT12" i="1"/>
  <c r="AT13" i="1"/>
  <c r="AT14" i="1"/>
  <c r="AT15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N5" i="1"/>
  <c r="N96" i="1"/>
  <c r="AI5" i="1"/>
  <c r="AH5" i="1"/>
  <c r="AG5" i="1"/>
  <c r="AF5" i="1"/>
  <c r="AE5" i="1"/>
  <c r="AD5" i="1"/>
  <c r="AC5" i="1"/>
  <c r="AB5" i="1"/>
  <c r="R5" i="1"/>
  <c r="O5" i="1"/>
  <c r="M5" i="1"/>
  <c r="L5" i="1"/>
  <c r="K5" i="1"/>
  <c r="J5" i="1"/>
  <c r="I5" i="1"/>
  <c r="H5" i="1"/>
  <c r="F5" i="1"/>
  <c r="E5" i="1"/>
  <c r="AN6" i="1"/>
  <c r="AN7" i="1"/>
  <c r="AN8" i="1"/>
  <c r="AN9" i="1"/>
  <c r="AN10" i="1"/>
  <c r="AN11" i="1"/>
  <c r="B12" i="1"/>
  <c r="AN12" i="1"/>
  <c r="AN13" i="1"/>
  <c r="B14" i="1"/>
  <c r="AN14" i="1"/>
  <c r="AN15" i="1"/>
  <c r="AN16" i="1"/>
  <c r="AN17" i="1"/>
  <c r="AN18" i="1"/>
  <c r="AN19" i="1"/>
  <c r="AN22" i="1"/>
  <c r="AN23" i="1"/>
  <c r="E40" i="1"/>
  <c r="F40" i="1"/>
  <c r="G40" i="1"/>
  <c r="H40" i="1"/>
  <c r="I40" i="1"/>
  <c r="J40" i="1"/>
  <c r="K40" i="1"/>
  <c r="M40" i="1"/>
  <c r="AB40" i="1"/>
  <c r="AC40" i="1"/>
  <c r="AD40" i="1"/>
  <c r="AE40" i="1"/>
  <c r="AF40" i="1"/>
  <c r="AG40" i="1"/>
  <c r="AH40" i="1"/>
  <c r="AI37" i="1"/>
  <c r="B37" i="1"/>
  <c r="B39" i="1"/>
  <c r="AN4" i="1"/>
  <c r="E91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R6" i="1"/>
  <c r="AR5" i="1" s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U6" i="1"/>
  <c r="AU7" i="1"/>
  <c r="AU8" i="1"/>
  <c r="AU9" i="1"/>
  <c r="AU10" i="1"/>
  <c r="AU11" i="1"/>
  <c r="AU12" i="1"/>
  <c r="AU13" i="1"/>
  <c r="AU14" i="1"/>
  <c r="AU20" i="1" s="1"/>
  <c r="AU15" i="1"/>
  <c r="AU16" i="1"/>
  <c r="AU17" i="1"/>
  <c r="AU18" i="1"/>
  <c r="AU19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BL6" i="1"/>
  <c r="BL7" i="1"/>
  <c r="BL8" i="1"/>
  <c r="BL9" i="1"/>
  <c r="BL20" i="1" s="1"/>
  <c r="BL10" i="1"/>
  <c r="BL11" i="1"/>
  <c r="BL12" i="1"/>
  <c r="BL13" i="1"/>
  <c r="BL14" i="1"/>
  <c r="BL15" i="1"/>
  <c r="BL16" i="1"/>
  <c r="BL17" i="1"/>
  <c r="BL18" i="1"/>
  <c r="BL19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O6" i="1"/>
  <c r="BO5" i="1" s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AI44" i="1"/>
  <c r="AI45" i="1"/>
  <c r="AI46" i="1"/>
  <c r="AM8" i="1"/>
  <c r="AI47" i="1"/>
  <c r="AI48" i="1"/>
  <c r="AI49" i="1"/>
  <c r="AI50" i="1"/>
  <c r="AI62" i="1"/>
  <c r="AI63" i="1"/>
  <c r="AI64" i="1"/>
  <c r="AM15" i="1" s="1"/>
  <c r="AI65" i="1"/>
  <c r="AM16" i="1"/>
  <c r="AI66" i="1"/>
  <c r="AI67" i="1"/>
  <c r="AM18" i="1" s="1"/>
  <c r="AI68" i="1"/>
  <c r="AM6" i="1"/>
  <c r="AM7" i="1"/>
  <c r="AM9" i="1"/>
  <c r="AM10" i="1"/>
  <c r="AM11" i="1"/>
  <c r="AM13" i="1"/>
  <c r="AM14" i="1"/>
  <c r="AM17" i="1"/>
  <c r="AM19" i="1"/>
  <c r="AO22" i="1"/>
  <c r="AP22" i="1"/>
  <c r="AQ22" i="1"/>
  <c r="AR22" i="1"/>
  <c r="AS22" i="1"/>
  <c r="AT22" i="1"/>
  <c r="AU22" i="1"/>
  <c r="AV22" i="1"/>
  <c r="AO23" i="1"/>
  <c r="AQ23" i="1"/>
  <c r="AR23" i="1"/>
  <c r="AS23" i="1"/>
  <c r="AU23" i="1"/>
  <c r="AV23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N40" i="1"/>
  <c r="AO40" i="1"/>
  <c r="AP40" i="1"/>
  <c r="AQ40" i="1"/>
  <c r="AR40" i="1"/>
  <c r="AS40" i="1"/>
  <c r="AU40" i="1"/>
  <c r="L98" i="1" s="1"/>
  <c r="AV40" i="1"/>
  <c r="BL40" i="1"/>
  <c r="BM40" i="1"/>
  <c r="BN40" i="1"/>
  <c r="BO40" i="1"/>
  <c r="BP40" i="1"/>
  <c r="BQ40" i="1"/>
  <c r="AI88" i="1"/>
  <c r="E90" i="1"/>
  <c r="G90" i="1"/>
  <c r="H90" i="1"/>
  <c r="I90" i="1"/>
  <c r="J90" i="1"/>
  <c r="K90" i="1"/>
  <c r="L90" i="1"/>
  <c r="M90" i="1"/>
  <c r="N90" i="1"/>
  <c r="O90" i="1"/>
  <c r="P90" i="1"/>
  <c r="Q90" i="1"/>
  <c r="R90" i="1"/>
  <c r="Z90" i="1"/>
  <c r="AA90" i="1"/>
  <c r="AB90" i="1"/>
  <c r="AC90" i="1"/>
  <c r="AD90" i="1"/>
  <c r="AE90" i="1"/>
  <c r="AF90" i="1"/>
  <c r="AG90" i="1"/>
  <c r="AH90" i="1"/>
  <c r="G91" i="1"/>
  <c r="H91" i="1"/>
  <c r="I91" i="1"/>
  <c r="J91" i="1"/>
  <c r="K91" i="1"/>
  <c r="L91" i="1"/>
  <c r="M91" i="1"/>
  <c r="N91" i="1"/>
  <c r="O91" i="1"/>
  <c r="P91" i="1"/>
  <c r="Q91" i="1"/>
  <c r="R91" i="1"/>
  <c r="Z91" i="1"/>
  <c r="AA91" i="1"/>
  <c r="L94" i="1"/>
  <c r="N94" i="1"/>
  <c r="L96" i="1"/>
  <c r="N98" i="1"/>
  <c r="N100" i="1"/>
  <c r="O100" i="1"/>
  <c r="N104" i="1"/>
  <c r="BU4" i="1"/>
  <c r="BV4" i="1"/>
  <c r="BU5" i="1"/>
  <c r="BV5" i="1"/>
  <c r="BW5" i="1"/>
  <c r="BX5" i="1"/>
  <c r="BY5" i="1"/>
  <c r="BZ5" i="1"/>
  <c r="CA5" i="1"/>
  <c r="CB6" i="1"/>
  <c r="CB5" i="1" s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C6" i="1"/>
  <c r="CC5" i="1" s="1"/>
  <c r="CC7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S5" i="1"/>
  <c r="CV5" i="1"/>
  <c r="CW5" i="1"/>
  <c r="CX5" i="1"/>
  <c r="AI111" i="1"/>
  <c r="CP40" i="1"/>
  <c r="AI145" i="1"/>
  <c r="W103" i="2"/>
  <c r="Y103" i="2"/>
  <c r="X103" i="2"/>
  <c r="Z103" i="2"/>
  <c r="V99" i="2"/>
  <c r="N255" i="2"/>
  <c r="F92" i="2"/>
  <c r="N4" i="2"/>
  <c r="AB218" i="4"/>
  <c r="AG58" i="2"/>
  <c r="AJ18" i="2"/>
  <c r="X14" i="2"/>
  <c r="E256" i="2"/>
  <c r="S95" i="4"/>
  <c r="Z103" i="4"/>
  <c r="R261" i="6"/>
  <c r="T258" i="6"/>
  <c r="W225" i="6"/>
  <c r="X225" i="6"/>
  <c r="AA270" i="6"/>
  <c r="AA266" i="6"/>
  <c r="AA258" i="6"/>
  <c r="AB270" i="6"/>
  <c r="AB266" i="6"/>
  <c r="AB258" i="6"/>
  <c r="AD258" i="6"/>
  <c r="AG270" i="6"/>
  <c r="AG266" i="6"/>
  <c r="AH270" i="6"/>
  <c r="AH266" i="6"/>
  <c r="AK270" i="6"/>
  <c r="AK266" i="6"/>
  <c r="AL270" i="6"/>
  <c r="AL266" i="6"/>
  <c r="AM229" i="6"/>
  <c r="AM225" i="6"/>
  <c r="AM270" i="6"/>
  <c r="AM266" i="6"/>
  <c r="AO229" i="6"/>
  <c r="AP229" i="6"/>
  <c r="AP270" i="6"/>
  <c r="AN62" i="2"/>
  <c r="Z58" i="2"/>
  <c r="Z14" i="2"/>
  <c r="F7" i="2"/>
  <c r="H97" i="2"/>
  <c r="AE103" i="4"/>
  <c r="AE187" i="4"/>
  <c r="R258" i="6"/>
  <c r="S261" i="6"/>
  <c r="U261" i="6"/>
  <c r="V225" i="6"/>
  <c r="W261" i="6"/>
  <c r="X261" i="6"/>
  <c r="Y225" i="6"/>
  <c r="Z229" i="6"/>
  <c r="Z225" i="6"/>
  <c r="AC229" i="6"/>
  <c r="AC225" i="6"/>
  <c r="AC261" i="6"/>
  <c r="AF270" i="6"/>
  <c r="AF266" i="6"/>
  <c r="AG229" i="6"/>
  <c r="AG225" i="6"/>
  <c r="AJ229" i="6"/>
  <c r="AJ225" i="6"/>
  <c r="AJ270" i="6"/>
  <c r="AJ266" i="6"/>
  <c r="AO270" i="6"/>
  <c r="Y54" i="2"/>
  <c r="AG14" i="2"/>
  <c r="H259" i="2"/>
  <c r="H256" i="2" s="1"/>
  <c r="AO187" i="4"/>
  <c r="S258" i="6"/>
  <c r="U258" i="6"/>
  <c r="V261" i="6"/>
  <c r="W266" i="6"/>
  <c r="W258" i="6"/>
  <c r="X266" i="6"/>
  <c r="Y261" i="6"/>
  <c r="Z261" i="6"/>
  <c r="AA229" i="6"/>
  <c r="AA225" i="6"/>
  <c r="AB229" i="6"/>
  <c r="AB225" i="6"/>
  <c r="AC270" i="6"/>
  <c r="AC266" i="6"/>
  <c r="AD270" i="6"/>
  <c r="AD266" i="6"/>
  <c r="AE270" i="6"/>
  <c r="AI229" i="6"/>
  <c r="R253" i="2"/>
  <c r="S253" i="2" s="1"/>
  <c r="U218" i="4"/>
  <c r="V218" i="4"/>
  <c r="Z218" i="4"/>
  <c r="O253" i="4"/>
  <c r="P253" i="4"/>
  <c r="Q253" i="4" s="1"/>
  <c r="AV5" i="1"/>
  <c r="Y4" i="1"/>
  <c r="Z3" i="1"/>
  <c r="BP5" i="1"/>
  <c r="Z99" i="1"/>
  <c r="Z103" i="1"/>
  <c r="Z95" i="1"/>
  <c r="Z97" i="1"/>
  <c r="Z93" i="1"/>
  <c r="AO20" i="1"/>
  <c r="BV40" i="1" s="1"/>
  <c r="O95" i="1"/>
  <c r="O93" i="1"/>
  <c r="U93" i="1"/>
  <c r="CK40" i="1"/>
  <c r="Q88" i="6"/>
  <c r="R88" i="6" s="1"/>
  <c r="S88" i="6" s="1"/>
  <c r="T88" i="6" s="1"/>
  <c r="U88" i="6" s="1"/>
  <c r="V88" i="6" s="1"/>
  <c r="W88" i="6" s="1"/>
  <c r="X88" i="6" s="1"/>
  <c r="Y88" i="6" s="1"/>
  <c r="Z88" i="6" s="1"/>
  <c r="AA88" i="6" s="1"/>
  <c r="U172" i="2"/>
  <c r="F133" i="2"/>
  <c r="N130" i="4"/>
  <c r="U131" i="4"/>
  <c r="AC130" i="4"/>
  <c r="Z252" i="6"/>
  <c r="BJ8" i="1"/>
  <c r="AW20" i="1"/>
  <c r="BG20" i="1"/>
  <c r="CN40" i="1" s="1"/>
  <c r="AR20" i="1"/>
  <c r="BY40" i="1"/>
  <c r="X40" i="1"/>
  <c r="Y94" i="1"/>
  <c r="AA96" i="1"/>
  <c r="Y98" i="1"/>
  <c r="AA100" i="1"/>
  <c r="T104" i="1"/>
  <c r="Y104" i="1"/>
  <c r="X4" i="1"/>
  <c r="L104" i="1"/>
  <c r="L100" i="1"/>
  <c r="O94" i="1"/>
  <c r="BI5" i="1"/>
  <c r="AT5" i="1"/>
  <c r="Y40" i="1"/>
  <c r="U40" i="1"/>
  <c r="K96" i="1"/>
  <c r="T96" i="1"/>
  <c r="S104" i="1"/>
  <c r="BB9" i="1"/>
  <c r="BB20" i="1" s="1"/>
  <c r="Z129" i="6"/>
  <c r="Z211" i="6"/>
  <c r="Q47" i="6"/>
  <c r="AF47" i="6"/>
  <c r="X48" i="6"/>
  <c r="BF20" i="1"/>
  <c r="CM40" i="1"/>
  <c r="AA184" i="4"/>
  <c r="AD176" i="4"/>
  <c r="AB147" i="4"/>
  <c r="X139" i="4"/>
  <c r="P46" i="6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O4" i="6"/>
  <c r="AD4" i="6"/>
  <c r="AL5" i="6" s="1"/>
  <c r="V5" i="6"/>
  <c r="O253" i="6"/>
  <c r="V254" i="6"/>
  <c r="AB31" i="5"/>
  <c r="AB26" i="5" s="1"/>
  <c r="N170" i="6"/>
  <c r="O170" i="6"/>
  <c r="P170" i="6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C130" i="6"/>
  <c r="N130" i="6"/>
  <c r="M171" i="4"/>
  <c r="U172" i="4" s="1"/>
  <c r="N212" i="6"/>
  <c r="AC30" i="5"/>
  <c r="AB32" i="5"/>
  <c r="AB72" i="5"/>
  <c r="N47" i="4"/>
  <c r="V48" i="4" s="1"/>
  <c r="N89" i="6"/>
  <c r="AD89" i="6" s="1"/>
  <c r="U90" i="6"/>
  <c r="N129" i="4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AG129" i="4" s="1"/>
  <c r="AH129" i="4" s="1"/>
  <c r="AI129" i="4" s="1"/>
  <c r="AJ129" i="4" s="1"/>
  <c r="AK129" i="4" s="1"/>
  <c r="AL129" i="4" s="1"/>
  <c r="AM129" i="4" s="1"/>
  <c r="AN129" i="4" s="1"/>
  <c r="AO129" i="4" s="1"/>
  <c r="U180" i="4"/>
  <c r="AB70" i="5"/>
  <c r="AC212" i="6"/>
  <c r="AD171" i="6"/>
  <c r="P171" i="6"/>
  <c r="AK90" i="6"/>
  <c r="Y51" i="4"/>
  <c r="M89" i="4"/>
  <c r="F92" i="4"/>
  <c r="H95" i="4"/>
  <c r="AI61" i="4"/>
  <c r="AH57" i="4"/>
  <c r="Z57" i="4"/>
  <c r="AE47" i="6"/>
  <c r="W48" i="6"/>
  <c r="Z3" i="6"/>
  <c r="AA3" i="6" s="1"/>
  <c r="AB3" i="6" s="1"/>
  <c r="AC3" i="6" s="1"/>
  <c r="AD3" i="6" s="1"/>
  <c r="AC72" i="5"/>
  <c r="AG261" i="6"/>
  <c r="AF261" i="6"/>
  <c r="AH261" i="6"/>
  <c r="AE261" i="6"/>
  <c r="V221" i="6"/>
  <c r="X221" i="6"/>
  <c r="Z221" i="6"/>
  <c r="AB221" i="6"/>
  <c r="AC221" i="6"/>
  <c r="AI221" i="6"/>
  <c r="AH221" i="6"/>
  <c r="AG221" i="6"/>
  <c r="AF221" i="6"/>
  <c r="AE221" i="6"/>
  <c r="P212" i="4"/>
  <c r="O211" i="4"/>
  <c r="P211" i="4" s="1"/>
  <c r="Q211" i="4" s="1"/>
  <c r="R211" i="4" s="1"/>
  <c r="AG264" i="6"/>
  <c r="AF264" i="6"/>
  <c r="AK264" i="6"/>
  <c r="AD264" i="6"/>
  <c r="AL224" i="6"/>
  <c r="AK224" i="6"/>
  <c r="AD224" i="6"/>
  <c r="W221" i="6"/>
  <c r="Y221" i="6"/>
  <c r="AA221" i="6"/>
  <c r="N255" i="4"/>
  <c r="O252" i="4"/>
  <c r="P252" i="4" s="1"/>
  <c r="Q252" i="4" s="1"/>
  <c r="R252" i="4" s="1"/>
  <c r="S252" i="4" s="1"/>
  <c r="T252" i="4" s="1"/>
  <c r="U252" i="4" s="1"/>
  <c r="V252" i="4" s="1"/>
  <c r="W252" i="4" s="1"/>
  <c r="X252" i="4" s="1"/>
  <c r="Y252" i="4" s="1"/>
  <c r="M214" i="4"/>
  <c r="I216" i="4" s="1"/>
  <c r="AC219" i="4"/>
  <c r="AF219" i="4"/>
  <c r="V5" i="2"/>
  <c r="AD4" i="2"/>
  <c r="AK213" i="6"/>
  <c r="AD212" i="6"/>
  <c r="V213" i="6"/>
  <c r="O212" i="6"/>
  <c r="V131" i="6"/>
  <c r="O130" i="6"/>
  <c r="AD130" i="6"/>
  <c r="P253" i="6"/>
  <c r="AE253" i="6"/>
  <c r="W254" i="6"/>
  <c r="AE4" i="6"/>
  <c r="W5" i="6"/>
  <c r="P4" i="6"/>
  <c r="AA129" i="6"/>
  <c r="AB129" i="6" s="1"/>
  <c r="AC129" i="6" s="1"/>
  <c r="AD129" i="6" s="1"/>
  <c r="AE129" i="6" s="1"/>
  <c r="S99" i="1"/>
  <c r="N97" i="1"/>
  <c r="N103" i="1"/>
  <c r="N95" i="1"/>
  <c r="N99" i="1"/>
  <c r="N93" i="1"/>
  <c r="AK131" i="4"/>
  <c r="BB5" i="1"/>
  <c r="AM48" i="6"/>
  <c r="AL172" i="6"/>
  <c r="AN48" i="6"/>
  <c r="AA252" i="6"/>
  <c r="AB252" i="6" s="1"/>
  <c r="AC252" i="6" s="1"/>
  <c r="Q171" i="6"/>
  <c r="X172" i="6"/>
  <c r="AF171" i="6"/>
  <c r="N171" i="4"/>
  <c r="O171" i="4" s="1"/>
  <c r="AA211" i="6"/>
  <c r="O130" i="4"/>
  <c r="V131" i="4"/>
  <c r="AD130" i="4"/>
  <c r="AL131" i="4" s="1"/>
  <c r="AA3" i="1"/>
  <c r="Z4" i="1"/>
  <c r="Q212" i="4"/>
  <c r="R212" i="4" s="1"/>
  <c r="S212" i="4" s="1"/>
  <c r="T212" i="4" s="1"/>
  <c r="U212" i="4" s="1"/>
  <c r="V212" i="4" s="1"/>
  <c r="W212" i="4" s="1"/>
  <c r="X212" i="4" s="1"/>
  <c r="Y212" i="4" s="1"/>
  <c r="Z212" i="4" s="1"/>
  <c r="AA212" i="4" s="1"/>
  <c r="AB212" i="4" s="1"/>
  <c r="AC212" i="4" s="1"/>
  <c r="AD212" i="4" s="1"/>
  <c r="AE212" i="4" s="1"/>
  <c r="AF212" i="4" s="1"/>
  <c r="AC89" i="4"/>
  <c r="U90" i="4"/>
  <c r="N89" i="4"/>
  <c r="V90" i="6"/>
  <c r="AK131" i="6"/>
  <c r="R47" i="6"/>
  <c r="AG47" i="6"/>
  <c r="BJ20" i="1"/>
  <c r="BJ5" i="1"/>
  <c r="AE4" i="2"/>
  <c r="AL5" i="2"/>
  <c r="AK90" i="4"/>
  <c r="AB211" i="6"/>
  <c r="AG171" i="6"/>
  <c r="R171" i="6"/>
  <c r="S171" i="6" s="1"/>
  <c r="R253" i="4"/>
  <c r="S253" i="4" s="1"/>
  <c r="T253" i="4" s="1"/>
  <c r="U253" i="4" s="1"/>
  <c r="V253" i="4" s="1"/>
  <c r="W253" i="4" s="1"/>
  <c r="X253" i="4" s="1"/>
  <c r="Y253" i="4" s="1"/>
  <c r="Z253" i="4" s="1"/>
  <c r="AA253" i="4" s="1"/>
  <c r="AB253" i="4" s="1"/>
  <c r="AC253" i="4" s="1"/>
  <c r="AD253" i="4" s="1"/>
  <c r="AE253" i="4" s="1"/>
  <c r="AF253" i="4" s="1"/>
  <c r="Q4" i="6"/>
  <c r="AF4" i="6"/>
  <c r="X5" i="6"/>
  <c r="AL131" i="6"/>
  <c r="P212" i="6"/>
  <c r="AE212" i="6"/>
  <c r="W213" i="6"/>
  <c r="AL90" i="6"/>
  <c r="AM5" i="6"/>
  <c r="AA170" i="6"/>
  <c r="AN172" i="6"/>
  <c r="Q253" i="6"/>
  <c r="X254" i="6"/>
  <c r="AF253" i="6"/>
  <c r="AL213" i="6"/>
  <c r="AA99" i="1"/>
  <c r="AH47" i="6"/>
  <c r="S47" i="6"/>
  <c r="AB3" i="1"/>
  <c r="AA4" i="1"/>
  <c r="W131" i="4"/>
  <c r="P130" i="4"/>
  <c r="X131" i="4" s="1"/>
  <c r="AE130" i="4"/>
  <c r="AM254" i="6"/>
  <c r="P130" i="6"/>
  <c r="AM5" i="2"/>
  <c r="AM131" i="4"/>
  <c r="AF130" i="6"/>
  <c r="AN131" i="6" s="1"/>
  <c r="AI47" i="6"/>
  <c r="T47" i="6"/>
  <c r="AN254" i="6"/>
  <c r="AB170" i="6"/>
  <c r="AM213" i="6"/>
  <c r="AB88" i="6"/>
  <c r="AC88" i="6" s="1"/>
  <c r="AD88" i="6" s="1"/>
  <c r="AE88" i="6" s="1"/>
  <c r="R4" i="6"/>
  <c r="AG4" i="6"/>
  <c r="AC3" i="1"/>
  <c r="CR3" i="1"/>
  <c r="CR4" i="1"/>
  <c r="AB4" i="1"/>
  <c r="BK23" i="1" s="1"/>
  <c r="BK22" i="1"/>
  <c r="R253" i="6"/>
  <c r="AG253" i="6"/>
  <c r="AN5" i="6"/>
  <c r="X213" i="6"/>
  <c r="Q212" i="6"/>
  <c r="AG212" i="6" s="1"/>
  <c r="AF212" i="6"/>
  <c r="AC211" i="6"/>
  <c r="AD211" i="6"/>
  <c r="R212" i="6"/>
  <c r="AN213" i="6"/>
  <c r="S253" i="6"/>
  <c r="AH253" i="6"/>
  <c r="CS3" i="1"/>
  <c r="CS4" i="1" s="1"/>
  <c r="AC4" i="1"/>
  <c r="BL4" i="1" s="1"/>
  <c r="AC91" i="1" s="1"/>
  <c r="AD3" i="1"/>
  <c r="AD4" i="1" s="1"/>
  <c r="BM23" i="1" s="1"/>
  <c r="BL22" i="1"/>
  <c r="S4" i="6"/>
  <c r="AH4" i="6"/>
  <c r="AD252" i="6"/>
  <c r="BK4" i="1"/>
  <c r="AB91" i="1" s="1"/>
  <c r="AC170" i="6"/>
  <c r="AD170" i="6" s="1"/>
  <c r="U47" i="6"/>
  <c r="V47" i="6" s="1"/>
  <c r="AJ47" i="6"/>
  <c r="AC46" i="6"/>
  <c r="AD46" i="6" s="1"/>
  <c r="AE46" i="6" s="1"/>
  <c r="AE3" i="1"/>
  <c r="BM22" i="1"/>
  <c r="CT3" i="1"/>
  <c r="CT4" i="1" s="1"/>
  <c r="AE211" i="6"/>
  <c r="AF211" i="6" s="1"/>
  <c r="AG211" i="6" s="1"/>
  <c r="AE252" i="6"/>
  <c r="AF252" i="6" s="1"/>
  <c r="T253" i="6"/>
  <c r="AI253" i="6"/>
  <c r="AK47" i="6"/>
  <c r="AI4" i="6"/>
  <c r="T4" i="6"/>
  <c r="U4" i="6" s="1"/>
  <c r="V4" i="6" s="1"/>
  <c r="AE3" i="6"/>
  <c r="AH212" i="6"/>
  <c r="S212" i="6"/>
  <c r="U253" i="6"/>
  <c r="V253" i="6" s="1"/>
  <c r="AL253" i="6" s="1"/>
  <c r="AJ253" i="6"/>
  <c r="AF129" i="6"/>
  <c r="T212" i="6"/>
  <c r="U212" i="6" s="1"/>
  <c r="AI212" i="6"/>
  <c r="AF3" i="6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J4" i="6"/>
  <c r="AL47" i="6"/>
  <c r="W47" i="6"/>
  <c r="AM47" i="6" s="1"/>
  <c r="BM4" i="1"/>
  <c r="AD91" i="1"/>
  <c r="AG129" i="6"/>
  <c r="AH129" i="6" s="1"/>
  <c r="AI129" i="6" s="1"/>
  <c r="AJ129" i="6" s="1"/>
  <c r="AK129" i="6" s="1"/>
  <c r="AL129" i="6" s="1"/>
  <c r="AM129" i="6" s="1"/>
  <c r="AN129" i="6" s="1"/>
  <c r="AO129" i="6" s="1"/>
  <c r="AP129" i="6" s="1"/>
  <c r="AG252" i="6"/>
  <c r="AK4" i="6"/>
  <c r="AJ212" i="6"/>
  <c r="AF46" i="6"/>
  <c r="AG46" i="6" s="1"/>
  <c r="AH46" i="6" s="1"/>
  <c r="AI46" i="6" s="1"/>
  <c r="AJ46" i="6" s="1"/>
  <c r="AK46" i="6" s="1"/>
  <c r="AL46" i="6" s="1"/>
  <c r="AM46" i="6" s="1"/>
  <c r="AN46" i="6" s="1"/>
  <c r="AO46" i="6" s="1"/>
  <c r="AP46" i="6" s="1"/>
  <c r="AK253" i="6"/>
  <c r="AF88" i="6"/>
  <c r="AG88" i="6" s="1"/>
  <c r="AH252" i="6"/>
  <c r="AI252" i="6" s="1"/>
  <c r="AH88" i="6"/>
  <c r="AI88" i="6"/>
  <c r="AJ88" i="6"/>
  <c r="AK88" i="6" s="1"/>
  <c r="S211" i="4"/>
  <c r="T253" i="2"/>
  <c r="Z170" i="2"/>
  <c r="AA170" i="2" s="1"/>
  <c r="AB170" i="2" s="1"/>
  <c r="AC170" i="2" s="1"/>
  <c r="O129" i="2"/>
  <c r="P129" i="2" s="1"/>
  <c r="Q129" i="2" s="1"/>
  <c r="R129" i="2" s="1"/>
  <c r="R46" i="2"/>
  <c r="S46" i="2" s="1"/>
  <c r="AK90" i="2"/>
  <c r="AO20" i="2"/>
  <c r="S53" i="2"/>
  <c r="W53" i="2"/>
  <c r="X53" i="2"/>
  <c r="AB53" i="2"/>
  <c r="AD53" i="2"/>
  <c r="P53" i="2"/>
  <c r="T53" i="2"/>
  <c r="U53" i="2"/>
  <c r="V53" i="2"/>
  <c r="AA53" i="2"/>
  <c r="Z21" i="2"/>
  <c r="AH21" i="2"/>
  <c r="AK21" i="2"/>
  <c r="AC17" i="2"/>
  <c r="AD17" i="2"/>
  <c r="AL17" i="2"/>
  <c r="X17" i="2"/>
  <c r="Z17" i="2"/>
  <c r="AF17" i="2"/>
  <c r="AH17" i="2"/>
  <c r="AK17" i="2"/>
  <c r="F50" i="2"/>
  <c r="G174" i="2"/>
  <c r="Q11" i="2"/>
  <c r="Z11" i="2"/>
  <c r="AF11" i="2"/>
  <c r="W11" i="2"/>
  <c r="AB11" i="2"/>
  <c r="O93" i="2"/>
  <c r="M88" i="2"/>
  <c r="N89" i="2"/>
  <c r="U90" i="2"/>
  <c r="X97" i="2"/>
  <c r="R97" i="2"/>
  <c r="V97" i="2"/>
  <c r="X55" i="2"/>
  <c r="AB55" i="2"/>
  <c r="AD19" i="4"/>
  <c r="AA62" i="4"/>
  <c r="AB62" i="4"/>
  <c r="AE105" i="4"/>
  <c r="H224" i="6"/>
  <c r="H220" i="6"/>
  <c r="P216" i="6"/>
  <c r="S222" i="6"/>
  <c r="S216" i="6"/>
  <c r="U222" i="6"/>
  <c r="U216" i="6"/>
  <c r="V223" i="6"/>
  <c r="V216" i="6"/>
  <c r="W224" i="6"/>
  <c r="X222" i="6"/>
  <c r="Y220" i="6"/>
  <c r="Z223" i="6"/>
  <c r="Z216" i="6"/>
  <c r="AA224" i="6"/>
  <c r="AB224" i="6"/>
  <c r="AC220" i="6"/>
  <c r="AD269" i="6"/>
  <c r="AE224" i="6"/>
  <c r="AF222" i="6"/>
  <c r="AG222" i="6"/>
  <c r="AH223" i="6"/>
  <c r="AI222" i="6"/>
  <c r="AJ224" i="6"/>
  <c r="AK269" i="6"/>
  <c r="AM269" i="6"/>
  <c r="P219" i="4"/>
  <c r="Q219" i="4"/>
  <c r="S219" i="4"/>
  <c r="T219" i="4"/>
  <c r="U219" i="4"/>
  <c r="AC136" i="4"/>
  <c r="H219" i="4"/>
  <c r="H258" i="6"/>
  <c r="H222" i="6"/>
  <c r="H216" i="6"/>
  <c r="M216" i="6"/>
  <c r="M214" i="6"/>
  <c r="I216" i="6" s="1"/>
  <c r="J47" i="5" s="1"/>
  <c r="N216" i="6"/>
  <c r="O216" i="6"/>
  <c r="S220" i="6"/>
  <c r="T223" i="6"/>
  <c r="U224" i="6"/>
  <c r="U220" i="6"/>
  <c r="V220" i="6"/>
  <c r="W222" i="6"/>
  <c r="X224" i="6"/>
  <c r="Y223" i="6"/>
  <c r="Y216" i="6"/>
  <c r="Z220" i="6"/>
  <c r="AA222" i="6"/>
  <c r="AB222" i="6"/>
  <c r="AC223" i="6"/>
  <c r="AC216" i="6"/>
  <c r="AD222" i="6"/>
  <c r="AE222" i="6"/>
  <c r="AF224" i="6"/>
  <c r="AG224" i="6"/>
  <c r="AG269" i="6"/>
  <c r="AH220" i="6"/>
  <c r="AI224" i="6"/>
  <c r="AI269" i="6"/>
  <c r="AJ222" i="6"/>
  <c r="AK223" i="6"/>
  <c r="AP269" i="6"/>
  <c r="W219" i="4"/>
  <c r="AD219" i="4"/>
  <c r="AE218" i="4"/>
  <c r="AE219" i="4"/>
  <c r="Z62" i="4"/>
  <c r="H102" i="4"/>
  <c r="AF105" i="4"/>
  <c r="S136" i="4"/>
  <c r="H218" i="4"/>
  <c r="H269" i="6"/>
  <c r="H223" i="6"/>
  <c r="Q216" i="6"/>
  <c r="R220" i="6"/>
  <c r="T220" i="6"/>
  <c r="V222" i="6"/>
  <c r="W223" i="6"/>
  <c r="W216" i="6"/>
  <c r="X220" i="6"/>
  <c r="Y224" i="6"/>
  <c r="Y269" i="6"/>
  <c r="Z222" i="6"/>
  <c r="AA223" i="6"/>
  <c r="AA216" i="6"/>
  <c r="AB223" i="6"/>
  <c r="AC269" i="6"/>
  <c r="AD223" i="6"/>
  <c r="AE223" i="6"/>
  <c r="AF220" i="6"/>
  <c r="AH269" i="6"/>
  <c r="AL269" i="6"/>
  <c r="Q218" i="4"/>
  <c r="S218" i="4"/>
  <c r="AI101" i="6"/>
  <c r="U101" i="6"/>
  <c r="T31" i="5"/>
  <c r="N8" i="2"/>
  <c r="AC184" i="6"/>
  <c r="Z184" i="6"/>
  <c r="V184" i="6"/>
  <c r="AC64" i="6"/>
  <c r="AP64" i="6"/>
  <c r="AH64" i="6"/>
  <c r="AL64" i="6"/>
  <c r="AP147" i="6"/>
  <c r="AI147" i="6"/>
  <c r="AA147" i="6"/>
  <c r="H147" i="6"/>
  <c r="AJ147" i="6"/>
  <c r="AH143" i="6"/>
  <c r="Y143" i="6"/>
  <c r="AK143" i="6"/>
  <c r="AD143" i="6"/>
  <c r="AA143" i="6"/>
  <c r="AF143" i="6"/>
  <c r="AH186" i="6"/>
  <c r="AL186" i="6"/>
  <c r="AK186" i="6"/>
  <c r="AC186" i="6"/>
  <c r="AM186" i="6"/>
  <c r="AB186" i="6"/>
  <c r="AI186" i="6"/>
  <c r="Z186" i="6"/>
  <c r="Y186" i="6"/>
  <c r="AN187" i="6"/>
  <c r="AH187" i="6"/>
  <c r="AB187" i="6"/>
  <c r="AO187" i="6"/>
  <c r="AM187" i="6"/>
  <c r="AD187" i="6"/>
  <c r="Y187" i="6"/>
  <c r="AC187" i="6"/>
  <c r="AA187" i="6"/>
  <c r="AE61" i="6"/>
  <c r="AD61" i="6"/>
  <c r="AJ61" i="6"/>
  <c r="AH142" i="6"/>
  <c r="AG142" i="6"/>
  <c r="AB144" i="6"/>
  <c r="Y144" i="6"/>
  <c r="AK144" i="6"/>
  <c r="W144" i="6"/>
  <c r="AG101" i="6"/>
  <c r="AK101" i="6"/>
  <c r="AF64" i="6"/>
  <c r="AN64" i="6"/>
  <c r="AE143" i="6"/>
  <c r="AC143" i="6"/>
  <c r="AA186" i="6"/>
  <c r="X143" i="6"/>
  <c r="AJ186" i="6"/>
  <c r="AD186" i="6"/>
  <c r="AB143" i="6"/>
  <c r="W101" i="6"/>
  <c r="V143" i="6"/>
  <c r="Z143" i="6"/>
  <c r="AD147" i="6"/>
  <c r="AF147" i="6"/>
  <c r="AG147" i="6"/>
  <c r="AK147" i="6"/>
  <c r="AF101" i="6"/>
  <c r="AJ101" i="6"/>
  <c r="AE64" i="6"/>
  <c r="AM64" i="6"/>
  <c r="AI143" i="6"/>
  <c r="AB101" i="6"/>
  <c r="AA101" i="6"/>
  <c r="Z64" i="6"/>
  <c r="V101" i="6"/>
  <c r="AG186" i="6"/>
  <c r="AC101" i="6"/>
  <c r="Z101" i="6"/>
  <c r="Y101" i="6"/>
  <c r="T5" i="5"/>
  <c r="H186" i="6"/>
  <c r="H101" i="6"/>
  <c r="H64" i="6"/>
  <c r="X101" i="6"/>
  <c r="AB147" i="6"/>
  <c r="AH147" i="6"/>
  <c r="AL147" i="6"/>
  <c r="AN147" i="6"/>
  <c r="AO147" i="6"/>
  <c r="AH101" i="6"/>
  <c r="AK64" i="6"/>
  <c r="AO64" i="6"/>
  <c r="AG143" i="6"/>
  <c r="AA64" i="6"/>
  <c r="AN186" i="6"/>
  <c r="AL143" i="6"/>
  <c r="AJ143" i="6"/>
  <c r="AF186" i="6"/>
  <c r="H143" i="6"/>
  <c r="W143" i="6"/>
  <c r="X186" i="6"/>
  <c r="Z147" i="6"/>
  <c r="AC147" i="6"/>
  <c r="AD64" i="6"/>
  <c r="AE147" i="6"/>
  <c r="AE186" i="6"/>
  <c r="AM147" i="6"/>
  <c r="S136" i="6"/>
  <c r="AA136" i="6"/>
  <c r="AC136" i="6"/>
  <c r="AE136" i="6"/>
  <c r="T177" i="6"/>
  <c r="H177" i="6"/>
  <c r="U177" i="6"/>
  <c r="Y96" i="6"/>
  <c r="S96" i="6"/>
  <c r="AF96" i="6"/>
  <c r="AB96" i="6"/>
  <c r="AA96" i="6"/>
  <c r="R96" i="6"/>
  <c r="AC96" i="6"/>
  <c r="U96" i="6"/>
  <c r="P96" i="6"/>
  <c r="Q179" i="6"/>
  <c r="AG179" i="6"/>
  <c r="U179" i="6"/>
  <c r="AC179" i="6"/>
  <c r="AE140" i="6"/>
  <c r="AD140" i="6"/>
  <c r="AB140" i="6"/>
  <c r="Y140" i="6"/>
  <c r="AA185" i="6"/>
  <c r="AC185" i="6"/>
  <c r="H185" i="6"/>
  <c r="AJ185" i="6"/>
  <c r="T97" i="6"/>
  <c r="AA138" i="6"/>
  <c r="AF138" i="6"/>
  <c r="AC138" i="6"/>
  <c r="AC99" i="6"/>
  <c r="AB99" i="6"/>
  <c r="AA99" i="6"/>
  <c r="H99" i="6"/>
  <c r="AF99" i="6"/>
  <c r="V99" i="6"/>
  <c r="S99" i="6"/>
  <c r="AI99" i="6"/>
  <c r="Z99" i="6"/>
  <c r="AD99" i="6"/>
  <c r="Y99" i="6"/>
  <c r="AG99" i="6"/>
  <c r="X99" i="6"/>
  <c r="AK59" i="6"/>
  <c r="AJ59" i="6"/>
  <c r="H59" i="6"/>
  <c r="Z63" i="6"/>
  <c r="AF63" i="6"/>
  <c r="AK63" i="6"/>
  <c r="AH63" i="6"/>
  <c r="AG63" i="6"/>
  <c r="AM63" i="6"/>
  <c r="AN63" i="6"/>
  <c r="AJ63" i="6"/>
  <c r="AD63" i="6"/>
  <c r="W134" i="6"/>
  <c r="Q134" i="6"/>
  <c r="V134" i="6"/>
  <c r="V56" i="6"/>
  <c r="AE181" i="6"/>
  <c r="AD181" i="6"/>
  <c r="AB181" i="6"/>
  <c r="Y181" i="6"/>
  <c r="W181" i="6"/>
  <c r="AF181" i="6"/>
  <c r="AC181" i="6"/>
  <c r="X181" i="6"/>
  <c r="U181" i="6"/>
  <c r="AG181" i="6"/>
  <c r="H181" i="6"/>
  <c r="AH181" i="6"/>
  <c r="AA181" i="6"/>
  <c r="Z181" i="6"/>
  <c r="V181" i="6"/>
  <c r="T181" i="6"/>
  <c r="S181" i="6"/>
  <c r="AI181" i="6"/>
  <c r="AF100" i="6"/>
  <c r="AE100" i="6"/>
  <c r="AD100" i="6"/>
  <c r="V100" i="6"/>
  <c r="T100" i="6"/>
  <c r="AJ100" i="6"/>
  <c r="AG100" i="6"/>
  <c r="AC100" i="6"/>
  <c r="Z100" i="6"/>
  <c r="U100" i="6"/>
  <c r="Y100" i="6"/>
  <c r="W100" i="6"/>
  <c r="AI100" i="6"/>
  <c r="AH100" i="6"/>
  <c r="AB100" i="6"/>
  <c r="AA100" i="6"/>
  <c r="X100" i="6"/>
  <c r="H100" i="6"/>
  <c r="AD52" i="6"/>
  <c r="N52" i="6"/>
  <c r="H52" i="6"/>
  <c r="X52" i="6"/>
  <c r="AC52" i="6"/>
  <c r="Y52" i="6"/>
  <c r="AA52" i="6"/>
  <c r="Q52" i="6"/>
  <c r="V52" i="6"/>
  <c r="U52" i="6"/>
  <c r="W52" i="6"/>
  <c r="O52" i="6"/>
  <c r="AB52" i="6"/>
  <c r="S52" i="6"/>
  <c r="R52" i="6"/>
  <c r="P52" i="6"/>
  <c r="T52" i="6"/>
  <c r="Z52" i="6"/>
  <c r="AC95" i="6"/>
  <c r="Z95" i="6"/>
  <c r="V95" i="6"/>
  <c r="U95" i="6"/>
  <c r="P95" i="6"/>
  <c r="H95" i="6"/>
  <c r="AD95" i="6"/>
  <c r="Y95" i="6"/>
  <c r="W95" i="6"/>
  <c r="Q95" i="6"/>
  <c r="S95" i="6"/>
  <c r="AE95" i="6"/>
  <c r="AB95" i="6"/>
  <c r="AA95" i="6"/>
  <c r="X95" i="6"/>
  <c r="T95" i="6"/>
  <c r="R95" i="6"/>
  <c r="O95" i="6"/>
  <c r="S98" i="6"/>
  <c r="R98" i="6"/>
  <c r="V98" i="6"/>
  <c r="AG98" i="6"/>
  <c r="AF58" i="6"/>
  <c r="AD58" i="6"/>
  <c r="Y58" i="6"/>
  <c r="W58" i="6"/>
  <c r="AC58" i="6"/>
  <c r="X58" i="6"/>
  <c r="AH58" i="6"/>
  <c r="AE58" i="6"/>
  <c r="AH145" i="6"/>
  <c r="AF188" i="6"/>
  <c r="AN188" i="6"/>
  <c r="AG188" i="6"/>
  <c r="AL188" i="6"/>
  <c r="U37" i="7"/>
  <c r="Y37" i="7"/>
  <c r="Y5" i="7"/>
  <c r="AA5" i="7"/>
  <c r="X37" i="7"/>
  <c r="W37" i="7"/>
  <c r="V37" i="7"/>
  <c r="Z37" i="7"/>
  <c r="U5" i="7"/>
  <c r="X5" i="7"/>
  <c r="V5" i="7"/>
  <c r="Z5" i="7"/>
  <c r="V90" i="2"/>
  <c r="U253" i="2"/>
  <c r="N88" i="2"/>
  <c r="T211" i="4"/>
  <c r="V253" i="2"/>
  <c r="W253" i="2" s="1"/>
  <c r="T46" i="2"/>
  <c r="U46" i="2" s="1"/>
  <c r="V46" i="2" s="1"/>
  <c r="W46" i="2" s="1"/>
  <c r="X46" i="2" s="1"/>
  <c r="Y46" i="2" s="1"/>
  <c r="U211" i="4"/>
  <c r="V211" i="4"/>
  <c r="W211" i="4" s="1"/>
  <c r="X211" i="4" s="1"/>
  <c r="Y211" i="4" s="1"/>
  <c r="Z211" i="4" s="1"/>
  <c r="AD170" i="2"/>
  <c r="AE170" i="2" s="1"/>
  <c r="AF170" i="2" s="1"/>
  <c r="AG170" i="2" s="1"/>
  <c r="AH170" i="2" s="1"/>
  <c r="AI170" i="2" s="1"/>
  <c r="AC146" i="4"/>
  <c r="V100" i="4"/>
  <c r="AC51" i="4"/>
  <c r="AD260" i="4" l="1"/>
  <c r="O259" i="4"/>
  <c r="AC260" i="4"/>
  <c r="H259" i="4"/>
  <c r="I257" i="4"/>
  <c r="AB260" i="4"/>
  <c r="AA219" i="4"/>
  <c r="Y219" i="4"/>
  <c r="R219" i="4"/>
  <c r="AB219" i="4"/>
  <c r="E256" i="4"/>
  <c r="N214" i="4"/>
  <c r="AC259" i="4"/>
  <c r="AE188" i="6"/>
  <c r="AI188" i="6"/>
  <c r="AH188" i="6"/>
  <c r="AI64" i="6"/>
  <c r="AB64" i="6"/>
  <c r="AJ64" i="6"/>
  <c r="R61" i="5"/>
  <c r="AA135" i="6"/>
  <c r="N135" i="6"/>
  <c r="AD135" i="6"/>
  <c r="S135" i="6"/>
  <c r="Z135" i="6"/>
  <c r="V135" i="6"/>
  <c r="W135" i="6"/>
  <c r="U135" i="6"/>
  <c r="H135" i="6"/>
  <c r="AC135" i="6"/>
  <c r="Q135" i="6"/>
  <c r="Y135" i="6"/>
  <c r="O135" i="6"/>
  <c r="AE139" i="6"/>
  <c r="AD139" i="6"/>
  <c r="R139" i="6"/>
  <c r="AA139" i="6"/>
  <c r="T139" i="6"/>
  <c r="AF139" i="6"/>
  <c r="X139" i="6"/>
  <c r="H139" i="6"/>
  <c r="AA94" i="6"/>
  <c r="T94" i="6"/>
  <c r="H94" i="6"/>
  <c r="N94" i="6"/>
  <c r="V94" i="6"/>
  <c r="R94" i="6"/>
  <c r="Y94" i="6"/>
  <c r="Z94" i="6"/>
  <c r="AB94" i="6"/>
  <c r="AD94" i="6"/>
  <c r="X55" i="6"/>
  <c r="AF55" i="6"/>
  <c r="AD55" i="6"/>
  <c r="Z55" i="6"/>
  <c r="Y55" i="6"/>
  <c r="H180" i="6"/>
  <c r="AG180" i="6"/>
  <c r="Z180" i="6"/>
  <c r="W180" i="6"/>
  <c r="T180" i="6"/>
  <c r="U180" i="6"/>
  <c r="AB180" i="6"/>
  <c r="AD180" i="6"/>
  <c r="S180" i="6"/>
  <c r="AA180" i="6"/>
  <c r="Y180" i="6"/>
  <c r="Z176" i="6"/>
  <c r="S176" i="6"/>
  <c r="AC176" i="6"/>
  <c r="Y176" i="6"/>
  <c r="R176" i="6"/>
  <c r="T176" i="6"/>
  <c r="H176" i="6"/>
  <c r="AD176" i="6"/>
  <c r="W176" i="6"/>
  <c r="X176" i="6"/>
  <c r="O176" i="6"/>
  <c r="U5" i="5"/>
  <c r="E219" i="6"/>
  <c r="AF219" i="6" s="1"/>
  <c r="AF214" i="6" s="1"/>
  <c r="I235" i="6" s="1"/>
  <c r="J66" i="5" s="1"/>
  <c r="AG145" i="6"/>
  <c r="Z98" i="6"/>
  <c r="AA98" i="6"/>
  <c r="W140" i="6"/>
  <c r="H140" i="6"/>
  <c r="AG140" i="6"/>
  <c r="AA142" i="6"/>
  <c r="AF145" i="6"/>
  <c r="Y98" i="6"/>
  <c r="AE98" i="6"/>
  <c r="AB98" i="6"/>
  <c r="P53" i="6"/>
  <c r="U140" i="6"/>
  <c r="X140" i="6"/>
  <c r="AC140" i="6"/>
  <c r="Z140" i="6"/>
  <c r="AF140" i="6"/>
  <c r="T20" i="5"/>
  <c r="AF142" i="6"/>
  <c r="T29" i="5"/>
  <c r="U29" i="5"/>
  <c r="W98" i="6"/>
  <c r="X98" i="6"/>
  <c r="Q97" i="6"/>
  <c r="V140" i="6"/>
  <c r="AI145" i="6"/>
  <c r="AA145" i="6"/>
  <c r="U98" i="6"/>
  <c r="H98" i="6"/>
  <c r="S140" i="6"/>
  <c r="AA140" i="6"/>
  <c r="AH140" i="6"/>
  <c r="T140" i="6"/>
  <c r="U20" i="5"/>
  <c r="AE142" i="6"/>
  <c r="H106" i="2"/>
  <c r="AB106" i="2"/>
  <c r="AC106" i="2"/>
  <c r="AE106" i="2"/>
  <c r="AG106" i="2"/>
  <c r="AI106" i="2"/>
  <c r="AL106" i="2"/>
  <c r="AP106" i="2"/>
  <c r="AD106" i="2"/>
  <c r="AJ106" i="2"/>
  <c r="AM106" i="2"/>
  <c r="AN106" i="2"/>
  <c r="AO106" i="2"/>
  <c r="X102" i="2"/>
  <c r="AK102" i="2"/>
  <c r="V102" i="2"/>
  <c r="AF102" i="2"/>
  <c r="T99" i="2"/>
  <c r="AD99" i="2"/>
  <c r="U99" i="2"/>
  <c r="AG99" i="2"/>
  <c r="AI99" i="2"/>
  <c r="S99" i="2"/>
  <c r="Z99" i="2"/>
  <c r="AG145" i="2"/>
  <c r="AK145" i="2"/>
  <c r="AB145" i="2"/>
  <c r="AE145" i="2"/>
  <c r="V142" i="2"/>
  <c r="Z142" i="2"/>
  <c r="AI142" i="2"/>
  <c r="AJ142" i="2"/>
  <c r="W142" i="2"/>
  <c r="X142" i="2"/>
  <c r="Y142" i="2"/>
  <c r="AA142" i="2"/>
  <c r="AC142" i="2"/>
  <c r="AF142" i="2"/>
  <c r="H142" i="2"/>
  <c r="V140" i="2"/>
  <c r="AD140" i="2"/>
  <c r="AB138" i="2"/>
  <c r="R138" i="2"/>
  <c r="Z138" i="2"/>
  <c r="H138" i="2"/>
  <c r="O136" i="2"/>
  <c r="Q136" i="2"/>
  <c r="S136" i="2"/>
  <c r="Y136" i="2"/>
  <c r="AA136" i="2"/>
  <c r="AC136" i="2"/>
  <c r="AE136" i="2"/>
  <c r="AB136" i="2"/>
  <c r="P134" i="2"/>
  <c r="X134" i="2"/>
  <c r="AC187" i="2"/>
  <c r="AO187" i="2"/>
  <c r="AE187" i="2"/>
  <c r="Z183" i="2"/>
  <c r="AC183" i="2"/>
  <c r="AE183" i="2"/>
  <c r="AI183" i="2"/>
  <c r="Y183" i="2"/>
  <c r="AA183" i="2"/>
  <c r="AB183" i="2"/>
  <c r="AE64" i="2"/>
  <c r="H64" i="2"/>
  <c r="V60" i="2"/>
  <c r="AD60" i="2"/>
  <c r="H60" i="2"/>
  <c r="AK60" i="2"/>
  <c r="AE56" i="2"/>
  <c r="V56" i="2"/>
  <c r="AC20" i="2"/>
  <c r="H20" i="2"/>
  <c r="AJ20" i="2"/>
  <c r="U16" i="2"/>
  <c r="AC16" i="2"/>
  <c r="AJ16" i="2"/>
  <c r="AK16" i="2"/>
  <c r="V16" i="2"/>
  <c r="Z16" i="2"/>
  <c r="P93" i="2"/>
  <c r="V93" i="2"/>
  <c r="W93" i="2"/>
  <c r="AA93" i="2"/>
  <c r="Y93" i="2"/>
  <c r="AG20" i="2"/>
  <c r="Y99" i="2"/>
  <c r="AM187" i="2"/>
  <c r="AD183" i="2"/>
  <c r="Y187" i="2"/>
  <c r="AH142" i="2"/>
  <c r="AB142" i="2"/>
  <c r="AA138" i="2"/>
  <c r="Z136" i="2"/>
  <c r="X136" i="2"/>
  <c r="W138" i="2"/>
  <c r="R136" i="2"/>
  <c r="P136" i="2"/>
  <c r="AK106" i="2"/>
  <c r="AG102" i="2"/>
  <c r="AE102" i="2"/>
  <c r="AA106" i="2"/>
  <c r="AL60" i="2"/>
  <c r="AE16" i="2"/>
  <c r="AA105" i="2"/>
  <c r="AH105" i="2"/>
  <c r="AC105" i="2"/>
  <c r="AG105" i="2"/>
  <c r="AC101" i="2"/>
  <c r="AJ101" i="2"/>
  <c r="AK101" i="2"/>
  <c r="H98" i="2"/>
  <c r="T98" i="2"/>
  <c r="Z98" i="2"/>
  <c r="AB98" i="2"/>
  <c r="AE98" i="2"/>
  <c r="AD98" i="2"/>
  <c r="H144" i="2"/>
  <c r="W144" i="2"/>
  <c r="X144" i="2"/>
  <c r="Y144" i="2"/>
  <c r="AA144" i="2"/>
  <c r="AC144" i="2"/>
  <c r="AD144" i="2"/>
  <c r="AF144" i="2"/>
  <c r="AM144" i="2"/>
  <c r="AG144" i="2"/>
  <c r="AK144" i="2"/>
  <c r="AD186" i="2"/>
  <c r="AG186" i="2"/>
  <c r="AH186" i="2"/>
  <c r="AM186" i="2"/>
  <c r="AN186" i="2"/>
  <c r="X186" i="2"/>
  <c r="AC186" i="2"/>
  <c r="AK186" i="2"/>
  <c r="U182" i="2"/>
  <c r="V182" i="2"/>
  <c r="W182" i="2"/>
  <c r="AC182" i="2"/>
  <c r="AE182" i="2"/>
  <c r="AF182" i="2"/>
  <c r="AI182" i="2"/>
  <c r="R178" i="2"/>
  <c r="S178" i="2"/>
  <c r="X178" i="2"/>
  <c r="Y178" i="2"/>
  <c r="AC178" i="2"/>
  <c r="T178" i="2"/>
  <c r="AB63" i="2"/>
  <c r="AC63" i="2"/>
  <c r="AF63" i="2"/>
  <c r="AH63" i="2"/>
  <c r="AL63" i="2"/>
  <c r="AE63" i="2"/>
  <c r="AG63" i="2"/>
  <c r="AJ63" i="2"/>
  <c r="AM63" i="2"/>
  <c r="W8" i="2"/>
  <c r="AB8" i="2"/>
  <c r="T15" i="2"/>
  <c r="Y15" i="2"/>
  <c r="AA15" i="2"/>
  <c r="AI15" i="2"/>
  <c r="Y11" i="2"/>
  <c r="P11" i="2"/>
  <c r="AE11" i="2"/>
  <c r="U11" i="2"/>
  <c r="AC11" i="2"/>
  <c r="S8" i="2"/>
  <c r="R55" i="2"/>
  <c r="R93" i="2"/>
  <c r="H93" i="2"/>
  <c r="R11" i="2"/>
  <c r="T11" i="2"/>
  <c r="X99" i="2"/>
  <c r="H63" i="2"/>
  <c r="AH182" i="2"/>
  <c r="AF186" i="2"/>
  <c r="AE178" i="2"/>
  <c r="AD187" i="2"/>
  <c r="AA187" i="2"/>
  <c r="AA178" i="2"/>
  <c r="V178" i="2"/>
  <c r="AJ144" i="2"/>
  <c r="AG140" i="2"/>
  <c r="AF145" i="2"/>
  <c r="AE144" i="2"/>
  <c r="AD145" i="2"/>
  <c r="AC138" i="2"/>
  <c r="Z145" i="2"/>
  <c r="Y140" i="2"/>
  <c r="X145" i="2"/>
  <c r="V138" i="2"/>
  <c r="U140" i="2"/>
  <c r="T138" i="2"/>
  <c r="AN105" i="2"/>
  <c r="AJ102" i="2"/>
  <c r="AH99" i="2"/>
  <c r="AF106" i="2"/>
  <c r="AF99" i="2"/>
  <c r="AO63" i="2"/>
  <c r="AN63" i="2"/>
  <c r="AI60" i="2"/>
  <c r="AH59" i="2"/>
  <c r="AC64" i="2"/>
  <c r="AD20" i="2"/>
  <c r="AA11" i="2"/>
  <c r="V11" i="2"/>
  <c r="W12" i="2"/>
  <c r="AC55" i="2"/>
  <c r="U93" i="2"/>
  <c r="Q93" i="2"/>
  <c r="S11" i="2"/>
  <c r="X11" i="2"/>
  <c r="H105" i="2"/>
  <c r="W99" i="2"/>
  <c r="AJ186" i="2"/>
  <c r="AI186" i="2"/>
  <c r="AG182" i="2"/>
  <c r="AD182" i="2"/>
  <c r="Z186" i="2"/>
  <c r="Y186" i="2"/>
  <c r="W183" i="2"/>
  <c r="P178" i="2"/>
  <c r="AM145" i="2"/>
  <c r="AJ145" i="2"/>
  <c r="AI144" i="2"/>
  <c r="AC140" i="2"/>
  <c r="AB134" i="2"/>
  <c r="W136" i="2"/>
  <c r="AB99" i="2"/>
  <c r="Z106" i="2"/>
  <c r="Y98" i="2"/>
  <c r="U98" i="2"/>
  <c r="AK63" i="2"/>
  <c r="AH60" i="2"/>
  <c r="AG60" i="2"/>
  <c r="AF64" i="2"/>
  <c r="AI16" i="2"/>
  <c r="AB16" i="2"/>
  <c r="H183" i="2"/>
  <c r="H103" i="2"/>
  <c r="H99" i="2"/>
  <c r="W184" i="4"/>
  <c r="X184" i="4"/>
  <c r="AN105" i="4"/>
  <c r="Y19" i="4"/>
  <c r="AG19" i="4"/>
  <c r="AI19" i="4"/>
  <c r="AI57" i="4"/>
  <c r="U97" i="4"/>
  <c r="R176" i="4"/>
  <c r="AI184" i="4"/>
  <c r="X11" i="4"/>
  <c r="AC11" i="4"/>
  <c r="S97" i="4"/>
  <c r="T97" i="4"/>
  <c r="AD97" i="4"/>
  <c r="AH144" i="4"/>
  <c r="V180" i="4"/>
  <c r="AB184" i="4"/>
  <c r="Y176" i="4"/>
  <c r="AA57" i="4"/>
  <c r="AD180" i="4"/>
  <c r="V11" i="4"/>
  <c r="AB19" i="4"/>
  <c r="AB97" i="4"/>
  <c r="AE97" i="4"/>
  <c r="AF97" i="4"/>
  <c r="AG97" i="4"/>
  <c r="AK105" i="4"/>
  <c r="P136" i="4"/>
  <c r="V136" i="4"/>
  <c r="X60" i="4"/>
  <c r="R139" i="4"/>
  <c r="X96" i="4"/>
  <c r="X143" i="4"/>
  <c r="AJ147" i="4"/>
  <c r="AL187" i="4"/>
  <c r="Y18" i="4"/>
  <c r="AC18" i="4"/>
  <c r="AE10" i="4"/>
  <c r="R96" i="4"/>
  <c r="Z100" i="4"/>
  <c r="AI143" i="4"/>
  <c r="AD60" i="4"/>
  <c r="U179" i="4"/>
  <c r="AH147" i="4"/>
  <c r="AB59" i="4"/>
  <c r="AG100" i="4"/>
  <c r="Y143" i="4"/>
  <c r="AM147" i="4"/>
  <c r="AA187" i="4"/>
  <c r="AA10" i="4"/>
  <c r="AE64" i="4"/>
  <c r="AB100" i="4"/>
  <c r="Z60" i="4"/>
  <c r="AD139" i="4"/>
  <c r="H187" i="4"/>
  <c r="V139" i="4"/>
  <c r="AG143" i="4"/>
  <c r="AI187" i="4"/>
  <c r="AC187" i="4"/>
  <c r="Z56" i="4"/>
  <c r="AA58" i="4"/>
  <c r="AF62" i="4"/>
  <c r="AJ59" i="4"/>
  <c r="Y138" i="4"/>
  <c r="X62" i="4"/>
  <c r="AH62" i="4"/>
  <c r="AG55" i="4"/>
  <c r="AF103" i="4"/>
  <c r="AE95" i="4"/>
  <c r="AJ146" i="4"/>
  <c r="AE20" i="4"/>
  <c r="W55" i="4"/>
  <c r="AH99" i="4"/>
  <c r="U13" i="4"/>
  <c r="H55" i="4"/>
  <c r="AJ186" i="4"/>
  <c r="O9" i="4"/>
  <c r="AL62" i="4"/>
  <c r="Q55" i="4"/>
  <c r="Y55" i="4"/>
  <c r="AE146" i="4"/>
  <c r="AE21" i="4"/>
  <c r="AI59" i="4"/>
  <c r="AJ62" i="4"/>
  <c r="AG186" i="4"/>
  <c r="AD100" i="4"/>
  <c r="H100" i="4"/>
  <c r="AI100" i="4"/>
  <c r="V60" i="4"/>
  <c r="AB60" i="4"/>
  <c r="AB52" i="4"/>
  <c r="Y96" i="4"/>
  <c r="AA103" i="4"/>
  <c r="AK103" i="4"/>
  <c r="AC103" i="4"/>
  <c r="H103" i="4"/>
  <c r="Q10" i="4"/>
  <c r="T10" i="4"/>
  <c r="V10" i="4"/>
  <c r="W18" i="4"/>
  <c r="X18" i="4"/>
  <c r="Y10" i="4"/>
  <c r="T56" i="4"/>
  <c r="AG56" i="4"/>
  <c r="U96" i="4"/>
  <c r="W100" i="4"/>
  <c r="X103" i="4"/>
  <c r="AA96" i="4"/>
  <c r="AE100" i="4"/>
  <c r="H18" i="4"/>
  <c r="AA100" i="4"/>
  <c r="U100" i="4"/>
  <c r="AF100" i="4"/>
  <c r="H60" i="4"/>
  <c r="AJ60" i="4"/>
  <c r="AF96" i="4"/>
  <c r="AL103" i="4"/>
  <c r="AJ103" i="4"/>
  <c r="Y103" i="4"/>
  <c r="P10" i="4"/>
  <c r="R10" i="4"/>
  <c r="S10" i="4"/>
  <c r="W10" i="4"/>
  <c r="Z18" i="4"/>
  <c r="AB18" i="4"/>
  <c r="AD18" i="4"/>
  <c r="AG18" i="4"/>
  <c r="AH18" i="4"/>
  <c r="AF56" i="4"/>
  <c r="AH56" i="4"/>
  <c r="AD103" i="4"/>
  <c r="AF181" i="4"/>
  <c r="AJ100" i="4"/>
  <c r="AC100" i="4"/>
  <c r="X100" i="4"/>
  <c r="AG60" i="4"/>
  <c r="AA60" i="4"/>
  <c r="Y100" i="4"/>
  <c r="AI103" i="4"/>
  <c r="W103" i="4"/>
  <c r="AG103" i="4"/>
  <c r="Z10" i="4"/>
  <c r="AE18" i="4"/>
  <c r="AF18" i="4"/>
  <c r="AI18" i="4"/>
  <c r="AM18" i="4"/>
  <c r="R56" i="4"/>
  <c r="U52" i="4"/>
  <c r="T100" i="4"/>
  <c r="AB103" i="4"/>
  <c r="AH103" i="4"/>
  <c r="Y137" i="4"/>
  <c r="AD102" i="4"/>
  <c r="AB136" i="4"/>
  <c r="W176" i="4"/>
  <c r="AC102" i="4"/>
  <c r="T55" i="4"/>
  <c r="V59" i="4"/>
  <c r="AF63" i="4"/>
  <c r="S176" i="4"/>
  <c r="AE180" i="4"/>
  <c r="AD184" i="4"/>
  <c r="AB99" i="4"/>
  <c r="AD105" i="4"/>
  <c r="X180" i="4"/>
  <c r="O51" i="4"/>
  <c r="T176" i="4"/>
  <c r="H135" i="4"/>
  <c r="AI105" i="4"/>
  <c r="V102" i="4"/>
  <c r="AB176" i="4"/>
  <c r="N176" i="4"/>
  <c r="AJ102" i="4"/>
  <c r="AE136" i="4"/>
  <c r="AH105" i="4"/>
  <c r="X102" i="4"/>
  <c r="S55" i="4"/>
  <c r="S99" i="4"/>
  <c r="AF184" i="4"/>
  <c r="AH143" i="4"/>
  <c r="X55" i="4"/>
  <c r="AF55" i="4"/>
  <c r="Y59" i="4"/>
  <c r="AG59" i="4"/>
  <c r="AN63" i="4"/>
  <c r="X135" i="4"/>
  <c r="H143" i="4"/>
  <c r="AF143" i="4"/>
  <c r="AF147" i="4"/>
  <c r="O176" i="4"/>
  <c r="AA176" i="4"/>
  <c r="AA180" i="4"/>
  <c r="Z184" i="4"/>
  <c r="AH184" i="4"/>
  <c r="AK188" i="4"/>
  <c r="AB187" i="4"/>
  <c r="AJ187" i="4"/>
  <c r="R179" i="4"/>
  <c r="AG99" i="4"/>
  <c r="AB95" i="4"/>
  <c r="V95" i="4"/>
  <c r="X99" i="4"/>
  <c r="H20" i="4"/>
  <c r="AG17" i="4"/>
  <c r="R55" i="4"/>
  <c r="U59" i="4"/>
  <c r="W59" i="4"/>
  <c r="Z55" i="4"/>
  <c r="AA59" i="4"/>
  <c r="AE59" i="4"/>
  <c r="AG62" i="4"/>
  <c r="AI63" i="4"/>
  <c r="S98" i="4"/>
  <c r="AC144" i="4"/>
  <c r="Y180" i="4"/>
  <c r="AG184" i="4"/>
  <c r="AJ184" i="4"/>
  <c r="X51" i="4"/>
  <c r="X176" i="4"/>
  <c r="AM105" i="4"/>
  <c r="H176" i="4"/>
  <c r="Q176" i="4"/>
  <c r="X136" i="4"/>
  <c r="AB55" i="4"/>
  <c r="AC59" i="4"/>
  <c r="Y105" i="4"/>
  <c r="S180" i="4"/>
  <c r="AK184" i="4"/>
  <c r="AA99" i="4"/>
  <c r="AK21" i="4"/>
  <c r="W51" i="4"/>
  <c r="AD59" i="4"/>
  <c r="AK144" i="4"/>
  <c r="AB180" i="4"/>
  <c r="S51" i="4"/>
  <c r="V176" i="4"/>
  <c r="R136" i="4"/>
  <c r="AL105" i="4"/>
  <c r="AA102" i="4"/>
  <c r="H62" i="4"/>
  <c r="P176" i="4"/>
  <c r="H139" i="4"/>
  <c r="U176" i="4"/>
  <c r="O136" i="4"/>
  <c r="Z105" i="4"/>
  <c r="AD55" i="4"/>
  <c r="Y62" i="4"/>
  <c r="O95" i="4"/>
  <c r="AF180" i="4"/>
  <c r="AK147" i="4"/>
  <c r="V55" i="4"/>
  <c r="AC55" i="4"/>
  <c r="X59" i="4"/>
  <c r="AF59" i="4"/>
  <c r="AM63" i="4"/>
  <c r="W136" i="4"/>
  <c r="AG104" i="4"/>
  <c r="AC139" i="4"/>
  <c r="AC143" i="4"/>
  <c r="AC147" i="4"/>
  <c r="AN147" i="4"/>
  <c r="Z176" i="4"/>
  <c r="Z180" i="4"/>
  <c r="AE184" i="4"/>
  <c r="AL184" i="4"/>
  <c r="AK187" i="4"/>
  <c r="Z187" i="4"/>
  <c r="W95" i="4"/>
  <c r="V179" i="4"/>
  <c r="R13" i="4"/>
  <c r="Y13" i="4"/>
  <c r="AA20" i="4"/>
  <c r="AF21" i="4"/>
  <c r="AB54" i="4"/>
  <c r="AH59" i="4"/>
  <c r="AK59" i="4"/>
  <c r="AM62" i="4"/>
  <c r="X104" i="4"/>
  <c r="AB98" i="4"/>
  <c r="V143" i="4"/>
  <c r="AE147" i="4"/>
  <c r="AL143" i="4"/>
  <c r="AP147" i="4"/>
  <c r="V184" i="4"/>
  <c r="Y184" i="4"/>
  <c r="AC184" i="4"/>
  <c r="Z61" i="4"/>
  <c r="R177" i="4"/>
  <c r="W97" i="4"/>
  <c r="O177" i="4"/>
  <c r="W13" i="4"/>
  <c r="AB13" i="4"/>
  <c r="AA61" i="4"/>
  <c r="S13" i="4"/>
  <c r="AA17" i="4"/>
  <c r="AC20" i="4"/>
  <c r="Y54" i="4"/>
  <c r="AC54" i="4"/>
  <c r="V94" i="4"/>
  <c r="X97" i="4"/>
  <c r="AA97" i="4"/>
  <c r="AC97" i="4"/>
  <c r="AA141" i="4"/>
  <c r="AK60" i="4"/>
  <c r="Y60" i="4"/>
  <c r="W60" i="4"/>
  <c r="Y136" i="4"/>
  <c r="AJ105" i="4"/>
  <c r="AB102" i="4"/>
  <c r="AD136" i="4"/>
  <c r="H136" i="4"/>
  <c r="T136" i="4"/>
  <c r="AD99" i="4"/>
  <c r="Z19" i="4"/>
  <c r="H99" i="4"/>
  <c r="Y187" i="4"/>
  <c r="AD181" i="4"/>
  <c r="AK143" i="4"/>
  <c r="AC63" i="4"/>
  <c r="Q97" i="4"/>
  <c r="U136" i="4"/>
  <c r="AJ20" i="4"/>
  <c r="AB143" i="4"/>
  <c r="AJ143" i="4"/>
  <c r="AG147" i="4"/>
  <c r="AH187" i="4"/>
  <c r="AD187" i="4"/>
  <c r="AM187" i="4"/>
  <c r="H19" i="4"/>
  <c r="Z20" i="4"/>
  <c r="AA11" i="4"/>
  <c r="AF19" i="4"/>
  <c r="P52" i="4"/>
  <c r="H63" i="4"/>
  <c r="AB58" i="4"/>
  <c r="AD58" i="4"/>
  <c r="AE54" i="4"/>
  <c r="AJ58" i="4"/>
  <c r="R97" i="4"/>
  <c r="AC94" i="4"/>
  <c r="Q136" i="4"/>
  <c r="V141" i="4"/>
  <c r="Z147" i="4"/>
  <c r="AA136" i="4"/>
  <c r="AB137" i="4"/>
  <c r="AG141" i="4"/>
  <c r="AF187" i="4"/>
  <c r="O10" i="4"/>
  <c r="R11" i="4"/>
  <c r="U10" i="4"/>
  <c r="X10" i="4"/>
  <c r="Z15" i="4"/>
  <c r="AA18" i="4"/>
  <c r="AB10" i="4"/>
  <c r="AC10" i="4"/>
  <c r="AE19" i="4"/>
  <c r="AI21" i="4"/>
  <c r="AJ18" i="4"/>
  <c r="AK18" i="4"/>
  <c r="H54" i="4"/>
  <c r="V56" i="4"/>
  <c r="W56" i="4"/>
  <c r="Y58" i="4"/>
  <c r="AC62" i="4"/>
  <c r="AD62" i="4"/>
  <c r="AE62" i="4"/>
  <c r="AI62" i="4"/>
  <c r="AK62" i="4"/>
  <c r="H94" i="4"/>
  <c r="O94" i="4"/>
  <c r="Q94" i="4"/>
  <c r="T94" i="4"/>
  <c r="Y95" i="4"/>
  <c r="Z94" i="4"/>
  <c r="AA105" i="4"/>
  <c r="AB105" i="4"/>
  <c r="AD95" i="4"/>
  <c r="AE145" i="4"/>
  <c r="AD182" i="4"/>
  <c r="AC182" i="4"/>
  <c r="Z182" i="4"/>
  <c r="AD142" i="4"/>
  <c r="U142" i="4"/>
  <c r="AH142" i="4"/>
  <c r="AI101" i="4"/>
  <c r="Z101" i="4"/>
  <c r="X101" i="4"/>
  <c r="V101" i="4"/>
  <c r="AF101" i="4"/>
  <c r="AD101" i="4"/>
  <c r="AC101" i="4"/>
  <c r="W101" i="4"/>
  <c r="AJ104" i="4"/>
  <c r="AD138" i="4"/>
  <c r="AA104" i="4"/>
  <c r="T138" i="4"/>
  <c r="W177" i="4"/>
  <c r="P135" i="4"/>
  <c r="Y142" i="4"/>
  <c r="Z138" i="4"/>
  <c r="Z98" i="4"/>
  <c r="AA101" i="4"/>
  <c r="P137" i="4"/>
  <c r="U141" i="4"/>
  <c r="AD141" i="4"/>
  <c r="AE141" i="4"/>
  <c r="Z96" i="4"/>
  <c r="AB96" i="4"/>
  <c r="T96" i="4"/>
  <c r="H96" i="4"/>
  <c r="S96" i="4"/>
  <c r="AC96" i="4"/>
  <c r="V96" i="4"/>
  <c r="AG64" i="4"/>
  <c r="AD64" i="4"/>
  <c r="X57" i="4"/>
  <c r="U57" i="4"/>
  <c r="AD57" i="4"/>
  <c r="AF57" i="4"/>
  <c r="V57" i="4"/>
  <c r="T57" i="4"/>
  <c r="AE57" i="4"/>
  <c r="Y53" i="4"/>
  <c r="S53" i="4"/>
  <c r="AK16" i="4"/>
  <c r="AC16" i="4"/>
  <c r="AG16" i="4"/>
  <c r="AB16" i="4"/>
  <c r="AB12" i="4"/>
  <c r="H12" i="4"/>
  <c r="R175" i="4"/>
  <c r="T175" i="4"/>
  <c r="Z186" i="4"/>
  <c r="AE186" i="4"/>
  <c r="H186" i="4"/>
  <c r="T178" i="4"/>
  <c r="Q178" i="4"/>
  <c r="AN146" i="4"/>
  <c r="Z146" i="4"/>
  <c r="AK146" i="4"/>
  <c r="AI146" i="4"/>
  <c r="AM146" i="4"/>
  <c r="AD146" i="4"/>
  <c r="AA146" i="4"/>
  <c r="AB146" i="4"/>
  <c r="AH146" i="4"/>
  <c r="AE138" i="4"/>
  <c r="AG138" i="4"/>
  <c r="V138" i="4"/>
  <c r="AA138" i="4"/>
  <c r="AC138" i="4"/>
  <c r="Q138" i="4"/>
  <c r="R138" i="4"/>
  <c r="AF138" i="4"/>
  <c r="S138" i="4"/>
  <c r="AD135" i="4"/>
  <c r="U135" i="4"/>
  <c r="R135" i="4"/>
  <c r="N135" i="4"/>
  <c r="AB135" i="4"/>
  <c r="T135" i="4"/>
  <c r="AA135" i="4"/>
  <c r="AC135" i="4"/>
  <c r="V135" i="4"/>
  <c r="AM104" i="4"/>
  <c r="AC104" i="4"/>
  <c r="AL104" i="4"/>
  <c r="AH104" i="4"/>
  <c r="AE104" i="4"/>
  <c r="AN104" i="4"/>
  <c r="AF104" i="4"/>
  <c r="H104" i="4"/>
  <c r="AH98" i="4"/>
  <c r="AE98" i="4"/>
  <c r="AA98" i="4"/>
  <c r="Y98" i="4"/>
  <c r="X98" i="4"/>
  <c r="V98" i="4"/>
  <c r="U98" i="4"/>
  <c r="T98" i="4"/>
  <c r="R98" i="4"/>
  <c r="AO146" i="4"/>
  <c r="AL146" i="4"/>
  <c r="Y135" i="4"/>
  <c r="AC142" i="4"/>
  <c r="AJ101" i="4"/>
  <c r="S135" i="4"/>
  <c r="AF178" i="4"/>
  <c r="AG181" i="4"/>
  <c r="W181" i="4"/>
  <c r="H181" i="4"/>
  <c r="X181" i="4"/>
  <c r="U181" i="4"/>
  <c r="T181" i="4"/>
  <c r="AF141" i="4"/>
  <c r="AC141" i="4"/>
  <c r="T141" i="4"/>
  <c r="AB141" i="4"/>
  <c r="Z141" i="4"/>
  <c r="Y141" i="4"/>
  <c r="W141" i="4"/>
  <c r="AE137" i="4"/>
  <c r="X137" i="4"/>
  <c r="V137" i="4"/>
  <c r="T137" i="4"/>
  <c r="S9" i="4"/>
  <c r="U9" i="4"/>
  <c r="N9" i="4"/>
  <c r="H9" i="4"/>
  <c r="Y146" i="4"/>
  <c r="Y104" i="4"/>
  <c r="AB9" i="4"/>
  <c r="AG146" i="4"/>
  <c r="AB104" i="4"/>
  <c r="Q135" i="4"/>
  <c r="X138" i="4"/>
  <c r="AB138" i="4"/>
  <c r="Z142" i="4"/>
  <c r="W98" i="4"/>
  <c r="AC98" i="4"/>
  <c r="AF98" i="4"/>
  <c r="AG101" i="4"/>
  <c r="U138" i="4"/>
  <c r="W135" i="4"/>
  <c r="X141" i="4"/>
  <c r="Z135" i="4"/>
  <c r="AD137" i="4"/>
  <c r="AI141" i="4"/>
  <c r="AJ141" i="4"/>
  <c r="AB181" i="4"/>
  <c r="Z99" i="4"/>
  <c r="U99" i="4"/>
  <c r="AE99" i="4"/>
  <c r="Y99" i="4"/>
  <c r="AI99" i="4"/>
  <c r="V99" i="4"/>
  <c r="T99" i="4"/>
  <c r="AC99" i="4"/>
  <c r="AF99" i="4"/>
  <c r="AH63" i="4"/>
  <c r="AG63" i="4"/>
  <c r="AD63" i="4"/>
  <c r="Z63" i="4"/>
  <c r="AJ63" i="4"/>
  <c r="AB63" i="4"/>
  <c r="AI60" i="4"/>
  <c r="AE60" i="4"/>
  <c r="AC60" i="4"/>
  <c r="AL60" i="4"/>
  <c r="AF60" i="4"/>
  <c r="AC56" i="4"/>
  <c r="AE56" i="4"/>
  <c r="AD56" i="4"/>
  <c r="AB56" i="4"/>
  <c r="Y56" i="4"/>
  <c r="X56" i="4"/>
  <c r="U56" i="4"/>
  <c r="S56" i="4"/>
  <c r="H56" i="4"/>
  <c r="S52" i="4"/>
  <c r="Y52" i="4"/>
  <c r="AM19" i="4"/>
  <c r="AA19" i="4"/>
  <c r="X19" i="4"/>
  <c r="AK19" i="4"/>
  <c r="AC19" i="4"/>
  <c r="AH19" i="4"/>
  <c r="AN19" i="4"/>
  <c r="AF11" i="4"/>
  <c r="W11" i="4"/>
  <c r="U11" i="4"/>
  <c r="T11" i="4"/>
  <c r="S11" i="4"/>
  <c r="P11" i="4"/>
  <c r="H11" i="4"/>
  <c r="AE11" i="4"/>
  <c r="Z11" i="4"/>
  <c r="H10" i="4"/>
  <c r="Y62" i="5"/>
  <c r="H146" i="4"/>
  <c r="H138" i="4"/>
  <c r="H105" i="4"/>
  <c r="H101" i="4"/>
  <c r="H97" i="4"/>
  <c r="O175" i="4"/>
  <c r="U175" i="4"/>
  <c r="P175" i="4"/>
  <c r="AB175" i="4"/>
  <c r="S8" i="4"/>
  <c r="R8" i="4"/>
  <c r="AB21" i="4"/>
  <c r="AL21" i="4"/>
  <c r="AP21" i="4"/>
  <c r="H21" i="4"/>
  <c r="AA21" i="4"/>
  <c r="AD21" i="4"/>
  <c r="AG21" i="4"/>
  <c r="AN21" i="4"/>
  <c r="AC21" i="4"/>
  <c r="AH21" i="4"/>
  <c r="AO21" i="4"/>
  <c r="Z21" i="4"/>
  <c r="AJ21" i="4"/>
  <c r="Z147" i="2"/>
  <c r="AB147" i="2"/>
  <c r="AC147" i="2"/>
  <c r="AN147" i="2"/>
  <c r="AJ147" i="2"/>
  <c r="H143" i="2"/>
  <c r="X143" i="2"/>
  <c r="AA143" i="2"/>
  <c r="AJ143" i="2"/>
  <c r="AK143" i="2"/>
  <c r="AD141" i="2"/>
  <c r="U141" i="2"/>
  <c r="Y141" i="2"/>
  <c r="AC141" i="2"/>
  <c r="AF141" i="2"/>
  <c r="AH141" i="2"/>
  <c r="W141" i="2"/>
  <c r="U137" i="2"/>
  <c r="P137" i="2"/>
  <c r="V137" i="2"/>
  <c r="Q135" i="2"/>
  <c r="R135" i="2"/>
  <c r="AA135" i="2"/>
  <c r="AI62" i="2"/>
  <c r="Y62" i="2"/>
  <c r="AK62" i="2"/>
  <c r="AC62" i="2"/>
  <c r="AF62" i="2"/>
  <c r="AJ62" i="2"/>
  <c r="AD62" i="2"/>
  <c r="AE62" i="2"/>
  <c r="T58" i="2"/>
  <c r="AC58" i="2"/>
  <c r="AF58" i="2"/>
  <c r="AA58" i="2"/>
  <c r="X58" i="2"/>
  <c r="AJ58" i="2"/>
  <c r="H58" i="2"/>
  <c r="W58" i="2"/>
  <c r="AD58" i="2"/>
  <c r="AE58" i="2"/>
  <c r="U58" i="2"/>
  <c r="V58" i="2"/>
  <c r="AB58" i="2"/>
  <c r="AH58" i="2"/>
  <c r="AI58" i="2"/>
  <c r="Y58" i="2"/>
  <c r="R54" i="2"/>
  <c r="H54" i="2"/>
  <c r="W54" i="2"/>
  <c r="AE54" i="2"/>
  <c r="U54" i="2"/>
  <c r="V54" i="2"/>
  <c r="Z54" i="2"/>
  <c r="P54" i="2"/>
  <c r="AF54" i="2"/>
  <c r="X54" i="2"/>
  <c r="S54" i="2"/>
  <c r="AB54" i="2"/>
  <c r="Q54" i="2"/>
  <c r="AA54" i="2"/>
  <c r="V214" i="4"/>
  <c r="I225" i="4" s="1"/>
  <c r="AD89" i="2"/>
  <c r="AL90" i="2" s="1"/>
  <c r="O89" i="2"/>
  <c r="O47" i="4"/>
  <c r="AD47" i="4"/>
  <c r="AL48" i="4" s="1"/>
  <c r="AH18" i="2"/>
  <c r="AF18" i="2"/>
  <c r="AA18" i="2"/>
  <c r="W18" i="2"/>
  <c r="AB18" i="2"/>
  <c r="AI18" i="2"/>
  <c r="AE18" i="2"/>
  <c r="H218" i="2"/>
  <c r="P218" i="2"/>
  <c r="R218" i="2"/>
  <c r="T218" i="2"/>
  <c r="V218" i="2"/>
  <c r="X218" i="2"/>
  <c r="Z218" i="2"/>
  <c r="AB218" i="2"/>
  <c r="AD218" i="2"/>
  <c r="AJ144" i="4"/>
  <c r="AE144" i="4"/>
  <c r="AD144" i="4"/>
  <c r="W144" i="4"/>
  <c r="AI144" i="4"/>
  <c r="AF144" i="4"/>
  <c r="AA144" i="4"/>
  <c r="AL144" i="4"/>
  <c r="AG144" i="4"/>
  <c r="Y144" i="4"/>
  <c r="X144" i="4"/>
  <c r="AM144" i="4"/>
  <c r="Z144" i="4"/>
  <c r="X253" i="2"/>
  <c r="BC7" i="5"/>
  <c r="G133" i="2"/>
  <c r="H144" i="4"/>
  <c r="AL188" i="4"/>
  <c r="AG18" i="2"/>
  <c r="X18" i="2"/>
  <c r="AM18" i="2"/>
  <c r="H18" i="2"/>
  <c r="AE218" i="2"/>
  <c r="W218" i="2"/>
  <c r="O218" i="2"/>
  <c r="Q10" i="2"/>
  <c r="H11" i="2"/>
  <c r="Z105" i="2"/>
  <c r="AJ105" i="2"/>
  <c r="AK105" i="2"/>
  <c r="AL105" i="2"/>
  <c r="AO105" i="2"/>
  <c r="U101" i="2"/>
  <c r="AE101" i="2"/>
  <c r="Z101" i="2"/>
  <c r="AA101" i="2"/>
  <c r="AF101" i="2"/>
  <c r="AG101" i="2"/>
  <c r="AH101" i="2"/>
  <c r="H101" i="2"/>
  <c r="AE146" i="2"/>
  <c r="AF146" i="2"/>
  <c r="AL146" i="2"/>
  <c r="AH146" i="2"/>
  <c r="N130" i="2"/>
  <c r="O130" i="2" s="1"/>
  <c r="AC130" i="2"/>
  <c r="AK131" i="2" s="1"/>
  <c r="F174" i="2"/>
  <c r="AA188" i="2"/>
  <c r="AD188" i="2"/>
  <c r="AA184" i="2"/>
  <c r="AD184" i="2"/>
  <c r="AA180" i="2"/>
  <c r="AD180" i="2"/>
  <c r="H176" i="2"/>
  <c r="N176" i="2"/>
  <c r="N173" i="2" s="1"/>
  <c r="I176" i="2" s="1"/>
  <c r="BA7" i="5" s="1"/>
  <c r="P176" i="2"/>
  <c r="G50" i="2"/>
  <c r="O51" i="2"/>
  <c r="Z51" i="2"/>
  <c r="AG106" i="4"/>
  <c r="P257" i="6"/>
  <c r="R257" i="6"/>
  <c r="S257" i="6"/>
  <c r="T257" i="6"/>
  <c r="U257" i="6"/>
  <c r="AG59" i="6"/>
  <c r="AI59" i="6"/>
  <c r="AB59" i="6"/>
  <c r="AD185" i="6"/>
  <c r="AB185" i="6"/>
  <c r="X185" i="6"/>
  <c r="AE185" i="6"/>
  <c r="Y185" i="6"/>
  <c r="AN267" i="6"/>
  <c r="AM267" i="6"/>
  <c r="AI267" i="6"/>
  <c r="AG267" i="6"/>
  <c r="AG255" i="6" s="1"/>
  <c r="I277" i="6" s="1"/>
  <c r="K67" i="5" s="1"/>
  <c r="AE267" i="6"/>
  <c r="AB267" i="6"/>
  <c r="AA267" i="6"/>
  <c r="X267" i="6"/>
  <c r="W267" i="6"/>
  <c r="AK267" i="6"/>
  <c r="AD267" i="6"/>
  <c r="H267" i="6"/>
  <c r="AH267" i="6"/>
  <c r="AF267" i="6"/>
  <c r="AC267" i="6"/>
  <c r="Y267" i="6"/>
  <c r="H187" i="6"/>
  <c r="AK187" i="6"/>
  <c r="AF187" i="6"/>
  <c r="AI187" i="6"/>
  <c r="AE187" i="6"/>
  <c r="AL187" i="6"/>
  <c r="Z187" i="6"/>
  <c r="AJ187" i="6"/>
  <c r="AG187" i="6"/>
  <c r="AD14" i="2"/>
  <c r="AB14" i="2"/>
  <c r="T14" i="2"/>
  <c r="V14" i="2"/>
  <c r="AI14" i="2"/>
  <c r="AE14" i="2"/>
  <c r="W14" i="2"/>
  <c r="AH14" i="2"/>
  <c r="U14" i="2"/>
  <c r="W10" i="2"/>
  <c r="Z10" i="2"/>
  <c r="Z134" i="4"/>
  <c r="Y134" i="4"/>
  <c r="W134" i="4"/>
  <c r="S134" i="4"/>
  <c r="Q134" i="4"/>
  <c r="O134" i="4"/>
  <c r="O132" i="4" s="1"/>
  <c r="I136" i="4" s="1"/>
  <c r="AZ49" i="5" s="1"/>
  <c r="AA134" i="4"/>
  <c r="U134" i="4"/>
  <c r="M134" i="4"/>
  <c r="M132" i="4" s="1"/>
  <c r="I134" i="4" s="1"/>
  <c r="CN6" i="1" s="1"/>
  <c r="AJ188" i="4"/>
  <c r="AB188" i="4"/>
  <c r="H188" i="4"/>
  <c r="AG188" i="4"/>
  <c r="AO188" i="4"/>
  <c r="Z188" i="4"/>
  <c r="AP188" i="4"/>
  <c r="AH188" i="4"/>
  <c r="AF188" i="4"/>
  <c r="AN188" i="4"/>
  <c r="AI188" i="4"/>
  <c r="AA188" i="4"/>
  <c r="AM188" i="4"/>
  <c r="AI140" i="4"/>
  <c r="AH140" i="4"/>
  <c r="AG140" i="4"/>
  <c r="AB140" i="4"/>
  <c r="AA140" i="4"/>
  <c r="X140" i="4"/>
  <c r="S140" i="4"/>
  <c r="AC140" i="4"/>
  <c r="Y140" i="4"/>
  <c r="AD140" i="4"/>
  <c r="V140" i="4"/>
  <c r="T140" i="4"/>
  <c r="AF140" i="4"/>
  <c r="U140" i="4"/>
  <c r="AC257" i="6"/>
  <c r="Y257" i="6"/>
  <c r="O257" i="6"/>
  <c r="W257" i="6"/>
  <c r="N257" i="6"/>
  <c r="AB257" i="6"/>
  <c r="AA257" i="6"/>
  <c r="Z257" i="6"/>
  <c r="X257" i="6"/>
  <c r="M257" i="6"/>
  <c r="M255" i="6" s="1"/>
  <c r="I257" i="6" s="1"/>
  <c r="K47" i="5" s="1"/>
  <c r="AD188" i="4"/>
  <c r="U214" i="4"/>
  <c r="I224" i="4" s="1"/>
  <c r="CP14" i="1" s="1"/>
  <c r="Y14" i="2"/>
  <c r="AK18" i="2"/>
  <c r="AC14" i="2"/>
  <c r="H14" i="2"/>
  <c r="Y218" i="2"/>
  <c r="Q218" i="2"/>
  <c r="M214" i="2"/>
  <c r="N47" i="2"/>
  <c r="AD47" i="2" s="1"/>
  <c r="AL48" i="2" s="1"/>
  <c r="AC47" i="2"/>
  <c r="AK48" i="2" s="1"/>
  <c r="P4" i="2"/>
  <c r="AF4" i="2" s="1"/>
  <c r="AN5" i="2" s="1"/>
  <c r="W5" i="2"/>
  <c r="V98" i="2"/>
  <c r="W98" i="2"/>
  <c r="AA98" i="2"/>
  <c r="AC98" i="2"/>
  <c r="AF98" i="2"/>
  <c r="AG98" i="2"/>
  <c r="AH98" i="2"/>
  <c r="S98" i="2"/>
  <c r="X98" i="2"/>
  <c r="G50" i="4"/>
  <c r="N46" i="4"/>
  <c r="O46" i="4" s="1"/>
  <c r="P46" i="4" s="1"/>
  <c r="Q46" i="4" s="1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AK46" i="4" s="1"/>
  <c r="AL46" i="4" s="1"/>
  <c r="AM46" i="4" s="1"/>
  <c r="AN46" i="4" s="1"/>
  <c r="AO46" i="4" s="1"/>
  <c r="AP46" i="4" s="1"/>
  <c r="T134" i="4"/>
  <c r="AE140" i="4"/>
  <c r="Q257" i="6"/>
  <c r="AB179" i="6"/>
  <c r="AF179" i="6"/>
  <c r="AA179" i="6"/>
  <c r="AL265" i="6"/>
  <c r="AJ265" i="6"/>
  <c r="AH265" i="6"/>
  <c r="AH255" i="6" s="1"/>
  <c r="AD265" i="6"/>
  <c r="Y265" i="6"/>
  <c r="V265" i="6"/>
  <c r="H265" i="6"/>
  <c r="AG265" i="6"/>
  <c r="AF265" i="6"/>
  <c r="AE265" i="6"/>
  <c r="AC265" i="6"/>
  <c r="AK265" i="6"/>
  <c r="W265" i="6"/>
  <c r="AB265" i="6"/>
  <c r="AA265" i="6"/>
  <c r="Z265" i="6"/>
  <c r="X265" i="6"/>
  <c r="AM144" i="6"/>
  <c r="X144" i="6"/>
  <c r="AA144" i="6"/>
  <c r="AG144" i="6"/>
  <c r="H144" i="6"/>
  <c r="M4" i="4"/>
  <c r="F7" i="4"/>
  <c r="E92" i="4"/>
  <c r="U32" i="5"/>
  <c r="U24" i="5" s="1"/>
  <c r="O88" i="2"/>
  <c r="AY78" i="5"/>
  <c r="S214" i="4"/>
  <c r="I222" i="4" s="1"/>
  <c r="H215" i="4"/>
  <c r="AD18" i="2"/>
  <c r="G133" i="4"/>
  <c r="G174" i="4"/>
  <c r="W140" i="4"/>
  <c r="AE188" i="4"/>
  <c r="Y18" i="2"/>
  <c r="S14" i="2"/>
  <c r="AF14" i="2"/>
  <c r="AA218" i="2"/>
  <c r="S218" i="2"/>
  <c r="N171" i="2"/>
  <c r="AC171" i="2"/>
  <c r="AK172" i="2" s="1"/>
  <c r="P134" i="4"/>
  <c r="X134" i="4"/>
  <c r="AB134" i="4"/>
  <c r="AC134" i="4"/>
  <c r="AA8" i="4"/>
  <c r="W8" i="4"/>
  <c r="Z8" i="4"/>
  <c r="N8" i="4"/>
  <c r="G92" i="4"/>
  <c r="M88" i="4"/>
  <c r="N88" i="4" s="1"/>
  <c r="O88" i="4" s="1"/>
  <c r="P88" i="4" s="1"/>
  <c r="Q88" i="4" s="1"/>
  <c r="R88" i="4" s="1"/>
  <c r="S88" i="4" s="1"/>
  <c r="T88" i="4" s="1"/>
  <c r="U88" i="4" s="1"/>
  <c r="V88" i="4" s="1"/>
  <c r="W88" i="4" s="1"/>
  <c r="X88" i="4" s="1"/>
  <c r="Y88" i="4" s="1"/>
  <c r="Z88" i="4" s="1"/>
  <c r="AA88" i="4" s="1"/>
  <c r="AB88" i="4" s="1"/>
  <c r="AC88" i="4" s="1"/>
  <c r="AD88" i="4" s="1"/>
  <c r="AE88" i="4" s="1"/>
  <c r="AF88" i="4" s="1"/>
  <c r="AG88" i="4" s="1"/>
  <c r="AH88" i="4" s="1"/>
  <c r="AI88" i="4" s="1"/>
  <c r="AJ88" i="4" s="1"/>
  <c r="AI185" i="4"/>
  <c r="AM185" i="4"/>
  <c r="H257" i="6"/>
  <c r="Y258" i="6"/>
  <c r="V258" i="6"/>
  <c r="N258" i="6"/>
  <c r="O258" i="6"/>
  <c r="P258" i="6"/>
  <c r="Q258" i="6"/>
  <c r="X258" i="6"/>
  <c r="AC258" i="6"/>
  <c r="Y53" i="6"/>
  <c r="AB53" i="6"/>
  <c r="T53" i="6"/>
  <c r="S97" i="6"/>
  <c r="AE97" i="6"/>
  <c r="AC97" i="6"/>
  <c r="W97" i="6"/>
  <c r="Y97" i="6"/>
  <c r="M255" i="2"/>
  <c r="I257" i="2" s="1"/>
  <c r="CJ6" i="1" s="1"/>
  <c r="Z62" i="5"/>
  <c r="H175" i="2"/>
  <c r="H185" i="2"/>
  <c r="H181" i="2"/>
  <c r="AH186" i="4"/>
  <c r="AN186" i="4"/>
  <c r="AI186" i="4"/>
  <c r="AF186" i="4"/>
  <c r="AC186" i="4"/>
  <c r="AA186" i="4"/>
  <c r="AL186" i="4"/>
  <c r="AD186" i="4"/>
  <c r="AB186" i="4"/>
  <c r="Y186" i="4"/>
  <c r="AG182" i="4"/>
  <c r="AA182" i="4"/>
  <c r="H182" i="4"/>
  <c r="AD178" i="4"/>
  <c r="Z178" i="4"/>
  <c r="W178" i="4"/>
  <c r="H178" i="4"/>
  <c r="AB178" i="4"/>
  <c r="AP64" i="4"/>
  <c r="AI64" i="4"/>
  <c r="AF64" i="4"/>
  <c r="AO64" i="4"/>
  <c r="AJ64" i="4"/>
  <c r="AH64" i="4"/>
  <c r="AB57" i="4"/>
  <c r="Y57" i="4"/>
  <c r="S57" i="4"/>
  <c r="AC57" i="4"/>
  <c r="W57" i="4"/>
  <c r="Y12" i="4"/>
  <c r="R12" i="4"/>
  <c r="W12" i="4"/>
  <c r="V12" i="4"/>
  <c r="G7" i="4"/>
  <c r="AC31" i="5"/>
  <c r="AB29" i="5"/>
  <c r="AB24" i="5" s="1"/>
  <c r="AA30" i="5"/>
  <c r="Y31" i="5"/>
  <c r="Z32" i="5"/>
  <c r="X73" i="5"/>
  <c r="X67" i="5" s="1"/>
  <c r="AA71" i="5"/>
  <c r="AA72" i="5"/>
  <c r="AC73" i="5"/>
  <c r="AC67" i="5" s="1"/>
  <c r="AP228" i="6"/>
  <c r="AM228" i="6"/>
  <c r="AC228" i="6"/>
  <c r="AB228" i="6"/>
  <c r="AA228" i="6"/>
  <c r="AO228" i="6"/>
  <c r="AI228" i="6"/>
  <c r="AF228" i="6"/>
  <c r="AN228" i="6"/>
  <c r="AK228" i="6"/>
  <c r="AJ228" i="6"/>
  <c r="AH228" i="6"/>
  <c r="Z228" i="6"/>
  <c r="G256" i="2"/>
  <c r="G215" i="4"/>
  <c r="Q214" i="4"/>
  <c r="H136" i="2"/>
  <c r="H134" i="2"/>
  <c r="H141" i="4"/>
  <c r="AO147" i="4"/>
  <c r="AI147" i="4"/>
  <c r="AA147" i="4"/>
  <c r="AL147" i="4"/>
  <c r="H147" i="4"/>
  <c r="Z143" i="4"/>
  <c r="AE143" i="4"/>
  <c r="AD143" i="4"/>
  <c r="W143" i="4"/>
  <c r="AO105" i="4"/>
  <c r="AG105" i="4"/>
  <c r="AD94" i="4"/>
  <c r="X94" i="4"/>
  <c r="W94" i="4"/>
  <c r="AA94" i="4"/>
  <c r="T58" i="4"/>
  <c r="AC58" i="4"/>
  <c r="W58" i="4"/>
  <c r="AI58" i="4"/>
  <c r="AG58" i="4"/>
  <c r="AE58" i="4"/>
  <c r="X58" i="4"/>
  <c r="V58" i="4"/>
  <c r="H58" i="4"/>
  <c r="P54" i="4"/>
  <c r="AD54" i="4"/>
  <c r="AA54" i="4"/>
  <c r="X54" i="4"/>
  <c r="W54" i="4"/>
  <c r="V54" i="4"/>
  <c r="AF54" i="4"/>
  <c r="Z54" i="4"/>
  <c r="U54" i="4"/>
  <c r="T54" i="4"/>
  <c r="S54" i="4"/>
  <c r="AL20" i="4"/>
  <c r="Y20" i="4"/>
  <c r="W17" i="4"/>
  <c r="AB17" i="4"/>
  <c r="X17" i="4"/>
  <c r="AE13" i="4"/>
  <c r="H13" i="4"/>
  <c r="AC13" i="4"/>
  <c r="AC32" i="5"/>
  <c r="AC25" i="5" s="1"/>
  <c r="X31" i="5"/>
  <c r="W30" i="5"/>
  <c r="Y70" i="5"/>
  <c r="AC70" i="5"/>
  <c r="AD261" i="6"/>
  <c r="T261" i="6"/>
  <c r="H261" i="6"/>
  <c r="F174" i="4"/>
  <c r="H98" i="4"/>
  <c r="AA31" i="5"/>
  <c r="X29" i="5"/>
  <c r="Y71" i="5"/>
  <c r="AB73" i="5"/>
  <c r="AB65" i="5" s="1"/>
  <c r="AC71" i="5"/>
  <c r="AE262" i="6"/>
  <c r="AB262" i="6"/>
  <c r="AA262" i="6"/>
  <c r="Z262" i="6"/>
  <c r="X262" i="6"/>
  <c r="W262" i="6"/>
  <c r="AI263" i="6"/>
  <c r="AF263" i="6"/>
  <c r="AC263" i="6"/>
  <c r="U263" i="6"/>
  <c r="O212" i="2"/>
  <c r="P212" i="2" s="1"/>
  <c r="Q212" i="2" s="1"/>
  <c r="R212" i="2" s="1"/>
  <c r="S212" i="2" s="1"/>
  <c r="T212" i="2" s="1"/>
  <c r="U212" i="2" s="1"/>
  <c r="V212" i="2" s="1"/>
  <c r="W212" i="2" s="1"/>
  <c r="X212" i="2" s="1"/>
  <c r="Y212" i="2" s="1"/>
  <c r="Z212" i="2" s="1"/>
  <c r="AA212" i="2" s="1"/>
  <c r="AB212" i="2" s="1"/>
  <c r="AC212" i="2" s="1"/>
  <c r="AD212" i="2" s="1"/>
  <c r="AE212" i="2" s="1"/>
  <c r="Q259" i="4"/>
  <c r="N3" i="2"/>
  <c r="O3" i="4"/>
  <c r="AC217" i="6"/>
  <c r="AB217" i="6"/>
  <c r="AA217" i="6"/>
  <c r="T217" i="6"/>
  <c r="S217" i="6"/>
  <c r="AJ263" i="6"/>
  <c r="AE266" i="6"/>
  <c r="Z266" i="6"/>
  <c r="AO268" i="6"/>
  <c r="AN268" i="6"/>
  <c r="AL268" i="6"/>
  <c r="AC268" i="6"/>
  <c r="T214" i="4"/>
  <c r="I223" i="4" s="1"/>
  <c r="BB54" i="5" s="1"/>
  <c r="AB259" i="4"/>
  <c r="AE259" i="4"/>
  <c r="AA259" i="4"/>
  <c r="Z259" i="4"/>
  <c r="Y259" i="4"/>
  <c r="X259" i="4"/>
  <c r="W259" i="4"/>
  <c r="V259" i="4"/>
  <c r="U259" i="4"/>
  <c r="T259" i="4"/>
  <c r="S259" i="4"/>
  <c r="R259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P255" i="4" s="1"/>
  <c r="I260" i="4" s="1"/>
  <c r="H260" i="4"/>
  <c r="AF260" i="4"/>
  <c r="F256" i="4"/>
  <c r="G256" i="4"/>
  <c r="F133" i="4"/>
  <c r="H140" i="4"/>
  <c r="H59" i="4"/>
  <c r="AB30" i="5"/>
  <c r="AB25" i="5" s="1"/>
  <c r="AA29" i="5"/>
  <c r="X30" i="5"/>
  <c r="Z31" i="5"/>
  <c r="W70" i="5"/>
  <c r="O252" i="2"/>
  <c r="F215" i="4"/>
  <c r="V13" i="4"/>
  <c r="AI183" i="4"/>
  <c r="O218" i="4"/>
  <c r="O214" i="4" s="1"/>
  <c r="I218" i="4" s="1"/>
  <c r="CP8" i="1" s="1"/>
  <c r="Y218" i="4"/>
  <c r="Y214" i="4" s="1"/>
  <c r="I228" i="4" s="1"/>
  <c r="BB59" i="5" s="1"/>
  <c r="X218" i="4"/>
  <c r="X214" i="4" s="1"/>
  <c r="I227" i="4" s="1"/>
  <c r="BB58" i="5" s="1"/>
  <c r="CP12" i="1"/>
  <c r="BB53" i="5"/>
  <c r="BB49" i="5"/>
  <c r="R218" i="4"/>
  <c r="R214" i="4" s="1"/>
  <c r="P218" i="4"/>
  <c r="P214" i="4" s="1"/>
  <c r="I219" i="4" s="1"/>
  <c r="AA218" i="4"/>
  <c r="W218" i="4"/>
  <c r="W214" i="4" s="1"/>
  <c r="I226" i="4" s="1"/>
  <c r="P95" i="4"/>
  <c r="U95" i="4"/>
  <c r="X95" i="4"/>
  <c r="Z95" i="4"/>
  <c r="Q95" i="4"/>
  <c r="T95" i="4"/>
  <c r="AC95" i="4"/>
  <c r="U53" i="4"/>
  <c r="V53" i="4"/>
  <c r="W183" i="4"/>
  <c r="Y16" i="4"/>
  <c r="V16" i="4"/>
  <c r="AH16" i="4"/>
  <c r="AJ16" i="4"/>
  <c r="W16" i="4"/>
  <c r="AA16" i="4"/>
  <c r="AI16" i="4"/>
  <c r="AF16" i="4"/>
  <c r="X16" i="4"/>
  <c r="H16" i="4"/>
  <c r="Z16" i="4"/>
  <c r="AD16" i="4"/>
  <c r="AE16" i="4"/>
  <c r="Z185" i="4"/>
  <c r="AJ185" i="4"/>
  <c r="AE185" i="4"/>
  <c r="AB185" i="4"/>
  <c r="X185" i="4"/>
  <c r="AH13" i="4"/>
  <c r="X13" i="4"/>
  <c r="AD13" i="4"/>
  <c r="W71" i="5"/>
  <c r="AA13" i="4"/>
  <c r="AF13" i="4"/>
  <c r="T13" i="4"/>
  <c r="AG13" i="4"/>
  <c r="AI181" i="4"/>
  <c r="Y181" i="4"/>
  <c r="S181" i="4"/>
  <c r="AA181" i="4"/>
  <c r="AE181" i="4"/>
  <c r="AH181" i="4"/>
  <c r="V181" i="4"/>
  <c r="Z181" i="4"/>
  <c r="U14" i="4"/>
  <c r="W14" i="4"/>
  <c r="Y14" i="4"/>
  <c r="AA14" i="4"/>
  <c r="AC14" i="4"/>
  <c r="AD14" i="4"/>
  <c r="T14" i="4"/>
  <c r="V14" i="4"/>
  <c r="Z14" i="4"/>
  <c r="AB14" i="4"/>
  <c r="H14" i="4"/>
  <c r="S14" i="4"/>
  <c r="X14" i="4"/>
  <c r="AE14" i="4"/>
  <c r="AF14" i="4"/>
  <c r="AG14" i="4"/>
  <c r="AH14" i="4"/>
  <c r="W179" i="4"/>
  <c r="X179" i="4"/>
  <c r="H179" i="4"/>
  <c r="AE179" i="4"/>
  <c r="AB179" i="4"/>
  <c r="T179" i="4"/>
  <c r="AA179" i="4"/>
  <c r="AC179" i="4"/>
  <c r="S179" i="4"/>
  <c r="Y179" i="4"/>
  <c r="Z179" i="4"/>
  <c r="AD179" i="4"/>
  <c r="Q179" i="4"/>
  <c r="AF179" i="4"/>
  <c r="U178" i="4"/>
  <c r="V178" i="4"/>
  <c r="Y178" i="4"/>
  <c r="AE178" i="4"/>
  <c r="P178" i="4"/>
  <c r="R178" i="4"/>
  <c r="S178" i="4"/>
  <c r="AA178" i="4"/>
  <c r="AC178" i="4"/>
  <c r="P9" i="4"/>
  <c r="T9" i="4"/>
  <c r="R9" i="4"/>
  <c r="Z9" i="4"/>
  <c r="AD9" i="4"/>
  <c r="AA175" i="4"/>
  <c r="S175" i="4"/>
  <c r="M175" i="4"/>
  <c r="M173" i="4" s="1"/>
  <c r="I175" i="4" s="1"/>
  <c r="CO6" i="1" s="1"/>
  <c r="Y175" i="4"/>
  <c r="V175" i="4"/>
  <c r="H175" i="4"/>
  <c r="Q175" i="4"/>
  <c r="W175" i="4"/>
  <c r="AA51" i="4"/>
  <c r="T51" i="4"/>
  <c r="N51" i="4"/>
  <c r="W62" i="5"/>
  <c r="O8" i="4"/>
  <c r="V8" i="4"/>
  <c r="X8" i="4"/>
  <c r="Y8" i="4"/>
  <c r="AB8" i="4"/>
  <c r="AC8" i="4"/>
  <c r="H8" i="4"/>
  <c r="M8" i="4"/>
  <c r="M6" i="4" s="1"/>
  <c r="P8" i="4"/>
  <c r="Q8" i="4"/>
  <c r="U8" i="4"/>
  <c r="Q46" i="5"/>
  <c r="Q72" i="5"/>
  <c r="G7" i="2"/>
  <c r="W29" i="5"/>
  <c r="O3" i="2"/>
  <c r="P3" i="2" s="1"/>
  <c r="Q3" i="2" s="1"/>
  <c r="R3" i="2" s="1"/>
  <c r="S3" i="2" s="1"/>
  <c r="T3" i="2" s="1"/>
  <c r="U3" i="2" s="1"/>
  <c r="V3" i="2" s="1"/>
  <c r="W31" i="5"/>
  <c r="AN64" i="2"/>
  <c r="AM64" i="2"/>
  <c r="AL64" i="2"/>
  <c r="AK64" i="2"/>
  <c r="AI64" i="2"/>
  <c r="AH64" i="2"/>
  <c r="AP64" i="2"/>
  <c r="AG64" i="2"/>
  <c r="AD64" i="2"/>
  <c r="AB64" i="2"/>
  <c r="AA64" i="2"/>
  <c r="Z64" i="2"/>
  <c r="AO64" i="2"/>
  <c r="AJ64" i="2"/>
  <c r="AJ21" i="2"/>
  <c r="AF21" i="2"/>
  <c r="H21" i="2"/>
  <c r="AN21" i="2"/>
  <c r="AC21" i="2"/>
  <c r="AB21" i="2"/>
  <c r="AD21" i="2"/>
  <c r="AP21" i="2"/>
  <c r="AO21" i="2"/>
  <c r="AA182" i="2"/>
  <c r="Z182" i="2"/>
  <c r="AJ182" i="2"/>
  <c r="AB182" i="2"/>
  <c r="X182" i="2"/>
  <c r="AA73" i="5"/>
  <c r="S12" i="4"/>
  <c r="T12" i="4"/>
  <c r="U12" i="4"/>
  <c r="X12" i="4"/>
  <c r="Z12" i="4"/>
  <c r="AA12" i="4"/>
  <c r="AC12" i="4"/>
  <c r="Q12" i="4"/>
  <c r="AD179" i="2"/>
  <c r="AA179" i="2"/>
  <c r="Y179" i="2"/>
  <c r="Z179" i="2"/>
  <c r="Q179" i="2"/>
  <c r="H179" i="2"/>
  <c r="AA12" i="2"/>
  <c r="AG12" i="2"/>
  <c r="AF12" i="2"/>
  <c r="Z12" i="2"/>
  <c r="Y12" i="2"/>
  <c r="T12" i="2"/>
  <c r="V12" i="2"/>
  <c r="H12" i="2"/>
  <c r="Q12" i="2"/>
  <c r="X12" i="2"/>
  <c r="X70" i="5"/>
  <c r="BA37" i="5"/>
  <c r="AD178" i="2"/>
  <c r="AB178" i="2"/>
  <c r="U178" i="2"/>
  <c r="AF178" i="2"/>
  <c r="W178" i="2"/>
  <c r="Q177" i="4"/>
  <c r="P177" i="4"/>
  <c r="H177" i="4"/>
  <c r="U177" i="4"/>
  <c r="AC177" i="4"/>
  <c r="AE177" i="4"/>
  <c r="Y177" i="4"/>
  <c r="T177" i="4"/>
  <c r="Z53" i="4"/>
  <c r="AE53" i="4"/>
  <c r="X62" i="5"/>
  <c r="AB10" i="2"/>
  <c r="H10" i="2"/>
  <c r="AD176" i="2"/>
  <c r="AC176" i="2"/>
  <c r="AA176" i="2"/>
  <c r="Z52" i="4"/>
  <c r="O52" i="4"/>
  <c r="Q52" i="4"/>
  <c r="AD52" i="4"/>
  <c r="W52" i="4"/>
  <c r="T52" i="4"/>
  <c r="N52" i="4"/>
  <c r="AA52" i="4"/>
  <c r="AC52" i="4"/>
  <c r="R52" i="4"/>
  <c r="V52" i="4"/>
  <c r="H52" i="4"/>
  <c r="Q9" i="4"/>
  <c r="AC9" i="4"/>
  <c r="AA9" i="4"/>
  <c r="V9" i="4"/>
  <c r="X9" i="4"/>
  <c r="Y9" i="4"/>
  <c r="P9" i="2"/>
  <c r="M173" i="2"/>
  <c r="I175" i="2" s="1"/>
  <c r="CH6" i="1" s="1"/>
  <c r="E7" i="2"/>
  <c r="AE20" i="2"/>
  <c r="AB20" i="2"/>
  <c r="AE10" i="2"/>
  <c r="X10" i="2"/>
  <c r="H13" i="2"/>
  <c r="AI147" i="2"/>
  <c r="AG141" i="2"/>
  <c r="AE143" i="2"/>
  <c r="AA147" i="2"/>
  <c r="V141" i="2"/>
  <c r="S137" i="2"/>
  <c r="AM20" i="2"/>
  <c r="AA20" i="2"/>
  <c r="Y10" i="2"/>
  <c r="V10" i="2"/>
  <c r="AA10" i="2"/>
  <c r="U95" i="2"/>
  <c r="AO188" i="2"/>
  <c r="Y184" i="2"/>
  <c r="Y180" i="2"/>
  <c r="AP147" i="2"/>
  <c r="AJ141" i="2"/>
  <c r="AH143" i="2"/>
  <c r="AF147" i="2"/>
  <c r="AF143" i="2"/>
  <c r="AF137" i="2"/>
  <c r="AD143" i="2"/>
  <c r="AC143" i="2"/>
  <c r="AA141" i="2"/>
  <c r="Y143" i="2"/>
  <c r="X141" i="2"/>
  <c r="W143" i="2"/>
  <c r="T141" i="2"/>
  <c r="AH20" i="2"/>
  <c r="AG13" i="2"/>
  <c r="AF20" i="2"/>
  <c r="AD13" i="2"/>
  <c r="AA16" i="2"/>
  <c r="W13" i="2"/>
  <c r="U13" i="2"/>
  <c r="H178" i="2"/>
  <c r="X32" i="5"/>
  <c r="X25" i="5" s="1"/>
  <c r="W32" i="5"/>
  <c r="Z20" i="2"/>
  <c r="AN20" i="2"/>
  <c r="H141" i="2"/>
  <c r="T10" i="2"/>
  <c r="X180" i="2"/>
  <c r="AK147" i="2"/>
  <c r="AI141" i="2"/>
  <c r="AG147" i="2"/>
  <c r="AE147" i="2"/>
  <c r="AB141" i="2"/>
  <c r="Z141" i="2"/>
  <c r="N6" i="2"/>
  <c r="H147" i="2"/>
  <c r="AI20" i="2"/>
  <c r="Y20" i="2"/>
  <c r="S10" i="2"/>
  <c r="U10" i="2"/>
  <c r="AC10" i="2"/>
  <c r="H16" i="2"/>
  <c r="AO147" i="2"/>
  <c r="AM147" i="2"/>
  <c r="AL147" i="2"/>
  <c r="AL143" i="2"/>
  <c r="AI143" i="2"/>
  <c r="AH147" i="2"/>
  <c r="AE141" i="2"/>
  <c r="AD147" i="2"/>
  <c r="AB143" i="2"/>
  <c r="Z143" i="2"/>
  <c r="V143" i="2"/>
  <c r="AL20" i="2"/>
  <c r="AK20" i="2"/>
  <c r="AH16" i="2"/>
  <c r="AF16" i="2"/>
  <c r="Y13" i="2"/>
  <c r="X16" i="2"/>
  <c r="T13" i="2"/>
  <c r="S13" i="2"/>
  <c r="AG16" i="2"/>
  <c r="AE13" i="2"/>
  <c r="AD16" i="2"/>
  <c r="AD10" i="2"/>
  <c r="AC13" i="2"/>
  <c r="AB13" i="2"/>
  <c r="Z13" i="2"/>
  <c r="Y16" i="2"/>
  <c r="W16" i="2"/>
  <c r="R10" i="2"/>
  <c r="O10" i="2"/>
  <c r="Z29" i="5"/>
  <c r="Z30" i="5"/>
  <c r="Z25" i="5" s="1"/>
  <c r="AC134" i="2"/>
  <c r="AA134" i="2"/>
  <c r="T134" i="2"/>
  <c r="R134" i="2"/>
  <c r="Q134" i="2"/>
  <c r="M134" i="2"/>
  <c r="AZ37" i="5"/>
  <c r="Z134" i="2"/>
  <c r="U134" i="2"/>
  <c r="O134" i="2"/>
  <c r="Y134" i="2"/>
  <c r="W134" i="2"/>
  <c r="V134" i="2"/>
  <c r="S134" i="2"/>
  <c r="N134" i="2"/>
  <c r="AX37" i="5"/>
  <c r="Q8" i="2"/>
  <c r="AC8" i="2"/>
  <c r="AC175" i="4"/>
  <c r="X175" i="4"/>
  <c r="Z175" i="4"/>
  <c r="N175" i="4"/>
  <c r="AA62" i="5"/>
  <c r="M51" i="4"/>
  <c r="M49" i="4" s="1"/>
  <c r="I51" i="4" s="1"/>
  <c r="U51" i="4"/>
  <c r="R51" i="4"/>
  <c r="H51" i="4"/>
  <c r="V51" i="4"/>
  <c r="P51" i="4"/>
  <c r="AB51" i="4"/>
  <c r="Q51" i="4"/>
  <c r="AF184" i="6"/>
  <c r="AO63" i="6"/>
  <c r="AO49" i="6" s="1"/>
  <c r="I79" i="6" s="1"/>
  <c r="F75" i="5" s="1"/>
  <c r="AC63" i="6"/>
  <c r="AB63" i="6"/>
  <c r="AL63" i="6"/>
  <c r="Y63" i="6"/>
  <c r="AG184" i="6"/>
  <c r="AK184" i="6"/>
  <c r="AJ184" i="6"/>
  <c r="AE63" i="6"/>
  <c r="H63" i="6"/>
  <c r="AA63" i="6"/>
  <c r="AE184" i="6"/>
  <c r="Y184" i="6"/>
  <c r="AB56" i="6"/>
  <c r="AG56" i="6"/>
  <c r="AF56" i="6"/>
  <c r="Z60" i="6"/>
  <c r="AD60" i="6"/>
  <c r="AF60" i="6"/>
  <c r="V60" i="6"/>
  <c r="AK60" i="6"/>
  <c r="AJ60" i="6"/>
  <c r="AI60" i="6"/>
  <c r="AB60" i="6"/>
  <c r="AE60" i="6"/>
  <c r="AH60" i="6"/>
  <c r="P54" i="6"/>
  <c r="Q54" i="6"/>
  <c r="Y54" i="6"/>
  <c r="AE55" i="6"/>
  <c r="T55" i="6"/>
  <c r="U59" i="6"/>
  <c r="W59" i="6"/>
  <c r="AF61" i="6"/>
  <c r="Q29" i="5"/>
  <c r="H58" i="6"/>
  <c r="AJ58" i="6"/>
  <c r="AI58" i="6"/>
  <c r="AA58" i="6"/>
  <c r="AG58" i="6"/>
  <c r="AC55" i="6"/>
  <c r="S55" i="6"/>
  <c r="AA55" i="6"/>
  <c r="U55" i="6"/>
  <c r="AG55" i="6"/>
  <c r="AE59" i="6"/>
  <c r="X59" i="6"/>
  <c r="Y59" i="6"/>
  <c r="AF59" i="6"/>
  <c r="AE53" i="6"/>
  <c r="AC53" i="6"/>
  <c r="Y61" i="6"/>
  <c r="H61" i="6"/>
  <c r="AL61" i="6"/>
  <c r="W55" i="6"/>
  <c r="R55" i="6"/>
  <c r="V59" i="6"/>
  <c r="AD59" i="6"/>
  <c r="AM61" i="6"/>
  <c r="AI61" i="6"/>
  <c r="U58" i="6"/>
  <c r="V58" i="6"/>
  <c r="T58" i="6"/>
  <c r="AB58" i="6"/>
  <c r="AB55" i="6"/>
  <c r="H55" i="6"/>
  <c r="Q55" i="6"/>
  <c r="V55" i="6"/>
  <c r="Z59" i="6"/>
  <c r="AH59" i="6"/>
  <c r="AC59" i="6"/>
  <c r="AA59" i="6"/>
  <c r="V53" i="6"/>
  <c r="AA53" i="6"/>
  <c r="AA61" i="6"/>
  <c r="AC61" i="6"/>
  <c r="Z93" i="4"/>
  <c r="S93" i="4"/>
  <c r="R93" i="4"/>
  <c r="AB93" i="4"/>
  <c r="T93" i="4"/>
  <c r="Q93" i="4"/>
  <c r="W93" i="4"/>
  <c r="P93" i="4"/>
  <c r="AC93" i="4"/>
  <c r="V93" i="4"/>
  <c r="H93" i="4"/>
  <c r="N93" i="4"/>
  <c r="AA93" i="4"/>
  <c r="Y145" i="4"/>
  <c r="AL145" i="4"/>
  <c r="AK145" i="4"/>
  <c r="AJ145" i="4"/>
  <c r="AI145" i="4"/>
  <c r="AH145" i="4"/>
  <c r="AF145" i="4"/>
  <c r="AC145" i="4"/>
  <c r="AB145" i="4"/>
  <c r="X145" i="4"/>
  <c r="AN145" i="4"/>
  <c r="AG145" i="4"/>
  <c r="AM145" i="4"/>
  <c r="Y73" i="5"/>
  <c r="E133" i="4"/>
  <c r="AA145" i="4"/>
  <c r="X93" i="4"/>
  <c r="AE183" i="4"/>
  <c r="H183" i="4"/>
  <c r="U93" i="4"/>
  <c r="AB183" i="4"/>
  <c r="X183" i="4"/>
  <c r="H142" i="4"/>
  <c r="AB142" i="4"/>
  <c r="AF142" i="4"/>
  <c r="V142" i="4"/>
  <c r="AJ142" i="4"/>
  <c r="AG142" i="4"/>
  <c r="AK142" i="4"/>
  <c r="W142" i="4"/>
  <c r="AA142" i="4"/>
  <c r="AE142" i="4"/>
  <c r="AI142" i="4"/>
  <c r="AK183" i="4"/>
  <c r="Z183" i="4"/>
  <c r="AF183" i="4"/>
  <c r="AD183" i="4"/>
  <c r="AA183" i="4"/>
  <c r="AH183" i="4"/>
  <c r="Y183" i="4"/>
  <c r="AJ183" i="4"/>
  <c r="AG183" i="4"/>
  <c r="Z71" i="5"/>
  <c r="Z73" i="5"/>
  <c r="Z65" i="5" s="1"/>
  <c r="AI15" i="4"/>
  <c r="AH15" i="4"/>
  <c r="AG15" i="4"/>
  <c r="AD15" i="4"/>
  <c r="AF15" i="4"/>
  <c r="AA15" i="4"/>
  <c r="X15" i="4"/>
  <c r="AC15" i="4"/>
  <c r="AE15" i="4"/>
  <c r="W15" i="4"/>
  <c r="T15" i="4"/>
  <c r="H15" i="4"/>
  <c r="E7" i="4"/>
  <c r="AJ15" i="4"/>
  <c r="Y93" i="4"/>
  <c r="O93" i="4"/>
  <c r="U183" i="4"/>
  <c r="W73" i="5"/>
  <c r="M93" i="4"/>
  <c r="M91" i="4" s="1"/>
  <c r="I93" i="4" s="1"/>
  <c r="V183" i="4"/>
  <c r="U15" i="4"/>
  <c r="V15" i="4"/>
  <c r="Y15" i="4"/>
  <c r="Z145" i="4"/>
  <c r="AG139" i="4"/>
  <c r="Y139" i="4"/>
  <c r="U139" i="4"/>
  <c r="AA139" i="4"/>
  <c r="S139" i="4"/>
  <c r="AB139" i="4"/>
  <c r="T139" i="4"/>
  <c r="AH139" i="4"/>
  <c r="W139" i="4"/>
  <c r="AE139" i="4"/>
  <c r="Z139" i="4"/>
  <c r="AP106" i="4"/>
  <c r="AM106" i="4"/>
  <c r="AK106" i="4"/>
  <c r="AJ106" i="4"/>
  <c r="AH106" i="4"/>
  <c r="AE106" i="4"/>
  <c r="AB106" i="4"/>
  <c r="Z106" i="4"/>
  <c r="AN106" i="4"/>
  <c r="AF106" i="4"/>
  <c r="AC106" i="4"/>
  <c r="AA106" i="4"/>
  <c r="AL106" i="4"/>
  <c r="AD106" i="4"/>
  <c r="H106" i="4"/>
  <c r="AO106" i="4"/>
  <c r="W53" i="4"/>
  <c r="Q53" i="4"/>
  <c r="P53" i="4"/>
  <c r="H53" i="4"/>
  <c r="AA53" i="4"/>
  <c r="E50" i="4"/>
  <c r="X53" i="4"/>
  <c r="AB53" i="4"/>
  <c r="T53" i="4"/>
  <c r="O53" i="4"/>
  <c r="AD53" i="4"/>
  <c r="R53" i="4"/>
  <c r="AC53" i="4"/>
  <c r="AM20" i="4"/>
  <c r="AH20" i="4"/>
  <c r="AG20" i="4"/>
  <c r="AI20" i="4"/>
  <c r="AD20" i="4"/>
  <c r="AN20" i="4"/>
  <c r="AF20" i="4"/>
  <c r="AO20" i="4"/>
  <c r="AK20" i="4"/>
  <c r="AJ17" i="4"/>
  <c r="AF17" i="4"/>
  <c r="AE17" i="4"/>
  <c r="AL17" i="4"/>
  <c r="AK17" i="4"/>
  <c r="AH17" i="4"/>
  <c r="AI17" i="4"/>
  <c r="AC17" i="4"/>
  <c r="Z17" i="4"/>
  <c r="H17" i="4"/>
  <c r="Y17" i="4"/>
  <c r="V17" i="4"/>
  <c r="AL185" i="4"/>
  <c r="AK185" i="4"/>
  <c r="AC185" i="4"/>
  <c r="W185" i="4"/>
  <c r="AG185" i="4"/>
  <c r="AF185" i="4"/>
  <c r="H185" i="4"/>
  <c r="AJ61" i="4"/>
  <c r="AG61" i="4"/>
  <c r="AF61" i="4"/>
  <c r="AC61" i="4"/>
  <c r="Y61" i="4"/>
  <c r="X61" i="4"/>
  <c r="H61" i="4"/>
  <c r="W61" i="4"/>
  <c r="AE61" i="4"/>
  <c r="AL61" i="4"/>
  <c r="Y185" i="4"/>
  <c r="AM61" i="4"/>
  <c r="W182" i="4"/>
  <c r="AA185" i="4"/>
  <c r="AD185" i="4"/>
  <c r="AE182" i="4"/>
  <c r="V134" i="4"/>
  <c r="N134" i="4"/>
  <c r="H134" i="4"/>
  <c r="R134" i="4"/>
  <c r="H180" i="4"/>
  <c r="AC180" i="4"/>
  <c r="W180" i="4"/>
  <c r="T180" i="4"/>
  <c r="AG180" i="4"/>
  <c r="R180" i="4"/>
  <c r="AD177" i="4"/>
  <c r="AB177" i="4"/>
  <c r="Z177" i="4"/>
  <c r="X177" i="4"/>
  <c r="V177" i="4"/>
  <c r="S177" i="4"/>
  <c r="AC137" i="4"/>
  <c r="Q137" i="4"/>
  <c r="AF137" i="4"/>
  <c r="AA137" i="4"/>
  <c r="Z137" i="4"/>
  <c r="W137" i="4"/>
  <c r="U137" i="4"/>
  <c r="S137" i="4"/>
  <c r="AI104" i="4"/>
  <c r="AD104" i="4"/>
  <c r="Z104" i="4"/>
  <c r="AH101" i="4"/>
  <c r="Y101" i="4"/>
  <c r="U101" i="4"/>
  <c r="AK101" i="4"/>
  <c r="AE101" i="4"/>
  <c r="AB101" i="4"/>
  <c r="AD96" i="4"/>
  <c r="W96" i="4"/>
  <c r="AE96" i="4"/>
  <c r="P96" i="4"/>
  <c r="AL63" i="4"/>
  <c r="AK63" i="4"/>
  <c r="AA63" i="4"/>
  <c r="AO63" i="4"/>
  <c r="AE63" i="4"/>
  <c r="AG12" i="4"/>
  <c r="AF12" i="4"/>
  <c r="AE12" i="4"/>
  <c r="AD12" i="4"/>
  <c r="AJ182" i="4"/>
  <c r="AF182" i="4"/>
  <c r="AB182" i="4"/>
  <c r="Y182" i="4"/>
  <c r="X182" i="4"/>
  <c r="V182" i="4"/>
  <c r="AH182" i="4"/>
  <c r="U182" i="4"/>
  <c r="AP49" i="4"/>
  <c r="I80" i="4" s="1"/>
  <c r="AD61" i="4"/>
  <c r="AK61" i="4"/>
  <c r="E174" i="4"/>
  <c r="AB61" i="4"/>
  <c r="T182" i="4"/>
  <c r="AH185" i="4"/>
  <c r="AI182" i="4"/>
  <c r="AK102" i="4"/>
  <c r="AI102" i="4"/>
  <c r="AG102" i="4"/>
  <c r="AF102" i="4"/>
  <c r="Z102" i="4"/>
  <c r="AL102" i="4"/>
  <c r="AH102" i="4"/>
  <c r="Y102" i="4"/>
  <c r="Y94" i="4"/>
  <c r="N94" i="4"/>
  <c r="U94" i="4"/>
  <c r="S94" i="4"/>
  <c r="R94" i="4"/>
  <c r="P94" i="4"/>
  <c r="AN64" i="4"/>
  <c r="AM64" i="4"/>
  <c r="AB64" i="4"/>
  <c r="Z64" i="4"/>
  <c r="AL64" i="4"/>
  <c r="AK64" i="4"/>
  <c r="AA64" i="4"/>
  <c r="H64" i="4"/>
  <c r="AH58" i="4"/>
  <c r="U58" i="4"/>
  <c r="Z58" i="4"/>
  <c r="AE55" i="4"/>
  <c r="U55" i="4"/>
  <c r="H145" i="4"/>
  <c r="H137" i="4"/>
  <c r="O175" i="6"/>
  <c r="Q175" i="6"/>
  <c r="S175" i="6"/>
  <c r="AC175" i="6"/>
  <c r="N175" i="6"/>
  <c r="P175" i="6"/>
  <c r="T175" i="6"/>
  <c r="M175" i="6"/>
  <c r="M173" i="6" s="1"/>
  <c r="I175" i="6" s="1"/>
  <c r="I47" i="5" s="1"/>
  <c r="Y175" i="6"/>
  <c r="H175" i="6"/>
  <c r="V175" i="6"/>
  <c r="X175" i="6"/>
  <c r="Z175" i="6"/>
  <c r="AB175" i="6"/>
  <c r="U175" i="6"/>
  <c r="R175" i="6"/>
  <c r="W175" i="6"/>
  <c r="AA175" i="6"/>
  <c r="V178" i="6"/>
  <c r="AC178" i="6"/>
  <c r="Y178" i="6"/>
  <c r="X178" i="6"/>
  <c r="AF178" i="6"/>
  <c r="Q178" i="6"/>
  <c r="R178" i="6"/>
  <c r="AB178" i="6"/>
  <c r="U178" i="6"/>
  <c r="AE178" i="6"/>
  <c r="S178" i="6"/>
  <c r="P178" i="6"/>
  <c r="AA178" i="6"/>
  <c r="AD178" i="6"/>
  <c r="W178" i="6"/>
  <c r="T178" i="6"/>
  <c r="H178" i="6"/>
  <c r="Z178" i="6"/>
  <c r="P176" i="6"/>
  <c r="N176" i="6"/>
  <c r="AA176" i="6"/>
  <c r="V176" i="6"/>
  <c r="AG185" i="6"/>
  <c r="Z185" i="6"/>
  <c r="AI185" i="6"/>
  <c r="AH185" i="6"/>
  <c r="W185" i="6"/>
  <c r="Y179" i="6"/>
  <c r="S179" i="6"/>
  <c r="Z179" i="6"/>
  <c r="H179" i="6"/>
  <c r="S177" i="6"/>
  <c r="Z177" i="6"/>
  <c r="AH180" i="6"/>
  <c r="AC180" i="6"/>
  <c r="V180" i="6"/>
  <c r="U183" i="6"/>
  <c r="Z183" i="6"/>
  <c r="AA183" i="6"/>
  <c r="AC183" i="6"/>
  <c r="U176" i="6"/>
  <c r="Q176" i="6"/>
  <c r="AB176" i="6"/>
  <c r="AK185" i="6"/>
  <c r="AF185" i="6"/>
  <c r="AM185" i="6"/>
  <c r="AL185" i="6"/>
  <c r="W179" i="6"/>
  <c r="AE179" i="6"/>
  <c r="V179" i="6"/>
  <c r="Y177" i="6"/>
  <c r="X180" i="6"/>
  <c r="R180" i="6"/>
  <c r="AE180" i="6"/>
  <c r="AF180" i="6"/>
  <c r="X136" i="6"/>
  <c r="Q136" i="6"/>
  <c r="Z136" i="6"/>
  <c r="U136" i="6"/>
  <c r="W136" i="6"/>
  <c r="V136" i="6"/>
  <c r="P136" i="6"/>
  <c r="H136" i="6"/>
  <c r="R136" i="6"/>
  <c r="T136" i="6"/>
  <c r="O136" i="6"/>
  <c r="Y136" i="6"/>
  <c r="AD136" i="6"/>
  <c r="AB136" i="6"/>
  <c r="P134" i="6"/>
  <c r="O134" i="6"/>
  <c r="AB134" i="6"/>
  <c r="N134" i="6"/>
  <c r="N132" i="6" s="1"/>
  <c r="I135" i="6" s="1"/>
  <c r="H48" i="5" s="1"/>
  <c r="H134" i="6"/>
  <c r="Z134" i="6"/>
  <c r="AA134" i="6"/>
  <c r="U134" i="6"/>
  <c r="X134" i="6"/>
  <c r="Y134" i="6"/>
  <c r="S134" i="6"/>
  <c r="AM145" i="6"/>
  <c r="AL145" i="6"/>
  <c r="AK145" i="6"/>
  <c r="AJ145" i="6"/>
  <c r="AB145" i="6"/>
  <c r="S5" i="5"/>
  <c r="AC145" i="6"/>
  <c r="Y145" i="6"/>
  <c r="H145" i="6"/>
  <c r="AN145" i="6"/>
  <c r="S139" i="6"/>
  <c r="W139" i="6"/>
  <c r="AG139" i="6"/>
  <c r="AH144" i="6"/>
  <c r="AJ144" i="6"/>
  <c r="Z144" i="6"/>
  <c r="AE144" i="6"/>
  <c r="S29" i="5"/>
  <c r="V142" i="6"/>
  <c r="AJ142" i="6"/>
  <c r="Z142" i="6"/>
  <c r="Z139" i="6"/>
  <c r="AI144" i="6"/>
  <c r="AD144" i="6"/>
  <c r="AD142" i="6"/>
  <c r="AE145" i="6"/>
  <c r="AD145" i="6"/>
  <c r="Z145" i="6"/>
  <c r="Y139" i="6"/>
  <c r="V139" i="6"/>
  <c r="AB139" i="6"/>
  <c r="U139" i="6"/>
  <c r="AC139" i="6"/>
  <c r="AH139" i="6"/>
  <c r="AL144" i="6"/>
  <c r="AF144" i="6"/>
  <c r="AC144" i="6"/>
  <c r="X142" i="6"/>
  <c r="U142" i="6"/>
  <c r="P135" i="6"/>
  <c r="AB135" i="6"/>
  <c r="R135" i="6"/>
  <c r="X135" i="6"/>
  <c r="S72" i="5"/>
  <c r="S71" i="5"/>
  <c r="T135" i="6"/>
  <c r="AL102" i="6"/>
  <c r="W102" i="6"/>
  <c r="AC102" i="6"/>
  <c r="AG102" i="6"/>
  <c r="AB102" i="6"/>
  <c r="AA102" i="6"/>
  <c r="Y102" i="6"/>
  <c r="V102" i="6"/>
  <c r="AH104" i="6"/>
  <c r="H104" i="6"/>
  <c r="AE104" i="6"/>
  <c r="AL104" i="6"/>
  <c r="AK104" i="6"/>
  <c r="AB104" i="6"/>
  <c r="AD104" i="6"/>
  <c r="Q94" i="6"/>
  <c r="P94" i="6"/>
  <c r="AC94" i="6"/>
  <c r="X94" i="6"/>
  <c r="AG97" i="6"/>
  <c r="U97" i="6"/>
  <c r="AD97" i="6"/>
  <c r="V96" i="6"/>
  <c r="T96" i="6"/>
  <c r="AD96" i="6"/>
  <c r="Q96" i="6"/>
  <c r="R30" i="5"/>
  <c r="R72" i="5"/>
  <c r="S94" i="6"/>
  <c r="W94" i="6"/>
  <c r="U94" i="6"/>
  <c r="O94" i="6"/>
  <c r="Z97" i="6"/>
  <c r="AF97" i="6"/>
  <c r="H96" i="6"/>
  <c r="Z96" i="6"/>
  <c r="X96" i="6"/>
  <c r="AE96" i="6"/>
  <c r="AF105" i="6"/>
  <c r="Y51" i="6"/>
  <c r="W51" i="6"/>
  <c r="R51" i="6"/>
  <c r="P51" i="6"/>
  <c r="H51" i="6"/>
  <c r="Z51" i="6"/>
  <c r="M51" i="6"/>
  <c r="M49" i="6" s="1"/>
  <c r="I51" i="6" s="1"/>
  <c r="F47" i="5" s="1"/>
  <c r="N51" i="6"/>
  <c r="N49" i="6" s="1"/>
  <c r="I52" i="6" s="1"/>
  <c r="F48" i="5" s="1"/>
  <c r="AE56" i="6"/>
  <c r="X56" i="6"/>
  <c r="AC56" i="6"/>
  <c r="X54" i="6"/>
  <c r="Z57" i="6"/>
  <c r="AH57" i="6"/>
  <c r="AC60" i="6"/>
  <c r="AA60" i="6"/>
  <c r="X60" i="6"/>
  <c r="AL60" i="6"/>
  <c r="AD56" i="6"/>
  <c r="U56" i="6"/>
  <c r="S56" i="6"/>
  <c r="W56" i="6"/>
  <c r="Z56" i="6"/>
  <c r="Z54" i="6"/>
  <c r="Z53" i="6"/>
  <c r="Q53" i="6"/>
  <c r="S53" i="6"/>
  <c r="O53" i="6"/>
  <c r="W53" i="6"/>
  <c r="V57" i="6"/>
  <c r="AG57" i="6"/>
  <c r="Y57" i="6"/>
  <c r="Q71" i="5"/>
  <c r="Q70" i="5"/>
  <c r="AH56" i="6"/>
  <c r="Y56" i="6"/>
  <c r="AF54" i="6"/>
  <c r="W57" i="6"/>
  <c r="AD57" i="6"/>
  <c r="Q30" i="5"/>
  <c r="AG60" i="6"/>
  <c r="W60" i="6"/>
  <c r="Y60" i="6"/>
  <c r="H60" i="6"/>
  <c r="AA56" i="6"/>
  <c r="R56" i="6"/>
  <c r="H56" i="6"/>
  <c r="X53" i="6"/>
  <c r="H53" i="6"/>
  <c r="R53" i="6"/>
  <c r="U53" i="6"/>
  <c r="AI57" i="6"/>
  <c r="X57" i="6"/>
  <c r="AC57" i="6"/>
  <c r="S57" i="6"/>
  <c r="Z104" i="2"/>
  <c r="H104" i="2"/>
  <c r="AC104" i="2"/>
  <c r="AD104" i="2"/>
  <c r="AF104" i="2"/>
  <c r="AJ104" i="2"/>
  <c r="AN104" i="2"/>
  <c r="AE104" i="2"/>
  <c r="AG104" i="2"/>
  <c r="AH104" i="2"/>
  <c r="Y104" i="2"/>
  <c r="AC95" i="2"/>
  <c r="AE95" i="2"/>
  <c r="AA95" i="2"/>
  <c r="O95" i="2"/>
  <c r="H95" i="2"/>
  <c r="AB95" i="2"/>
  <c r="P95" i="2"/>
  <c r="H139" i="2"/>
  <c r="V139" i="2"/>
  <c r="X139" i="2"/>
  <c r="Z139" i="2"/>
  <c r="AB139" i="2"/>
  <c r="AF139" i="2"/>
  <c r="S139" i="2"/>
  <c r="Y139" i="2"/>
  <c r="AA139" i="2"/>
  <c r="AC139" i="2"/>
  <c r="AG139" i="2"/>
  <c r="H137" i="2"/>
  <c r="W137" i="2"/>
  <c r="Y137" i="2"/>
  <c r="AA137" i="2"/>
  <c r="AC137" i="2"/>
  <c r="Q137" i="2"/>
  <c r="T137" i="2"/>
  <c r="AD137" i="2"/>
  <c r="H188" i="2"/>
  <c r="Z188" i="2"/>
  <c r="AB188" i="2"/>
  <c r="AE188" i="2"/>
  <c r="AI188" i="2"/>
  <c r="AM188" i="2"/>
  <c r="H184" i="2"/>
  <c r="W184" i="2"/>
  <c r="V184" i="2"/>
  <c r="Z184" i="2"/>
  <c r="AB184" i="2"/>
  <c r="AE184" i="2"/>
  <c r="AI184" i="2"/>
  <c r="H180" i="2"/>
  <c r="S180" i="2"/>
  <c r="U180" i="2"/>
  <c r="W180" i="2"/>
  <c r="R180" i="2"/>
  <c r="V180" i="2"/>
  <c r="Z180" i="2"/>
  <c r="AB180" i="2"/>
  <c r="AE180" i="2"/>
  <c r="AE59" i="2"/>
  <c r="AI59" i="2"/>
  <c r="V59" i="2"/>
  <c r="Z59" i="2"/>
  <c r="W59" i="2"/>
  <c r="AG59" i="2"/>
  <c r="AJ59" i="2"/>
  <c r="AC59" i="2"/>
  <c r="U56" i="2"/>
  <c r="AD56" i="2"/>
  <c r="AA56" i="2"/>
  <c r="AF56" i="2"/>
  <c r="AG56" i="2"/>
  <c r="T56" i="2"/>
  <c r="H56" i="2"/>
  <c r="R56" i="2"/>
  <c r="AH56" i="2"/>
  <c r="O52" i="2"/>
  <c r="W52" i="2"/>
  <c r="Y52" i="2"/>
  <c r="AC52" i="2"/>
  <c r="N52" i="2"/>
  <c r="S52" i="2"/>
  <c r="AD52" i="2"/>
  <c r="H52" i="2"/>
  <c r="V52" i="2"/>
  <c r="R52" i="2"/>
  <c r="AB52" i="2"/>
  <c r="U52" i="2"/>
  <c r="AC56" i="2"/>
  <c r="AK59" i="2"/>
  <c r="AD59" i="2"/>
  <c r="E92" i="2"/>
  <c r="E133" i="2"/>
  <c r="Z95" i="2"/>
  <c r="S95" i="2"/>
  <c r="H59" i="2"/>
  <c r="AN188" i="2"/>
  <c r="AL188" i="2"/>
  <c r="AL184" i="2"/>
  <c r="AH188" i="2"/>
  <c r="AH184" i="2"/>
  <c r="AH180" i="2"/>
  <c r="AF180" i="2"/>
  <c r="X184" i="2"/>
  <c r="AD139" i="2"/>
  <c r="AB137" i="2"/>
  <c r="X137" i="2"/>
  <c r="AD95" i="2"/>
  <c r="AB104" i="2"/>
  <c r="H94" i="2"/>
  <c r="N94" i="2"/>
  <c r="V94" i="2"/>
  <c r="X94" i="2"/>
  <c r="AA94" i="2"/>
  <c r="R94" i="2"/>
  <c r="U94" i="2"/>
  <c r="W94" i="2"/>
  <c r="Z94" i="2"/>
  <c r="AC94" i="2"/>
  <c r="AD94" i="2"/>
  <c r="P94" i="2"/>
  <c r="Q94" i="2"/>
  <c r="H146" i="2"/>
  <c r="AD146" i="2"/>
  <c r="AG146" i="2"/>
  <c r="AK146" i="2"/>
  <c r="AN146" i="2"/>
  <c r="AM146" i="2"/>
  <c r="V135" i="2"/>
  <c r="X135" i="2"/>
  <c r="Z135" i="2"/>
  <c r="AB135" i="2"/>
  <c r="N135" i="2"/>
  <c r="P135" i="2"/>
  <c r="W135" i="2"/>
  <c r="H135" i="2"/>
  <c r="H187" i="2"/>
  <c r="AF187" i="2"/>
  <c r="AJ187" i="2"/>
  <c r="AN187" i="2"/>
  <c r="X183" i="2"/>
  <c r="AF183" i="2"/>
  <c r="AJ183" i="2"/>
  <c r="S179" i="2"/>
  <c r="W179" i="2"/>
  <c r="X179" i="2"/>
  <c r="AF179" i="2"/>
  <c r="O176" i="2"/>
  <c r="Q176" i="2"/>
  <c r="S176" i="2"/>
  <c r="U176" i="2"/>
  <c r="W176" i="2"/>
  <c r="Y176" i="2"/>
  <c r="R176" i="2"/>
  <c r="V176" i="2"/>
  <c r="Z176" i="2"/>
  <c r="AB176" i="2"/>
  <c r="E174" i="2"/>
  <c r="T51" i="2"/>
  <c r="V51" i="2"/>
  <c r="X51" i="2"/>
  <c r="AA51" i="2"/>
  <c r="AB51" i="2"/>
  <c r="M51" i="2"/>
  <c r="M49" i="2" s="1"/>
  <c r="I51" i="2" s="1"/>
  <c r="N51" i="2"/>
  <c r="U51" i="2"/>
  <c r="R51" i="2"/>
  <c r="P51" i="2"/>
  <c r="AG62" i="2"/>
  <c r="Z62" i="2"/>
  <c r="AM62" i="2"/>
  <c r="AL62" i="2"/>
  <c r="Q55" i="2"/>
  <c r="V55" i="2"/>
  <c r="AA55" i="2"/>
  <c r="Y55" i="2"/>
  <c r="W55" i="2"/>
  <c r="AG55" i="2"/>
  <c r="U55" i="2"/>
  <c r="AF55" i="2"/>
  <c r="Z8" i="2"/>
  <c r="X8" i="2"/>
  <c r="Y8" i="2"/>
  <c r="AA8" i="2"/>
  <c r="T8" i="2"/>
  <c r="X19" i="2"/>
  <c r="AA19" i="2"/>
  <c r="AC19" i="2"/>
  <c r="AI19" i="2"/>
  <c r="Y19" i="2"/>
  <c r="AL19" i="2"/>
  <c r="AD19" i="2"/>
  <c r="AE19" i="2"/>
  <c r="AH19" i="2"/>
  <c r="AM19" i="2"/>
  <c r="H19" i="2"/>
  <c r="AF19" i="2"/>
  <c r="AG19" i="2"/>
  <c r="AJ19" i="2"/>
  <c r="AK19" i="2"/>
  <c r="V15" i="2"/>
  <c r="AD15" i="2"/>
  <c r="AE15" i="2"/>
  <c r="AF15" i="2"/>
  <c r="AG15" i="2"/>
  <c r="U15" i="2"/>
  <c r="Z15" i="2"/>
  <c r="AJ15" i="2"/>
  <c r="X15" i="2"/>
  <c r="H15" i="2"/>
  <c r="W15" i="2"/>
  <c r="AB15" i="2"/>
  <c r="Q9" i="2"/>
  <c r="R9" i="2"/>
  <c r="S9" i="2"/>
  <c r="X9" i="2"/>
  <c r="Z9" i="2"/>
  <c r="O9" i="2"/>
  <c r="T9" i="2"/>
  <c r="W9" i="2"/>
  <c r="AC9" i="2"/>
  <c r="Y9" i="2"/>
  <c r="Y32" i="5"/>
  <c r="M8" i="2"/>
  <c r="M6" i="2" s="1"/>
  <c r="U8" i="2"/>
  <c r="P8" i="2"/>
  <c r="S55" i="2"/>
  <c r="AC51" i="2"/>
  <c r="Q51" i="2"/>
  <c r="Y94" i="2"/>
  <c r="Z52" i="2"/>
  <c r="T52" i="2"/>
  <c r="Y56" i="2"/>
  <c r="AF59" i="2"/>
  <c r="AB59" i="2"/>
  <c r="AA32" i="5"/>
  <c r="AH62" i="2"/>
  <c r="X62" i="2"/>
  <c r="X95" i="2"/>
  <c r="Q95" i="2"/>
  <c r="H9" i="2"/>
  <c r="H62" i="2"/>
  <c r="AL187" i="2"/>
  <c r="AK188" i="2"/>
  <c r="AK184" i="2"/>
  <c r="AJ184" i="2"/>
  <c r="AI187" i="2"/>
  <c r="AH187" i="2"/>
  <c r="AH183" i="2"/>
  <c r="AG188" i="2"/>
  <c r="AG184" i="2"/>
  <c r="AG180" i="2"/>
  <c r="AF184" i="2"/>
  <c r="AB187" i="2"/>
  <c r="Z187" i="2"/>
  <c r="V179" i="2"/>
  <c r="U179" i="2"/>
  <c r="T180" i="2"/>
  <c r="T176" i="2"/>
  <c r="AI146" i="2"/>
  <c r="AH139" i="2"/>
  <c r="AE139" i="2"/>
  <c r="AB146" i="2"/>
  <c r="U135" i="2"/>
  <c r="T135" i="2"/>
  <c r="S135" i="2"/>
  <c r="R137" i="2"/>
  <c r="M132" i="2"/>
  <c r="I134" i="2" s="1"/>
  <c r="AM104" i="2"/>
  <c r="T95" i="2"/>
  <c r="R95" i="2"/>
  <c r="AB56" i="2"/>
  <c r="X56" i="2"/>
  <c r="W56" i="2"/>
  <c r="T55" i="2"/>
  <c r="S56" i="2"/>
  <c r="AN19" i="2"/>
  <c r="AD9" i="2"/>
  <c r="AC15" i="2"/>
  <c r="U9" i="2"/>
  <c r="O8" i="2"/>
  <c r="V8" i="2"/>
  <c r="R8" i="2"/>
  <c r="AD55" i="2"/>
  <c r="AE55" i="2"/>
  <c r="Y51" i="2"/>
  <c r="T94" i="2"/>
  <c r="Q52" i="2"/>
  <c r="P52" i="2"/>
  <c r="Z56" i="2"/>
  <c r="AA59" i="2"/>
  <c r="X59" i="2"/>
  <c r="AA62" i="2"/>
  <c r="E50" i="2"/>
  <c r="AB62" i="2"/>
  <c r="V95" i="2"/>
  <c r="Y95" i="2"/>
  <c r="H8" i="2"/>
  <c r="H51" i="2"/>
  <c r="AP188" i="2"/>
  <c r="AK187" i="2"/>
  <c r="AK183" i="2"/>
  <c r="AJ188" i="2"/>
  <c r="AG187" i="2"/>
  <c r="AG183" i="2"/>
  <c r="AG179" i="2"/>
  <c r="AF188" i="2"/>
  <c r="AE179" i="2"/>
  <c r="X176" i="2"/>
  <c r="V183" i="2"/>
  <c r="U183" i="2"/>
  <c r="T179" i="2"/>
  <c r="R179" i="2"/>
  <c r="AE137" i="2"/>
  <c r="AD135" i="2"/>
  <c r="AC146" i="2"/>
  <c r="AC135" i="2"/>
  <c r="Z137" i="2"/>
  <c r="Y146" i="2"/>
  <c r="Y135" i="2"/>
  <c r="W139" i="2"/>
  <c r="U139" i="2"/>
  <c r="T139" i="2"/>
  <c r="O135" i="2"/>
  <c r="O132" i="2" s="1"/>
  <c r="I136" i="2" s="1"/>
  <c r="CG8" i="1" s="1"/>
  <c r="AL104" i="2"/>
  <c r="AK104" i="2"/>
  <c r="AI104" i="2"/>
  <c r="AB94" i="2"/>
  <c r="AA104" i="2"/>
  <c r="X104" i="2"/>
  <c r="O94" i="2"/>
  <c r="Z55" i="2"/>
  <c r="Y59" i="2"/>
  <c r="X52" i="2"/>
  <c r="W51" i="2"/>
  <c r="S51" i="2"/>
  <c r="AH15" i="2"/>
  <c r="H102" i="2"/>
  <c r="W102" i="2"/>
  <c r="AA102" i="2"/>
  <c r="AH102" i="2"/>
  <c r="AL102" i="2"/>
  <c r="Q97" i="2"/>
  <c r="S97" i="2"/>
  <c r="T97" i="2"/>
  <c r="AB97" i="2"/>
  <c r="AD97" i="2"/>
  <c r="AA97" i="2"/>
  <c r="H145" i="2"/>
  <c r="Y145" i="2"/>
  <c r="AA145" i="2"/>
  <c r="AC145" i="2"/>
  <c r="AH145" i="2"/>
  <c r="U142" i="2"/>
  <c r="AD142" i="2"/>
  <c r="AG142" i="2"/>
  <c r="AK142" i="2"/>
  <c r="T140" i="2"/>
  <c r="AE140" i="2"/>
  <c r="AI140" i="2"/>
  <c r="Q138" i="2"/>
  <c r="S138" i="2"/>
  <c r="U138" i="2"/>
  <c r="AD138" i="2"/>
  <c r="AG138" i="2"/>
  <c r="U12" i="2"/>
  <c r="AB12" i="2"/>
  <c r="AC12" i="2"/>
  <c r="Z93" i="2"/>
  <c r="N93" i="2"/>
  <c r="S12" i="2"/>
  <c r="W97" i="2"/>
  <c r="U97" i="2"/>
  <c r="X93" i="2"/>
  <c r="M93" i="2"/>
  <c r="M91" i="2" s="1"/>
  <c r="I93" i="2" s="1"/>
  <c r="T54" i="2"/>
  <c r="Z18" i="2"/>
  <c r="AL18" i="2"/>
  <c r="AD54" i="2"/>
  <c r="H140" i="2"/>
  <c r="AC18" i="2"/>
  <c r="AC54" i="2"/>
  <c r="AN145" i="2"/>
  <c r="AI145" i="2"/>
  <c r="AH140" i="2"/>
  <c r="AF138" i="2"/>
  <c r="AE138" i="2"/>
  <c r="AB140" i="2"/>
  <c r="Z140" i="2"/>
  <c r="X140" i="2"/>
  <c r="W140" i="2"/>
  <c r="AD102" i="2"/>
  <c r="AC93" i="2"/>
  <c r="AB102" i="2"/>
  <c r="Z102" i="2"/>
  <c r="Z97" i="2"/>
  <c r="Y102" i="2"/>
  <c r="S93" i="2"/>
  <c r="AE12" i="2"/>
  <c r="R12" i="2"/>
  <c r="Y105" i="2"/>
  <c r="AB105" i="2"/>
  <c r="AD105" i="2"/>
  <c r="AE105" i="2"/>
  <c r="AI105" i="2"/>
  <c r="AM105" i="2"/>
  <c r="V101" i="2"/>
  <c r="X101" i="2"/>
  <c r="Y101" i="2"/>
  <c r="AB101" i="2"/>
  <c r="AD101" i="2"/>
  <c r="AC99" i="2"/>
  <c r="AE99" i="2"/>
  <c r="H96" i="2"/>
  <c r="P96" i="2"/>
  <c r="R96" i="2"/>
  <c r="W96" i="2"/>
  <c r="AD63" i="2"/>
  <c r="AI63" i="2"/>
  <c r="X60" i="2"/>
  <c r="Y60" i="2"/>
  <c r="Z60" i="2"/>
  <c r="AA60" i="2"/>
  <c r="AB60" i="2"/>
  <c r="AC60" i="2"/>
  <c r="AF60" i="2"/>
  <c r="AJ60" i="2"/>
  <c r="S57" i="2"/>
  <c r="AG57" i="2"/>
  <c r="AI57" i="2"/>
  <c r="Q53" i="2"/>
  <c r="R53" i="2"/>
  <c r="Z53" i="2"/>
  <c r="AE53" i="2"/>
  <c r="AE21" i="2"/>
  <c r="AG21" i="2"/>
  <c r="H177" i="2"/>
  <c r="Y30" i="5"/>
  <c r="H138" i="6"/>
  <c r="Q138" i="6"/>
  <c r="Z138" i="6"/>
  <c r="X138" i="6"/>
  <c r="AG138" i="6"/>
  <c r="S138" i="6"/>
  <c r="W138" i="6"/>
  <c r="T138" i="6"/>
  <c r="AE138" i="6"/>
  <c r="U138" i="6"/>
  <c r="AD138" i="6"/>
  <c r="V138" i="6"/>
  <c r="U26" i="5"/>
  <c r="U25" i="5"/>
  <c r="BB47" i="5"/>
  <c r="CP6" i="1"/>
  <c r="BC6" i="5"/>
  <c r="E93" i="6"/>
  <c r="R29" i="5"/>
  <c r="R20" i="5"/>
  <c r="R5" i="5"/>
  <c r="E259" i="6"/>
  <c r="E182" i="6"/>
  <c r="T30" i="5"/>
  <c r="H105" i="6"/>
  <c r="AL105" i="6"/>
  <c r="AH105" i="6"/>
  <c r="AO105" i="6"/>
  <c r="Y105" i="6"/>
  <c r="AG105" i="6"/>
  <c r="AD105" i="6"/>
  <c r="AJ105" i="6"/>
  <c r="AK105" i="6"/>
  <c r="AI105" i="6"/>
  <c r="AN105" i="6"/>
  <c r="AC105" i="6"/>
  <c r="AE105" i="6"/>
  <c r="AA105" i="6"/>
  <c r="AM105" i="6"/>
  <c r="AB105" i="6"/>
  <c r="AN106" i="6"/>
  <c r="AP106" i="6"/>
  <c r="AG106" i="6"/>
  <c r="Z106" i="6"/>
  <c r="AH106" i="6"/>
  <c r="AL106" i="6"/>
  <c r="AJ106" i="6"/>
  <c r="AF106" i="6"/>
  <c r="AB106" i="6"/>
  <c r="AD106" i="6"/>
  <c r="AO106" i="6"/>
  <c r="AE106" i="6"/>
  <c r="H106" i="6"/>
  <c r="AI106" i="6"/>
  <c r="CQ6" i="1"/>
  <c r="BC47" i="5"/>
  <c r="Z219" i="6"/>
  <c r="V219" i="6"/>
  <c r="R138" i="6"/>
  <c r="AA106" i="6"/>
  <c r="V50" i="5"/>
  <c r="AD219" i="6"/>
  <c r="AB138" i="6"/>
  <c r="Y138" i="6"/>
  <c r="AM106" i="6"/>
  <c r="AK106" i="6"/>
  <c r="Q51" i="6"/>
  <c r="U51" i="6"/>
  <c r="V51" i="6"/>
  <c r="S51" i="6"/>
  <c r="T51" i="6"/>
  <c r="AB51" i="6"/>
  <c r="O51" i="6"/>
  <c r="X51" i="6"/>
  <c r="AC51" i="6"/>
  <c r="AA51" i="6"/>
  <c r="T70" i="5"/>
  <c r="T46" i="5"/>
  <c r="AA54" i="6"/>
  <c r="AC54" i="6"/>
  <c r="U54" i="6"/>
  <c r="AD54" i="6"/>
  <c r="H54" i="6"/>
  <c r="E103" i="6"/>
  <c r="R31" i="5"/>
  <c r="E62" i="6"/>
  <c r="Y62" i="6" s="1"/>
  <c r="Q31" i="5"/>
  <c r="AI104" i="6"/>
  <c r="X104" i="6"/>
  <c r="AG104" i="6"/>
  <c r="AM104" i="6"/>
  <c r="AN104" i="6"/>
  <c r="AP188" i="6"/>
  <c r="Z188" i="6"/>
  <c r="AJ188" i="6"/>
  <c r="AD102" i="6"/>
  <c r="AI102" i="6"/>
  <c r="AJ102" i="6"/>
  <c r="AF104" i="6"/>
  <c r="Y104" i="6"/>
  <c r="R54" i="6"/>
  <c r="AB54" i="6"/>
  <c r="Q177" i="6"/>
  <c r="Q173" i="6" s="1"/>
  <c r="I179" i="6" s="1"/>
  <c r="I51" i="5" s="1"/>
  <c r="R177" i="6"/>
  <c r="AB188" i="6"/>
  <c r="AD188" i="6"/>
  <c r="AF102" i="6"/>
  <c r="H102" i="6"/>
  <c r="AC104" i="6"/>
  <c r="AJ104" i="6"/>
  <c r="AA104" i="6"/>
  <c r="W54" i="6"/>
  <c r="S54" i="6"/>
  <c r="AE54" i="6"/>
  <c r="AC177" i="6"/>
  <c r="AD177" i="6"/>
  <c r="X177" i="6"/>
  <c r="R97" i="6"/>
  <c r="X97" i="6"/>
  <c r="H97" i="6"/>
  <c r="V97" i="6"/>
  <c r="AB97" i="6"/>
  <c r="AH98" i="6"/>
  <c r="T98" i="6"/>
  <c r="AC98" i="6"/>
  <c r="AF98" i="6"/>
  <c r="O177" i="6"/>
  <c r="O173" i="6" s="1"/>
  <c r="I177" i="6" s="1"/>
  <c r="I49" i="5" s="1"/>
  <c r="W177" i="6"/>
  <c r="AE177" i="6"/>
  <c r="AA177" i="6"/>
  <c r="AI183" i="6"/>
  <c r="AD183" i="6"/>
  <c r="W183" i="6"/>
  <c r="V183" i="6"/>
  <c r="AK183" i="6"/>
  <c r="AG183" i="6"/>
  <c r="AE183" i="6"/>
  <c r="AB183" i="6"/>
  <c r="X183" i="6"/>
  <c r="H183" i="6"/>
  <c r="AH183" i="6"/>
  <c r="AF183" i="6"/>
  <c r="AJ183" i="6"/>
  <c r="Z102" i="6"/>
  <c r="X102" i="6"/>
  <c r="AH102" i="6"/>
  <c r="AE102" i="6"/>
  <c r="E146" i="6"/>
  <c r="Z146" i="6" s="1"/>
  <c r="S31" i="5"/>
  <c r="AC188" i="6"/>
  <c r="AK188" i="6"/>
  <c r="AO188" i="6"/>
  <c r="H188" i="6"/>
  <c r="AA188" i="6"/>
  <c r="AK102" i="6"/>
  <c r="Z104" i="6"/>
  <c r="T54" i="6"/>
  <c r="V54" i="6"/>
  <c r="AB177" i="6"/>
  <c r="V177" i="6"/>
  <c r="AP49" i="6"/>
  <c r="I80" i="6" s="1"/>
  <c r="F76" i="5" s="1"/>
  <c r="AP132" i="6"/>
  <c r="I163" i="6" s="1"/>
  <c r="H76" i="5" s="1"/>
  <c r="T179" i="6"/>
  <c r="AD179" i="6"/>
  <c r="X179" i="6"/>
  <c r="R179" i="6"/>
  <c r="AH99" i="6"/>
  <c r="AE99" i="6"/>
  <c r="U99" i="6"/>
  <c r="W99" i="6"/>
  <c r="T99" i="6"/>
  <c r="M134" i="6"/>
  <c r="M132" i="6" s="1"/>
  <c r="I134" i="6" s="1"/>
  <c r="H47" i="5" s="1"/>
  <c r="AC134" i="6"/>
  <c r="T134" i="6"/>
  <c r="R134" i="6"/>
  <c r="I221" i="4"/>
  <c r="E141" i="6"/>
  <c r="S30" i="5"/>
  <c r="AB142" i="6"/>
  <c r="AI142" i="6"/>
  <c r="H142" i="6"/>
  <c r="Y142" i="6"/>
  <c r="AC142" i="6"/>
  <c r="AK142" i="6"/>
  <c r="R71" i="5"/>
  <c r="R70" i="5"/>
  <c r="R46" i="5"/>
  <c r="S46" i="5"/>
  <c r="S61" i="5"/>
  <c r="AZ78" i="5" s="1"/>
  <c r="Q5" i="5"/>
  <c r="Q20" i="5"/>
  <c r="E137" i="6"/>
  <c r="S20" i="5"/>
  <c r="E218" i="6"/>
  <c r="U50" i="5"/>
  <c r="V9" i="5"/>
  <c r="E260" i="6" s="1"/>
  <c r="AD101" i="6"/>
  <c r="AE101" i="6"/>
  <c r="AL184" i="6"/>
  <c r="AB184" i="6"/>
  <c r="AH184" i="6"/>
  <c r="W184" i="6"/>
  <c r="H184" i="6"/>
  <c r="AI184" i="6"/>
  <c r="X184" i="6"/>
  <c r="AD184" i="6"/>
  <c r="AH61" i="6"/>
  <c r="AK61" i="6"/>
  <c r="Z61" i="6"/>
  <c r="AG61" i="6"/>
  <c r="I220" i="4"/>
  <c r="I216" i="2"/>
  <c r="T61" i="5"/>
  <c r="BA78" i="5" s="1"/>
  <c r="I278" i="6"/>
  <c r="K68" i="5" s="1"/>
  <c r="N214" i="6"/>
  <c r="I217" i="6" s="1"/>
  <c r="J48" i="5" s="1"/>
  <c r="I258" i="4"/>
  <c r="I217" i="4"/>
  <c r="Q61" i="5"/>
  <c r="AX78" i="5" s="1"/>
  <c r="T72" i="5"/>
  <c r="AK88" i="4"/>
  <c r="AL88" i="4" s="1"/>
  <c r="AM88" i="4" s="1"/>
  <c r="AN88" i="4" s="1"/>
  <c r="AO88" i="4" s="1"/>
  <c r="AN170" i="4"/>
  <c r="AO170" i="4" s="1"/>
  <c r="AP129" i="4"/>
  <c r="Z46" i="2"/>
  <c r="Z214" i="4"/>
  <c r="AA211" i="4"/>
  <c r="AF212" i="2"/>
  <c r="AJ170" i="2"/>
  <c r="Y255" i="4"/>
  <c r="I269" i="4" s="1"/>
  <c r="Z252" i="4"/>
  <c r="CP13" i="1"/>
  <c r="P88" i="2"/>
  <c r="S129" i="2"/>
  <c r="W4" i="6"/>
  <c r="AL4" i="6"/>
  <c r="AE171" i="4"/>
  <c r="W172" i="4"/>
  <c r="P171" i="4"/>
  <c r="V212" i="6"/>
  <c r="AK212" i="6"/>
  <c r="AE170" i="6"/>
  <c r="AF170" i="6" s="1"/>
  <c r="AJ252" i="6"/>
  <c r="AI255" i="6"/>
  <c r="I279" i="6" s="1"/>
  <c r="K69" i="5" s="1"/>
  <c r="AQ129" i="6"/>
  <c r="AH211" i="6"/>
  <c r="AL88" i="6"/>
  <c r="AM88" i="6" s="1"/>
  <c r="AN88" i="6" s="1"/>
  <c r="AO88" i="6" s="1"/>
  <c r="X47" i="6"/>
  <c r="BL23" i="1"/>
  <c r="CU3" i="1"/>
  <c r="CU4" i="1" s="1"/>
  <c r="AF3" i="1"/>
  <c r="BN22" i="1"/>
  <c r="AH171" i="6"/>
  <c r="AD89" i="4"/>
  <c r="V90" i="4"/>
  <c r="O89" i="4"/>
  <c r="AQ46" i="6"/>
  <c r="W253" i="6"/>
  <c r="AE4" i="1"/>
  <c r="X5" i="2"/>
  <c r="Q4" i="2"/>
  <c r="O255" i="4"/>
  <c r="K103" i="1"/>
  <c r="K97" i="1"/>
  <c r="K95" i="1"/>
  <c r="K93" i="1"/>
  <c r="K99" i="1"/>
  <c r="Q130" i="4"/>
  <c r="AF130" i="4"/>
  <c r="W131" i="6"/>
  <c r="AE130" i="6"/>
  <c r="L99" i="1"/>
  <c r="L103" i="1"/>
  <c r="L93" i="1"/>
  <c r="L97" i="1"/>
  <c r="L95" i="1"/>
  <c r="CB40" i="1"/>
  <c r="AQ3" i="6"/>
  <c r="X131" i="6"/>
  <c r="Q130" i="6"/>
  <c r="AI171" i="6"/>
  <c r="T171" i="6"/>
  <c r="CQ40" i="1"/>
  <c r="AA97" i="1"/>
  <c r="AA95" i="1"/>
  <c r="AA93" i="1"/>
  <c r="AA103" i="1"/>
  <c r="AD171" i="4"/>
  <c r="V172" i="4"/>
  <c r="S103" i="1"/>
  <c r="S97" i="1"/>
  <c r="S95" i="1"/>
  <c r="S93" i="1"/>
  <c r="AC171" i="4"/>
  <c r="CS40" i="1"/>
  <c r="AM12" i="1"/>
  <c r="AI43" i="1"/>
  <c r="AI69" i="1"/>
  <c r="AI143" i="1" s="1"/>
  <c r="BQ5" i="1"/>
  <c r="BQ20" i="1"/>
  <c r="CX40" i="1" s="1"/>
  <c r="BP20" i="1"/>
  <c r="CW40" i="1" s="1"/>
  <c r="BO20" i="1"/>
  <c r="CV40" i="1" s="1"/>
  <c r="BL5" i="1"/>
  <c r="K100" i="1"/>
  <c r="K98" i="1"/>
  <c r="K94" i="1"/>
  <c r="CA40" i="1"/>
  <c r="K104" i="1"/>
  <c r="BK20" i="1"/>
  <c r="BK5" i="1"/>
  <c r="O97" i="1"/>
  <c r="O99" i="1"/>
  <c r="O103" i="1"/>
  <c r="AZ5" i="1"/>
  <c r="U99" i="1"/>
  <c r="U95" i="1"/>
  <c r="U97" i="1"/>
  <c r="U103" i="1"/>
  <c r="BH20" i="1"/>
  <c r="BH5" i="1"/>
  <c r="Z40" i="1"/>
  <c r="Z5" i="1"/>
  <c r="B35" i="1"/>
  <c r="B31" i="1"/>
  <c r="U5" i="1"/>
  <c r="R96" i="1"/>
  <c r="R94" i="1"/>
  <c r="CH40" i="1"/>
  <c r="R100" i="1"/>
  <c r="R98" i="1"/>
  <c r="U5" i="2"/>
  <c r="AC4" i="2"/>
  <c r="O89" i="6"/>
  <c r="M96" i="1"/>
  <c r="M104" i="1"/>
  <c r="M94" i="1"/>
  <c r="M100" i="1"/>
  <c r="CC40" i="1"/>
  <c r="M98" i="1"/>
  <c r="AQ5" i="1"/>
  <c r="AQ20" i="1"/>
  <c r="BX40" i="1" s="1"/>
  <c r="AP20" i="1"/>
  <c r="AP5" i="1"/>
  <c r="AO5" i="1"/>
  <c r="AN5" i="1"/>
  <c r="AN20" i="1"/>
  <c r="BU40" i="1" s="1"/>
  <c r="BA20" i="1"/>
  <c r="BA5" i="1"/>
  <c r="BE20" i="1"/>
  <c r="BE5" i="1"/>
  <c r="Y5" i="1"/>
  <c r="B17" i="1"/>
  <c r="B18" i="1"/>
  <c r="V40" i="1"/>
  <c r="B6" i="1"/>
  <c r="B30" i="1"/>
  <c r="CE40" i="1"/>
  <c r="O98" i="1"/>
  <c r="O96" i="1"/>
  <c r="O104" i="1"/>
  <c r="CI40" i="1"/>
  <c r="V131" i="2"/>
  <c r="BW40" i="1"/>
  <c r="BN5" i="1"/>
  <c r="BN20" i="1"/>
  <c r="T100" i="1"/>
  <c r="T98" i="1"/>
  <c r="CJ40" i="1"/>
  <c r="V48" i="2"/>
  <c r="O47" i="2"/>
  <c r="BM5" i="1"/>
  <c r="BM20" i="1"/>
  <c r="CT40" i="1" s="1"/>
  <c r="AY5" i="1"/>
  <c r="AV20" i="1"/>
  <c r="AU5" i="1"/>
  <c r="AS20" i="1"/>
  <c r="BZ40" i="1" s="1"/>
  <c r="AS5" i="1"/>
  <c r="R104" i="1"/>
  <c r="BC20" i="1"/>
  <c r="BC5" i="1"/>
  <c r="BG5" i="1"/>
  <c r="B23" i="1"/>
  <c r="W40" i="1"/>
  <c r="W5" i="1"/>
  <c r="B8" i="1"/>
  <c r="B25" i="1"/>
  <c r="B15" i="1"/>
  <c r="B7" i="1"/>
  <c r="H186" i="2"/>
  <c r="AC65" i="5"/>
  <c r="BD5" i="1"/>
  <c r="AA57" i="6"/>
  <c r="T57" i="6"/>
  <c r="AE57" i="6"/>
  <c r="AB57" i="6"/>
  <c r="U57" i="6"/>
  <c r="H57" i="6"/>
  <c r="W61" i="6"/>
  <c r="X61" i="6"/>
  <c r="N211" i="2"/>
  <c r="H219" i="2"/>
  <c r="H215" i="2" s="1"/>
  <c r="E215" i="2"/>
  <c r="AE171" i="6"/>
  <c r="W172" i="6"/>
  <c r="AB67" i="5" l="1"/>
  <c r="H256" i="4"/>
  <c r="AC66" i="5"/>
  <c r="CP17" i="1"/>
  <c r="AB219" i="6"/>
  <c r="H219" i="6"/>
  <c r="AC219" i="6"/>
  <c r="S73" i="5"/>
  <c r="S66" i="5" s="1"/>
  <c r="AE219" i="6"/>
  <c r="P219" i="6"/>
  <c r="X219" i="6"/>
  <c r="S219" i="6"/>
  <c r="Q219" i="6"/>
  <c r="R219" i="6"/>
  <c r="U219" i="6"/>
  <c r="Y219" i="6"/>
  <c r="T219" i="6"/>
  <c r="AA219" i="6"/>
  <c r="W219" i="6"/>
  <c r="AA173" i="2"/>
  <c r="I189" i="2" s="1"/>
  <c r="BA20" i="5" s="1"/>
  <c r="Z24" i="5"/>
  <c r="Z26" i="5"/>
  <c r="X66" i="5"/>
  <c r="N173" i="4"/>
  <c r="I176" i="4" s="1"/>
  <c r="CO7" i="1" s="1"/>
  <c r="P132" i="4"/>
  <c r="I137" i="4" s="1"/>
  <c r="CN9" i="1" s="1"/>
  <c r="AO132" i="4"/>
  <c r="I162" i="4" s="1"/>
  <c r="AZ75" i="5" s="1"/>
  <c r="AD132" i="4"/>
  <c r="I151" i="4" s="1"/>
  <c r="CN23" i="1" s="1"/>
  <c r="N132" i="4"/>
  <c r="I135" i="4" s="1"/>
  <c r="AZ48" i="5" s="1"/>
  <c r="AP132" i="4"/>
  <c r="I163" i="4" s="1"/>
  <c r="CN35" i="1" s="1"/>
  <c r="O173" i="4"/>
  <c r="I177" i="4" s="1"/>
  <c r="BA49" i="5" s="1"/>
  <c r="O49" i="4"/>
  <c r="I53" i="4" s="1"/>
  <c r="AX49" i="5" s="1"/>
  <c r="CN8" i="1"/>
  <c r="Y49" i="4"/>
  <c r="I63" i="4" s="1"/>
  <c r="CL18" i="1" s="1"/>
  <c r="Y65" i="5"/>
  <c r="AA66" i="5"/>
  <c r="AZ47" i="5"/>
  <c r="V20" i="5"/>
  <c r="S255" i="4"/>
  <c r="I263" i="4" s="1"/>
  <c r="W255" i="4"/>
  <c r="I267" i="4" s="1"/>
  <c r="P3" i="4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P6" i="4" s="1"/>
  <c r="AQ129" i="4"/>
  <c r="Y26" i="5"/>
  <c r="AC173" i="2"/>
  <c r="I191" i="2" s="1"/>
  <c r="CH22" i="1" s="1"/>
  <c r="S173" i="6"/>
  <c r="I181" i="6" s="1"/>
  <c r="I53" i="5" s="1"/>
  <c r="AO6" i="4"/>
  <c r="X65" i="5"/>
  <c r="AD173" i="2"/>
  <c r="I192" i="2" s="1"/>
  <c r="CH23" i="1" s="1"/>
  <c r="T255" i="4"/>
  <c r="I264" i="4" s="1"/>
  <c r="X255" i="4"/>
  <c r="I268" i="4" s="1"/>
  <c r="AC26" i="5"/>
  <c r="V172" i="2"/>
  <c r="AD171" i="2"/>
  <c r="AL172" i="2" s="1"/>
  <c r="O171" i="2"/>
  <c r="N255" i="6"/>
  <c r="I258" i="6" s="1"/>
  <c r="K48" i="5" s="1"/>
  <c r="AQ46" i="4"/>
  <c r="AE47" i="4"/>
  <c r="AM48" i="4" s="1"/>
  <c r="P47" i="4"/>
  <c r="W48" i="4"/>
  <c r="V29" i="5"/>
  <c r="V32" i="5" s="1"/>
  <c r="P252" i="2"/>
  <c r="U255" i="4"/>
  <c r="I265" i="4" s="1"/>
  <c r="Q255" i="4"/>
  <c r="I261" i="4" s="1"/>
  <c r="AE130" i="2"/>
  <c r="AM131" i="2" s="1"/>
  <c r="P130" i="2"/>
  <c r="P132" i="2" s="1"/>
  <c r="I137" i="2" s="1"/>
  <c r="W131" i="2"/>
  <c r="Y253" i="2"/>
  <c r="P89" i="2"/>
  <c r="W90" i="2"/>
  <c r="AE89" i="2"/>
  <c r="AM90" i="2" s="1"/>
  <c r="AD130" i="2"/>
  <c r="BB55" i="5"/>
  <c r="CP18" i="1"/>
  <c r="O91" i="2"/>
  <c r="N132" i="2"/>
  <c r="I135" i="2" s="1"/>
  <c r="AO49" i="4"/>
  <c r="I79" i="4" s="1"/>
  <c r="CL34" i="1" s="1"/>
  <c r="Z132" i="4"/>
  <c r="I147" i="4" s="1"/>
  <c r="AZ60" i="5" s="1"/>
  <c r="AC132" i="4"/>
  <c r="I150" i="4" s="1"/>
  <c r="AZ63" i="5" s="1"/>
  <c r="Y132" i="4"/>
  <c r="I146" i="4" s="1"/>
  <c r="CN18" i="1" s="1"/>
  <c r="N91" i="4"/>
  <c r="I94" i="4" s="1"/>
  <c r="AY48" i="5" s="1"/>
  <c r="CQ9" i="1"/>
  <c r="BC50" i="5"/>
  <c r="R255" i="4"/>
  <c r="I262" i="4" s="1"/>
  <c r="V255" i="4"/>
  <c r="I266" i="4" s="1"/>
  <c r="AB66" i="5"/>
  <c r="U5" i="4"/>
  <c r="AC4" i="4"/>
  <c r="AK5" i="4" s="1"/>
  <c r="N4" i="4"/>
  <c r="O255" i="2"/>
  <c r="I259" i="2" s="1"/>
  <c r="BC8" i="5" s="1"/>
  <c r="AC24" i="5"/>
  <c r="H174" i="4"/>
  <c r="CP16" i="1"/>
  <c r="BB57" i="5"/>
  <c r="BB50" i="5"/>
  <c r="CP9" i="1"/>
  <c r="AE49" i="4"/>
  <c r="I69" i="4" s="1"/>
  <c r="AX65" i="5" s="1"/>
  <c r="AE132" i="4"/>
  <c r="I152" i="4" s="1"/>
  <c r="AZ65" i="5" s="1"/>
  <c r="AB132" i="4"/>
  <c r="I149" i="4" s="1"/>
  <c r="AZ62" i="5" s="1"/>
  <c r="AA173" i="4"/>
  <c r="I189" i="4" s="1"/>
  <c r="CO20" i="1" s="1"/>
  <c r="W66" i="5"/>
  <c r="H7" i="4"/>
  <c r="Z6" i="4"/>
  <c r="N49" i="4"/>
  <c r="I52" i="4" s="1"/>
  <c r="CL7" i="1" s="1"/>
  <c r="AA67" i="5"/>
  <c r="H92" i="4"/>
  <c r="AB49" i="4"/>
  <c r="I66" i="4" s="1"/>
  <c r="CL21" i="1" s="1"/>
  <c r="W26" i="5"/>
  <c r="W3" i="2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Z49" i="4"/>
  <c r="I64" i="4" s="1"/>
  <c r="AX60" i="5" s="1"/>
  <c r="W65" i="5"/>
  <c r="AB173" i="4"/>
  <c r="I190" i="4" s="1"/>
  <c r="BA62" i="5" s="1"/>
  <c r="X24" i="5"/>
  <c r="AA65" i="5"/>
  <c r="AC6" i="4"/>
  <c r="X26" i="5"/>
  <c r="AZ8" i="5"/>
  <c r="BA47" i="5"/>
  <c r="Y173" i="4"/>
  <c r="I187" i="4" s="1"/>
  <c r="BA59" i="5" s="1"/>
  <c r="CH7" i="1"/>
  <c r="Y173" i="2"/>
  <c r="I187" i="2" s="1"/>
  <c r="BA18" i="5" s="1"/>
  <c r="CL6" i="1"/>
  <c r="AX47" i="5"/>
  <c r="AD49" i="4"/>
  <c r="I68" i="4" s="1"/>
  <c r="CL23" i="1" s="1"/>
  <c r="AA49" i="4"/>
  <c r="I65" i="4" s="1"/>
  <c r="CL20" i="1" s="1"/>
  <c r="H50" i="4"/>
  <c r="P6" i="2"/>
  <c r="W24" i="5"/>
  <c r="W25" i="5"/>
  <c r="O6" i="2"/>
  <c r="BA6" i="5"/>
  <c r="H92" i="2"/>
  <c r="H7" i="2"/>
  <c r="Y49" i="2"/>
  <c r="I63" i="2" s="1"/>
  <c r="AX18" i="5" s="1"/>
  <c r="N49" i="2"/>
  <c r="I52" i="2" s="1"/>
  <c r="Z66" i="5"/>
  <c r="Z67" i="5"/>
  <c r="Z173" i="4"/>
  <c r="I188" i="4" s="1"/>
  <c r="Y146" i="6"/>
  <c r="AC146" i="6"/>
  <c r="Y49" i="6"/>
  <c r="I63" i="6" s="1"/>
  <c r="F59" i="5" s="1"/>
  <c r="Q49" i="6"/>
  <c r="I55" i="6" s="1"/>
  <c r="F51" i="5" s="1"/>
  <c r="P49" i="6"/>
  <c r="I54" i="6" s="1"/>
  <c r="F50" i="5" s="1"/>
  <c r="AX75" i="5"/>
  <c r="Y67" i="5"/>
  <c r="Y66" i="5"/>
  <c r="AC49" i="4"/>
  <c r="I67" i="4" s="1"/>
  <c r="Y91" i="4"/>
  <c r="I105" i="4" s="1"/>
  <c r="W67" i="5"/>
  <c r="AA91" i="4"/>
  <c r="I107" i="4" s="1"/>
  <c r="AC91" i="4"/>
  <c r="I109" i="4" s="1"/>
  <c r="Z91" i="4"/>
  <c r="I106" i="4" s="1"/>
  <c r="AB91" i="4"/>
  <c r="I108" i="4" s="1"/>
  <c r="CL35" i="1"/>
  <c r="AX76" i="5"/>
  <c r="AA132" i="4"/>
  <c r="I148" i="4" s="1"/>
  <c r="H133" i="4"/>
  <c r="P173" i="6"/>
  <c r="I178" i="6" s="1"/>
  <c r="I50" i="5" s="1"/>
  <c r="R173" i="6"/>
  <c r="I180" i="6" s="1"/>
  <c r="I52" i="5" s="1"/>
  <c r="N173" i="6"/>
  <c r="I176" i="6" s="1"/>
  <c r="I48" i="5" s="1"/>
  <c r="O132" i="6"/>
  <c r="I136" i="6" s="1"/>
  <c r="H49" i="5" s="1"/>
  <c r="R32" i="5"/>
  <c r="R25" i="5" s="1"/>
  <c r="U49" i="6"/>
  <c r="I59" i="6" s="1"/>
  <c r="F55" i="5" s="1"/>
  <c r="O49" i="6"/>
  <c r="I53" i="6" s="1"/>
  <c r="F49" i="5" s="1"/>
  <c r="Q73" i="5"/>
  <c r="W49" i="6"/>
  <c r="I61" i="6" s="1"/>
  <c r="F57" i="5" s="1"/>
  <c r="Q32" i="5"/>
  <c r="Q25" i="5" s="1"/>
  <c r="R49" i="6"/>
  <c r="I56" i="6" s="1"/>
  <c r="F52" i="5" s="1"/>
  <c r="S49" i="6"/>
  <c r="I57" i="6" s="1"/>
  <c r="F53" i="5" s="1"/>
  <c r="CF6" i="1"/>
  <c r="AY6" i="5"/>
  <c r="Y25" i="5"/>
  <c r="AZ6" i="5"/>
  <c r="CG6" i="1"/>
  <c r="N91" i="2"/>
  <c r="I94" i="2" s="1"/>
  <c r="H50" i="2"/>
  <c r="Y24" i="5"/>
  <c r="Z173" i="2"/>
  <c r="I188" i="2" s="1"/>
  <c r="H133" i="2"/>
  <c r="AA26" i="5"/>
  <c r="AA24" i="5"/>
  <c r="AA25" i="5"/>
  <c r="H174" i="2"/>
  <c r="AB173" i="2"/>
  <c r="I190" i="2" s="1"/>
  <c r="CG7" i="1"/>
  <c r="AZ7" i="5"/>
  <c r="CJ8" i="1"/>
  <c r="AE218" i="6"/>
  <c r="AE214" i="6" s="1"/>
  <c r="I234" i="6" s="1"/>
  <c r="J65" i="5" s="1"/>
  <c r="Y218" i="6"/>
  <c r="AA218" i="6"/>
  <c r="AA214" i="6" s="1"/>
  <c r="I230" i="6" s="1"/>
  <c r="J61" i="5" s="1"/>
  <c r="P218" i="6"/>
  <c r="P214" i="6" s="1"/>
  <c r="I219" i="6" s="1"/>
  <c r="J50" i="5" s="1"/>
  <c r="T218" i="6"/>
  <c r="T214" i="6" s="1"/>
  <c r="I223" i="6" s="1"/>
  <c r="J54" i="5" s="1"/>
  <c r="Z218" i="6"/>
  <c r="Z214" i="6" s="1"/>
  <c r="I229" i="6" s="1"/>
  <c r="J60" i="5" s="1"/>
  <c r="AD218" i="6"/>
  <c r="AD214" i="6" s="1"/>
  <c r="I233" i="6" s="1"/>
  <c r="J64" i="5" s="1"/>
  <c r="S218" i="6"/>
  <c r="W218" i="6"/>
  <c r="AC218" i="6"/>
  <c r="AC214" i="6" s="1"/>
  <c r="I232" i="6" s="1"/>
  <c r="J63" i="5" s="1"/>
  <c r="U218" i="6"/>
  <c r="U214" i="6" s="1"/>
  <c r="I224" i="6" s="1"/>
  <c r="J55" i="5" s="1"/>
  <c r="Q218" i="6"/>
  <c r="Q214" i="6" s="1"/>
  <c r="I220" i="6" s="1"/>
  <c r="J51" i="5" s="1"/>
  <c r="V218" i="6"/>
  <c r="R218" i="6"/>
  <c r="R214" i="6" s="1"/>
  <c r="I221" i="6" s="1"/>
  <c r="J52" i="5" s="1"/>
  <c r="AB218" i="6"/>
  <c r="X218" i="6"/>
  <c r="O218" i="6"/>
  <c r="O214" i="6" s="1"/>
  <c r="I218" i="6" s="1"/>
  <c r="J49" i="5" s="1"/>
  <c r="H218" i="6"/>
  <c r="H215" i="6" s="1"/>
  <c r="E215" i="6"/>
  <c r="R73" i="5"/>
  <c r="R67" i="5" s="1"/>
  <c r="AK62" i="6"/>
  <c r="AK49" i="6" s="1"/>
  <c r="I75" i="6" s="1"/>
  <c r="F71" i="5" s="1"/>
  <c r="AJ62" i="6"/>
  <c r="AJ49" i="6" s="1"/>
  <c r="I74" i="6" s="1"/>
  <c r="F70" i="5" s="1"/>
  <c r="AI62" i="6"/>
  <c r="AI49" i="6" s="1"/>
  <c r="I73" i="6" s="1"/>
  <c r="F69" i="5" s="1"/>
  <c r="H62" i="6"/>
  <c r="H50" i="6" s="1"/>
  <c r="AN62" i="6"/>
  <c r="AM62" i="6"/>
  <c r="AM49" i="6" s="1"/>
  <c r="I77" i="6" s="1"/>
  <c r="F73" i="5" s="1"/>
  <c r="AL62" i="6"/>
  <c r="AL49" i="6" s="1"/>
  <c r="I76" i="6" s="1"/>
  <c r="F72" i="5" s="1"/>
  <c r="AB62" i="6"/>
  <c r="AB49" i="6" s="1"/>
  <c r="I66" i="6" s="1"/>
  <c r="F62" i="5" s="1"/>
  <c r="AA62" i="6"/>
  <c r="AA49" i="6" s="1"/>
  <c r="I65" i="6" s="1"/>
  <c r="F61" i="5" s="1"/>
  <c r="AG62" i="6"/>
  <c r="AG49" i="6" s="1"/>
  <c r="I71" i="6" s="1"/>
  <c r="F67" i="5" s="1"/>
  <c r="AF62" i="6"/>
  <c r="AF49" i="6" s="1"/>
  <c r="I70" i="6" s="1"/>
  <c r="F66" i="5" s="1"/>
  <c r="AE62" i="6"/>
  <c r="AE49" i="6" s="1"/>
  <c r="I69" i="6" s="1"/>
  <c r="F65" i="5" s="1"/>
  <c r="X62" i="6"/>
  <c r="AH62" i="6"/>
  <c r="AH49" i="6" s="1"/>
  <c r="I72" i="6" s="1"/>
  <c r="F68" i="5" s="1"/>
  <c r="E50" i="6"/>
  <c r="V24" i="5"/>
  <c r="V26" i="5"/>
  <c r="V25" i="5"/>
  <c r="U182" i="6"/>
  <c r="AA182" i="6"/>
  <c r="AA173" i="6" s="1"/>
  <c r="I189" i="6" s="1"/>
  <c r="I61" i="5" s="1"/>
  <c r="AJ182" i="6"/>
  <c r="AB182" i="6"/>
  <c r="AB173" i="6" s="1"/>
  <c r="I190" i="6" s="1"/>
  <c r="I62" i="5" s="1"/>
  <c r="Y182" i="6"/>
  <c r="Y173" i="6" s="1"/>
  <c r="I187" i="6" s="1"/>
  <c r="I59" i="5" s="1"/>
  <c r="AH182" i="6"/>
  <c r="V182" i="6"/>
  <c r="AD182" i="6"/>
  <c r="AD173" i="6" s="1"/>
  <c r="I192" i="6" s="1"/>
  <c r="I64" i="5" s="1"/>
  <c r="H182" i="6"/>
  <c r="H174" i="6" s="1"/>
  <c r="T182" i="6"/>
  <c r="T173" i="6" s="1"/>
  <c r="X182" i="6"/>
  <c r="AE182" i="6"/>
  <c r="AE173" i="6" s="1"/>
  <c r="I193" i="6" s="1"/>
  <c r="I65" i="5" s="1"/>
  <c r="AI182" i="6"/>
  <c r="Z182" i="6"/>
  <c r="Z173" i="6" s="1"/>
  <c r="I188" i="6" s="1"/>
  <c r="I60" i="5" s="1"/>
  <c r="AC182" i="6"/>
  <c r="AC173" i="6" s="1"/>
  <c r="I191" i="6" s="1"/>
  <c r="I63" i="5" s="1"/>
  <c r="W182" i="6"/>
  <c r="AG182" i="6"/>
  <c r="AF182" i="6"/>
  <c r="AF173" i="6" s="1"/>
  <c r="I194" i="6" s="1"/>
  <c r="I66" i="5" s="1"/>
  <c r="T49" i="6"/>
  <c r="I58" i="6" s="1"/>
  <c r="F54" i="5" s="1"/>
  <c r="CE6" i="1"/>
  <c r="AX6" i="5"/>
  <c r="CM6" i="1"/>
  <c r="AY47" i="5"/>
  <c r="E174" i="6"/>
  <c r="O93" i="6"/>
  <c r="O91" i="6" s="1"/>
  <c r="X93" i="6"/>
  <c r="M93" i="6"/>
  <c r="M91" i="6" s="1"/>
  <c r="I93" i="6" s="1"/>
  <c r="G47" i="5" s="1"/>
  <c r="Q93" i="6"/>
  <c r="AA93" i="6"/>
  <c r="P93" i="6"/>
  <c r="U93" i="6"/>
  <c r="Y93" i="6"/>
  <c r="H93" i="6"/>
  <c r="T93" i="6"/>
  <c r="W93" i="6"/>
  <c r="Z93" i="6"/>
  <c r="R93" i="6"/>
  <c r="N93" i="6"/>
  <c r="N91" i="6" s="1"/>
  <c r="I94" i="6" s="1"/>
  <c r="G48" i="5" s="1"/>
  <c r="AB93" i="6"/>
  <c r="AC93" i="6"/>
  <c r="V93" i="6"/>
  <c r="E92" i="6"/>
  <c r="S93" i="6"/>
  <c r="Z62" i="6"/>
  <c r="Z49" i="6" s="1"/>
  <c r="I64" i="6" s="1"/>
  <c r="F60" i="5" s="1"/>
  <c r="BB48" i="5"/>
  <c r="CP7" i="1"/>
  <c r="R260" i="6"/>
  <c r="AC260" i="6"/>
  <c r="Y260" i="6"/>
  <c r="AB260" i="6"/>
  <c r="AF260" i="6"/>
  <c r="AF255" i="6" s="1"/>
  <c r="I276" i="6" s="1"/>
  <c r="K66" i="5" s="1"/>
  <c r="H260" i="6"/>
  <c r="X260" i="6"/>
  <c r="AA260" i="6"/>
  <c r="T260" i="6"/>
  <c r="P260" i="6"/>
  <c r="S260" i="6"/>
  <c r="Q260" i="6"/>
  <c r="AE260" i="6"/>
  <c r="W260" i="6"/>
  <c r="AD260" i="6"/>
  <c r="Z260" i="6"/>
  <c r="V260" i="6"/>
  <c r="U260" i="6"/>
  <c r="W137" i="6"/>
  <c r="AC137" i="6"/>
  <c r="X137" i="6"/>
  <c r="AB137" i="6"/>
  <c r="E133" i="6"/>
  <c r="Z137" i="6"/>
  <c r="Y137" i="6"/>
  <c r="U137" i="6"/>
  <c r="V137" i="6"/>
  <c r="AD137" i="6"/>
  <c r="T137" i="6"/>
  <c r="AA137" i="6"/>
  <c r="AF137" i="6"/>
  <c r="S137" i="6"/>
  <c r="R137" i="6"/>
  <c r="H137" i="6"/>
  <c r="Q137" i="6"/>
  <c r="AE137" i="6"/>
  <c r="P137" i="6"/>
  <c r="P132" i="6" s="1"/>
  <c r="I137" i="6" s="1"/>
  <c r="H50" i="5" s="1"/>
  <c r="AC62" i="6"/>
  <c r="AC49" i="6" s="1"/>
  <c r="I67" i="6" s="1"/>
  <c r="F63" i="5" s="1"/>
  <c r="CQ7" i="1"/>
  <c r="BC48" i="5"/>
  <c r="BB6" i="5"/>
  <c r="CI6" i="1"/>
  <c r="CP10" i="1"/>
  <c r="BB51" i="5"/>
  <c r="U46" i="5"/>
  <c r="U61" i="5"/>
  <c r="BB78" i="5" s="1"/>
  <c r="U70" i="5"/>
  <c r="U73" i="5" s="1"/>
  <c r="AF146" i="6"/>
  <c r="AJ146" i="6"/>
  <c r="AO146" i="6"/>
  <c r="AO132" i="6" s="1"/>
  <c r="I162" i="6" s="1"/>
  <c r="H75" i="5" s="1"/>
  <c r="AB146" i="6"/>
  <c r="AM146" i="6"/>
  <c r="H146" i="6"/>
  <c r="AD146" i="6"/>
  <c r="AA146" i="6"/>
  <c r="AH146" i="6"/>
  <c r="AE146" i="6"/>
  <c r="AG146" i="6"/>
  <c r="AL146" i="6"/>
  <c r="AI146" i="6"/>
  <c r="AN146" i="6"/>
  <c r="AK146" i="6"/>
  <c r="T32" i="5"/>
  <c r="T25" i="5" s="1"/>
  <c r="R259" i="6"/>
  <c r="O259" i="6"/>
  <c r="O255" i="6" s="1"/>
  <c r="I259" i="6" s="1"/>
  <c r="K49" i="5" s="1"/>
  <c r="AB259" i="6"/>
  <c r="W259" i="6"/>
  <c r="W255" i="6" s="1"/>
  <c r="AE259" i="6"/>
  <c r="X259" i="6"/>
  <c r="H259" i="6"/>
  <c r="Y259" i="6"/>
  <c r="P259" i="6"/>
  <c r="P255" i="6" s="1"/>
  <c r="I260" i="6" s="1"/>
  <c r="K50" i="5" s="1"/>
  <c r="AA259" i="6"/>
  <c r="S259" i="6"/>
  <c r="U259" i="6"/>
  <c r="U255" i="6" s="1"/>
  <c r="I265" i="6" s="1"/>
  <c r="K55" i="5" s="1"/>
  <c r="AC259" i="6"/>
  <c r="AC255" i="6" s="1"/>
  <c r="I273" i="6" s="1"/>
  <c r="K63" i="5" s="1"/>
  <c r="T259" i="6"/>
  <c r="T255" i="6" s="1"/>
  <c r="I264" i="6" s="1"/>
  <c r="K54" i="5" s="1"/>
  <c r="Z259" i="6"/>
  <c r="Q259" i="6"/>
  <c r="AD259" i="6"/>
  <c r="E256" i="6"/>
  <c r="V259" i="6"/>
  <c r="T73" i="5"/>
  <c r="T66" i="5" s="1"/>
  <c r="V61" i="5"/>
  <c r="BC78" i="5" s="1"/>
  <c r="V70" i="5"/>
  <c r="V46" i="5"/>
  <c r="AD62" i="6"/>
  <c r="AD49" i="6" s="1"/>
  <c r="I68" i="6" s="1"/>
  <c r="F64" i="5" s="1"/>
  <c r="AD141" i="6"/>
  <c r="Z141" i="6"/>
  <c r="AI141" i="6"/>
  <c r="U141" i="6"/>
  <c r="AH141" i="6"/>
  <c r="AF141" i="6"/>
  <c r="T141" i="6"/>
  <c r="AG141" i="6"/>
  <c r="Y141" i="6"/>
  <c r="AC141" i="6"/>
  <c r="AB141" i="6"/>
  <c r="W141" i="6"/>
  <c r="H141" i="6"/>
  <c r="X141" i="6"/>
  <c r="AA141" i="6"/>
  <c r="V141" i="6"/>
  <c r="AE141" i="6"/>
  <c r="AJ141" i="6"/>
  <c r="CP11" i="1"/>
  <c r="BB52" i="5"/>
  <c r="CP15" i="1"/>
  <c r="BB56" i="5"/>
  <c r="AD103" i="6"/>
  <c r="AD91" i="6" s="1"/>
  <c r="I110" i="6" s="1"/>
  <c r="G64" i="5" s="1"/>
  <c r="AI103" i="6"/>
  <c r="AK103" i="6"/>
  <c r="AG103" i="6"/>
  <c r="AE103" i="6"/>
  <c r="AM103" i="6"/>
  <c r="AA103" i="6"/>
  <c r="AJ103" i="6"/>
  <c r="X103" i="6"/>
  <c r="W103" i="6"/>
  <c r="AB103" i="6"/>
  <c r="AF103" i="6"/>
  <c r="AL103" i="6"/>
  <c r="Z103" i="6"/>
  <c r="H103" i="6"/>
  <c r="AC103" i="6"/>
  <c r="AH103" i="6"/>
  <c r="Y103" i="6"/>
  <c r="S32" i="5"/>
  <c r="S24" i="5" s="1"/>
  <c r="V49" i="6"/>
  <c r="I60" i="6" s="1"/>
  <c r="F56" i="5" s="1"/>
  <c r="AB214" i="6"/>
  <c r="I231" i="6" s="1"/>
  <c r="J62" i="5" s="1"/>
  <c r="V5" i="5"/>
  <c r="AN131" i="4"/>
  <c r="AF132" i="4"/>
  <c r="I153" i="4" s="1"/>
  <c r="R4" i="2"/>
  <c r="AG4" i="2"/>
  <c r="Q6" i="2"/>
  <c r="BN4" i="1"/>
  <c r="AE91" i="1" s="1"/>
  <c r="BN23" i="1"/>
  <c r="AF4" i="1"/>
  <c r="AG3" i="1"/>
  <c r="BO22" i="1"/>
  <c r="CV3" i="1"/>
  <c r="CV4" i="1" s="1"/>
  <c r="AQ88" i="6"/>
  <c r="X172" i="4"/>
  <c r="AF171" i="4"/>
  <c r="Q171" i="4"/>
  <c r="P173" i="4"/>
  <c r="X4" i="6"/>
  <c r="AM4" i="6"/>
  <c r="I95" i="2"/>
  <c r="CQ18" i="1"/>
  <c r="BC59" i="5"/>
  <c r="AK170" i="2"/>
  <c r="I229" i="4"/>
  <c r="AP170" i="4"/>
  <c r="AP173" i="4" s="1"/>
  <c r="I204" i="4" s="1"/>
  <c r="AO173" i="4"/>
  <c r="I203" i="4" s="1"/>
  <c r="T99" i="1"/>
  <c r="T97" i="1"/>
  <c r="T95" i="1"/>
  <c r="T93" i="1"/>
  <c r="T103" i="1"/>
  <c r="AE89" i="6"/>
  <c r="P89" i="6"/>
  <c r="W90" i="6"/>
  <c r="AB99" i="1"/>
  <c r="AB97" i="1"/>
  <c r="AB95" i="1"/>
  <c r="AB103" i="1"/>
  <c r="CR40" i="1"/>
  <c r="AB93" i="1"/>
  <c r="AK172" i="4"/>
  <c r="AC173" i="4"/>
  <c r="I191" i="4" s="1"/>
  <c r="AJ171" i="6"/>
  <c r="U171" i="6"/>
  <c r="R130" i="6"/>
  <c r="AG130" i="6"/>
  <c r="Q132" i="6"/>
  <c r="R130" i="4"/>
  <c r="Q132" i="4"/>
  <c r="AG130" i="4"/>
  <c r="AG132" i="4" s="1"/>
  <c r="I154" i="4" s="1"/>
  <c r="AM253" i="6"/>
  <c r="X253" i="6"/>
  <c r="AL90" i="4"/>
  <c r="AD91" i="4"/>
  <c r="I110" i="4" s="1"/>
  <c r="AP88" i="6"/>
  <c r="AP91" i="6" s="1"/>
  <c r="I122" i="6" s="1"/>
  <c r="G76" i="5" s="1"/>
  <c r="AO91" i="6"/>
  <c r="I121" i="6" s="1"/>
  <c r="G75" i="5" s="1"/>
  <c r="AG170" i="6"/>
  <c r="Z49" i="2"/>
  <c r="I64" i="2" s="1"/>
  <c r="AA46" i="2"/>
  <c r="AE47" i="2"/>
  <c r="P47" i="2"/>
  <c r="W48" i="2"/>
  <c r="O49" i="2"/>
  <c r="I53" i="2" s="1"/>
  <c r="V99" i="1"/>
  <c r="V103" i="1"/>
  <c r="V95" i="1"/>
  <c r="V93" i="1"/>
  <c r="V97" i="1"/>
  <c r="CL40" i="1"/>
  <c r="AM172" i="6"/>
  <c r="O211" i="2"/>
  <c r="N214" i="2"/>
  <c r="M97" i="1"/>
  <c r="M93" i="1"/>
  <c r="M103" i="1"/>
  <c r="M95" i="1"/>
  <c r="M99" i="1"/>
  <c r="AK5" i="2"/>
  <c r="AM131" i="6"/>
  <c r="AH214" i="6"/>
  <c r="I237" i="6" s="1"/>
  <c r="J68" i="5" s="1"/>
  <c r="AI211" i="6"/>
  <c r="AM172" i="4"/>
  <c r="AE173" i="4"/>
  <c r="I193" i="4" s="1"/>
  <c r="T129" i="2"/>
  <c r="AO91" i="4"/>
  <c r="I121" i="4" s="1"/>
  <c r="AP88" i="4"/>
  <c r="AP91" i="4" s="1"/>
  <c r="I122" i="4" s="1"/>
  <c r="AE93" i="1"/>
  <c r="CU40" i="1"/>
  <c r="AL131" i="2"/>
  <c r="R97" i="1"/>
  <c r="R95" i="1"/>
  <c r="R103" i="1"/>
  <c r="R93" i="1"/>
  <c r="R99" i="1"/>
  <c r="Y99" i="1"/>
  <c r="Y103" i="1"/>
  <c r="Y95" i="1"/>
  <c r="Y97" i="1"/>
  <c r="CO40" i="1"/>
  <c r="Y93" i="1"/>
  <c r="AL172" i="4"/>
  <c r="AD173" i="4"/>
  <c r="I192" i="4" s="1"/>
  <c r="I259" i="4"/>
  <c r="P89" i="4"/>
  <c r="AE89" i="4"/>
  <c r="W90" i="4"/>
  <c r="O91" i="4"/>
  <c r="AN47" i="6"/>
  <c r="X49" i="6"/>
  <c r="I62" i="6" s="1"/>
  <c r="F58" i="5" s="1"/>
  <c r="AK252" i="6"/>
  <c r="AJ255" i="6"/>
  <c r="I280" i="6" s="1"/>
  <c r="K70" i="5" s="1"/>
  <c r="AL212" i="6"/>
  <c r="W212" i="6"/>
  <c r="V214" i="6"/>
  <c r="P91" i="2"/>
  <c r="I96" i="2" s="1"/>
  <c r="Q88" i="2"/>
  <c r="AA252" i="4"/>
  <c r="Z255" i="4"/>
  <c r="I270" i="4" s="1"/>
  <c r="AB211" i="4"/>
  <c r="AA214" i="4"/>
  <c r="I230" i="4" s="1"/>
  <c r="AQ170" i="4"/>
  <c r="S67" i="5" l="1"/>
  <c r="Y214" i="6"/>
  <c r="I228" i="6" s="1"/>
  <c r="J59" i="5" s="1"/>
  <c r="R24" i="5"/>
  <c r="S65" i="5"/>
  <c r="R26" i="5"/>
  <c r="CH20" i="1"/>
  <c r="Y255" i="6"/>
  <c r="I269" i="6" s="1"/>
  <c r="K59" i="5" s="1"/>
  <c r="S214" i="6"/>
  <c r="I222" i="6" s="1"/>
  <c r="J53" i="5" s="1"/>
  <c r="BA23" i="5"/>
  <c r="BA22" i="5"/>
  <c r="AZ76" i="5"/>
  <c r="BA48" i="5"/>
  <c r="AZ50" i="5"/>
  <c r="CN7" i="1"/>
  <c r="AZ64" i="5"/>
  <c r="CO8" i="1"/>
  <c r="CN34" i="1"/>
  <c r="AX59" i="5"/>
  <c r="CL8" i="1"/>
  <c r="CL24" i="1"/>
  <c r="AZ59" i="5"/>
  <c r="CN19" i="1"/>
  <c r="CN22" i="1"/>
  <c r="CM7" i="1"/>
  <c r="AZ9" i="5"/>
  <c r="CG9" i="1"/>
  <c r="V5" i="4"/>
  <c r="O4" i="4"/>
  <c r="AD4" i="4"/>
  <c r="N6" i="4"/>
  <c r="BC51" i="5"/>
  <c r="CQ10" i="1"/>
  <c r="AF47" i="4"/>
  <c r="X48" i="4"/>
  <c r="Q47" i="4"/>
  <c r="P171" i="2"/>
  <c r="W172" i="2"/>
  <c r="AE171" i="2"/>
  <c r="O173" i="2"/>
  <c r="I177" i="2" s="1"/>
  <c r="CQ17" i="1"/>
  <c r="BC58" i="5"/>
  <c r="AB6" i="4"/>
  <c r="H256" i="6"/>
  <c r="Y6" i="4"/>
  <c r="CQ11" i="1"/>
  <c r="BC52" i="5"/>
  <c r="CQ14" i="1"/>
  <c r="BC55" i="5"/>
  <c r="CQ13" i="1"/>
  <c r="BC54" i="5"/>
  <c r="BC57" i="5"/>
  <c r="CQ16" i="1"/>
  <c r="CQ15" i="1"/>
  <c r="BC56" i="5"/>
  <c r="AA255" i="6"/>
  <c r="I271" i="6" s="1"/>
  <c r="K61" i="5" s="1"/>
  <c r="AA6" i="4"/>
  <c r="P49" i="4"/>
  <c r="I54" i="4" s="1"/>
  <c r="X90" i="2"/>
  <c r="Q89" i="2"/>
  <c r="AF89" i="2"/>
  <c r="AN90" i="2" s="1"/>
  <c r="AF130" i="2"/>
  <c r="AN131" i="2" s="1"/>
  <c r="Q130" i="2"/>
  <c r="X131" i="2"/>
  <c r="BC53" i="5"/>
  <c r="CQ12" i="1"/>
  <c r="Y132" i="6"/>
  <c r="I146" i="6" s="1"/>
  <c r="H59" i="5" s="1"/>
  <c r="AB91" i="6"/>
  <c r="I108" i="6" s="1"/>
  <c r="G62" i="5" s="1"/>
  <c r="Y6" i="2"/>
  <c r="Z253" i="2"/>
  <c r="Q252" i="2"/>
  <c r="P255" i="2"/>
  <c r="I260" i="2" s="1"/>
  <c r="AQ3" i="4"/>
  <c r="CN24" i="1"/>
  <c r="BA61" i="5"/>
  <c r="CN21" i="1"/>
  <c r="AX48" i="5"/>
  <c r="AX62" i="5"/>
  <c r="CL19" i="1"/>
  <c r="AX64" i="5"/>
  <c r="CO21" i="1"/>
  <c r="AD6" i="2"/>
  <c r="AP3" i="2"/>
  <c r="AP6" i="2" s="1"/>
  <c r="AO6" i="2"/>
  <c r="AC6" i="2"/>
  <c r="AE6" i="2"/>
  <c r="AG6" i="2"/>
  <c r="AA6" i="2"/>
  <c r="AF6" i="2"/>
  <c r="Z6" i="2"/>
  <c r="AB6" i="2"/>
  <c r="CO18" i="1"/>
  <c r="CH18" i="1"/>
  <c r="AX61" i="5"/>
  <c r="CE18" i="1"/>
  <c r="CO19" i="1"/>
  <c r="BA60" i="5"/>
  <c r="AE132" i="6"/>
  <c r="I152" i="6" s="1"/>
  <c r="H65" i="5" s="1"/>
  <c r="Q24" i="5"/>
  <c r="AN49" i="6"/>
  <c r="I78" i="6" s="1"/>
  <c r="F74" i="5" s="1"/>
  <c r="F46" i="5" s="1"/>
  <c r="CL22" i="1"/>
  <c r="AX63" i="5"/>
  <c r="AZ61" i="5"/>
  <c r="CN20" i="1"/>
  <c r="CM21" i="1"/>
  <c r="AY62" i="5"/>
  <c r="AY63" i="5"/>
  <c r="CM22" i="1"/>
  <c r="CM20" i="1"/>
  <c r="AY61" i="5"/>
  <c r="AY60" i="5"/>
  <c r="CM19" i="1"/>
  <c r="AY59" i="5"/>
  <c r="CM18" i="1"/>
  <c r="T67" i="5"/>
  <c r="Z132" i="6"/>
  <c r="I147" i="6" s="1"/>
  <c r="H60" i="5" s="1"/>
  <c r="AC132" i="6"/>
  <c r="I150" i="6" s="1"/>
  <c r="H63" i="5" s="1"/>
  <c r="S25" i="5"/>
  <c r="R66" i="5"/>
  <c r="Q26" i="5"/>
  <c r="Q65" i="5"/>
  <c r="Q67" i="5"/>
  <c r="Q66" i="5"/>
  <c r="CH19" i="1"/>
  <c r="BA19" i="5"/>
  <c r="CH21" i="1"/>
  <c r="BA21" i="5"/>
  <c r="AY7" i="5"/>
  <c r="CF7" i="1"/>
  <c r="V73" i="5"/>
  <c r="V65" i="5" s="1"/>
  <c r="AE255" i="6"/>
  <c r="I275" i="6" s="1"/>
  <c r="K65" i="5" s="1"/>
  <c r="R255" i="6"/>
  <c r="I262" i="6" s="1"/>
  <c r="K52" i="5" s="1"/>
  <c r="AG132" i="6"/>
  <c r="I154" i="6" s="1"/>
  <c r="H67" i="5" s="1"/>
  <c r="Q255" i="6"/>
  <c r="I261" i="6" s="1"/>
  <c r="K51" i="5" s="1"/>
  <c r="T65" i="5"/>
  <c r="V255" i="6"/>
  <c r="I266" i="6" s="1"/>
  <c r="K56" i="5" s="1"/>
  <c r="Z255" i="6"/>
  <c r="I270" i="6" s="1"/>
  <c r="K60" i="5" s="1"/>
  <c r="S255" i="6"/>
  <c r="I263" i="6" s="1"/>
  <c r="K53" i="5" s="1"/>
  <c r="AB255" i="6"/>
  <c r="I272" i="6" s="1"/>
  <c r="K62" i="5" s="1"/>
  <c r="T26" i="5"/>
  <c r="T24" i="5"/>
  <c r="S26" i="5"/>
  <c r="H133" i="6"/>
  <c r="AA132" i="6"/>
  <c r="I148" i="6" s="1"/>
  <c r="H61" i="5" s="1"/>
  <c r="AB132" i="6"/>
  <c r="I149" i="6" s="1"/>
  <c r="H62" i="5" s="1"/>
  <c r="AC91" i="6"/>
  <c r="I109" i="6" s="1"/>
  <c r="G63" i="5" s="1"/>
  <c r="Z91" i="6"/>
  <c r="I106" i="6" s="1"/>
  <c r="G60" i="5" s="1"/>
  <c r="Y91" i="6"/>
  <c r="I105" i="6" s="1"/>
  <c r="G59" i="5" s="1"/>
  <c r="R65" i="5"/>
  <c r="AD132" i="6"/>
  <c r="I151" i="6" s="1"/>
  <c r="H64" i="5" s="1"/>
  <c r="U65" i="5"/>
  <c r="U67" i="5"/>
  <c r="U66" i="5"/>
  <c r="AF132" i="6"/>
  <c r="I153" i="6" s="1"/>
  <c r="H66" i="5" s="1"/>
  <c r="AD255" i="6"/>
  <c r="I274" i="6" s="1"/>
  <c r="K64" i="5" s="1"/>
  <c r="H92" i="6"/>
  <c r="AA91" i="6"/>
  <c r="I107" i="6" s="1"/>
  <c r="G61" i="5" s="1"/>
  <c r="I95" i="4"/>
  <c r="BC49" i="5"/>
  <c r="CQ8" i="1"/>
  <c r="AB214" i="4"/>
  <c r="I231" i="4" s="1"/>
  <c r="AC211" i="4"/>
  <c r="AB252" i="4"/>
  <c r="AA255" i="4"/>
  <c r="I271" i="4" s="1"/>
  <c r="AY9" i="5"/>
  <c r="CF9" i="1"/>
  <c r="X212" i="6"/>
  <c r="AM212" i="6"/>
  <c r="W214" i="6"/>
  <c r="I226" i="6" s="1"/>
  <c r="J57" i="5" s="1"/>
  <c r="AM90" i="4"/>
  <c r="AE91" i="4"/>
  <c r="I111" i="4" s="1"/>
  <c r="CE7" i="1"/>
  <c r="AX7" i="5"/>
  <c r="AN253" i="6"/>
  <c r="X255" i="6"/>
  <c r="I268" i="6" s="1"/>
  <c r="K58" i="5" s="1"/>
  <c r="S130" i="4"/>
  <c r="R132" i="4"/>
  <c r="I139" i="4" s="1"/>
  <c r="AH130" i="4"/>
  <c r="AH132" i="4" s="1"/>
  <c r="I155" i="4" s="1"/>
  <c r="I182" i="6"/>
  <c r="I54" i="5" s="1"/>
  <c r="AN172" i="4"/>
  <c r="AF173" i="4"/>
  <c r="I194" i="4" s="1"/>
  <c r="CN25" i="1"/>
  <c r="AZ66" i="5"/>
  <c r="BC60" i="5"/>
  <c r="CQ19" i="1"/>
  <c r="R88" i="2"/>
  <c r="Q91" i="2"/>
  <c r="I97" i="2" s="1"/>
  <c r="X90" i="4"/>
  <c r="Q89" i="4"/>
  <c r="AF89" i="4"/>
  <c r="P91" i="4"/>
  <c r="I96" i="4" s="1"/>
  <c r="CM35" i="1"/>
  <c r="AY76" i="5"/>
  <c r="U129" i="2"/>
  <c r="AJ211" i="6"/>
  <c r="AI214" i="6"/>
  <c r="I238" i="6" s="1"/>
  <c r="J69" i="5" s="1"/>
  <c r="I217" i="2"/>
  <c r="X48" i="2"/>
  <c r="AF47" i="2"/>
  <c r="P49" i="2"/>
  <c r="Q47" i="2"/>
  <c r="AA49" i="2"/>
  <c r="I65" i="2" s="1"/>
  <c r="AB46" i="2"/>
  <c r="CM23" i="1"/>
  <c r="AY64" i="5"/>
  <c r="I138" i="6"/>
  <c r="H51" i="5" s="1"/>
  <c r="AK171" i="6"/>
  <c r="V171" i="6"/>
  <c r="U173" i="6"/>
  <c r="I183" i="6" s="1"/>
  <c r="I55" i="5" s="1"/>
  <c r="X90" i="6"/>
  <c r="Q89" i="6"/>
  <c r="AF89" i="6"/>
  <c r="P91" i="6"/>
  <c r="I96" i="6" s="1"/>
  <c r="G50" i="5" s="1"/>
  <c r="AN4" i="6"/>
  <c r="AG4" i="1"/>
  <c r="CW3" i="1"/>
  <c r="CW4" i="1" s="1"/>
  <c r="AH3" i="1"/>
  <c r="BP22" i="1"/>
  <c r="AY75" i="5"/>
  <c r="CM34" i="1"/>
  <c r="CO24" i="1"/>
  <c r="BA65" i="5"/>
  <c r="P211" i="2"/>
  <c r="O214" i="2"/>
  <c r="I218" i="2" s="1"/>
  <c r="AM48" i="2"/>
  <c r="CE19" i="1"/>
  <c r="AX19" i="5"/>
  <c r="AH170" i="6"/>
  <c r="AG173" i="6"/>
  <c r="I195" i="6" s="1"/>
  <c r="I67" i="5" s="1"/>
  <c r="CN26" i="1"/>
  <c r="AZ67" i="5"/>
  <c r="AM90" i="6"/>
  <c r="AE91" i="6"/>
  <c r="I111" i="6" s="1"/>
  <c r="G65" i="5" s="1"/>
  <c r="BA75" i="5"/>
  <c r="CO34" i="1"/>
  <c r="AL170" i="2"/>
  <c r="I178" i="4"/>
  <c r="BO4" i="1"/>
  <c r="AF91" i="1" s="1"/>
  <c r="BO23" i="1"/>
  <c r="BB61" i="5"/>
  <c r="CP20" i="1"/>
  <c r="BA64" i="5"/>
  <c r="CO23" i="1"/>
  <c r="I225" i="6"/>
  <c r="J56" i="5" s="1"/>
  <c r="AL252" i="6"/>
  <c r="AK255" i="6"/>
  <c r="I281" i="6" s="1"/>
  <c r="K71" i="5" s="1"/>
  <c r="AX8" i="5"/>
  <c r="CE8" i="1"/>
  <c r="I267" i="6"/>
  <c r="K57" i="5" s="1"/>
  <c r="I138" i="4"/>
  <c r="S130" i="6"/>
  <c r="AH130" i="6"/>
  <c r="AH132" i="6" s="1"/>
  <c r="I155" i="6" s="1"/>
  <c r="H68" i="5" s="1"/>
  <c r="R132" i="6"/>
  <c r="I139" i="6" s="1"/>
  <c r="H52" i="5" s="1"/>
  <c r="CO22" i="1"/>
  <c r="BA63" i="5"/>
  <c r="I95" i="6"/>
  <c r="G49" i="5" s="1"/>
  <c r="BA76" i="5"/>
  <c r="CO35" i="1"/>
  <c r="BB60" i="5"/>
  <c r="CP19" i="1"/>
  <c r="CF8" i="1"/>
  <c r="AY8" i="5"/>
  <c r="R171" i="4"/>
  <c r="AG171" i="4"/>
  <c r="AG173" i="4" s="1"/>
  <c r="I195" i="4" s="1"/>
  <c r="Q173" i="4"/>
  <c r="I179" i="4" s="1"/>
  <c r="AH4" i="2"/>
  <c r="AH6" i="2" s="1"/>
  <c r="S4" i="2"/>
  <c r="R6" i="2"/>
  <c r="AQ88" i="4"/>
  <c r="Q171" i="2" l="1"/>
  <c r="AF171" i="2"/>
  <c r="X172" i="2"/>
  <c r="P173" i="2"/>
  <c r="I178" i="2" s="1"/>
  <c r="W5" i="4"/>
  <c r="P4" i="4"/>
  <c r="AE4" i="4"/>
  <c r="O6" i="4"/>
  <c r="R252" i="2"/>
  <c r="Q255" i="2"/>
  <c r="AG89" i="2"/>
  <c r="R89" i="2"/>
  <c r="CH8" i="1"/>
  <c r="BA8" i="5"/>
  <c r="Q49" i="4"/>
  <c r="I55" i="4" s="1"/>
  <c r="CL10" i="1" s="1"/>
  <c r="AG47" i="4"/>
  <c r="AG49" i="4" s="1"/>
  <c r="I71" i="4" s="1"/>
  <c r="R47" i="4"/>
  <c r="AG130" i="2"/>
  <c r="R130" i="2"/>
  <c r="Q132" i="2"/>
  <c r="I138" i="2" s="1"/>
  <c r="AM172" i="2"/>
  <c r="AE173" i="2"/>
  <c r="I193" i="2" s="1"/>
  <c r="CJ9" i="1"/>
  <c r="BC9" i="5"/>
  <c r="AA253" i="2"/>
  <c r="CL9" i="1"/>
  <c r="AX50" i="5"/>
  <c r="AN48" i="4"/>
  <c r="AF49" i="4"/>
  <c r="I70" i="4" s="1"/>
  <c r="AL5" i="4"/>
  <c r="AD6" i="4"/>
  <c r="AQ3" i="2"/>
  <c r="F78" i="5"/>
  <c r="K49" i="6"/>
  <c r="V67" i="5"/>
  <c r="V66" i="5"/>
  <c r="CO26" i="1"/>
  <c r="BA67" i="5"/>
  <c r="AI4" i="2"/>
  <c r="AI6" i="2" s="1"/>
  <c r="T4" i="2"/>
  <c r="S6" i="2"/>
  <c r="BA51" i="5"/>
  <c r="CO10" i="1"/>
  <c r="CN10" i="1"/>
  <c r="AZ51" i="5"/>
  <c r="BB8" i="5"/>
  <c r="CI8" i="1"/>
  <c r="CX3" i="1"/>
  <c r="CX4" i="1" s="1"/>
  <c r="AH4" i="1"/>
  <c r="AI3" i="1"/>
  <c r="BQ22" i="1"/>
  <c r="AB49" i="2"/>
  <c r="I66" i="2" s="1"/>
  <c r="AC46" i="2"/>
  <c r="AN48" i="2"/>
  <c r="AK211" i="6"/>
  <c r="AJ214" i="6"/>
  <c r="I239" i="6" s="1"/>
  <c r="J70" i="5" s="1"/>
  <c r="AZ52" i="5"/>
  <c r="CN11" i="1"/>
  <c r="AD211" i="4"/>
  <c r="AC214" i="4"/>
  <c r="P214" i="2"/>
  <c r="I219" i="2" s="1"/>
  <c r="Q211" i="2"/>
  <c r="AN90" i="6"/>
  <c r="AF91" i="6"/>
  <c r="I112" i="6" s="1"/>
  <c r="G66" i="5" s="1"/>
  <c r="AL171" i="6"/>
  <c r="W171" i="6"/>
  <c r="V173" i="6"/>
  <c r="I184" i="6" s="1"/>
  <c r="I56" i="5" s="1"/>
  <c r="CE20" i="1"/>
  <c r="AX20" i="5"/>
  <c r="AY50" i="5"/>
  <c r="CM9" i="1"/>
  <c r="BA66" i="5"/>
  <c r="CO25" i="1"/>
  <c r="AI130" i="4"/>
  <c r="AI132" i="4" s="1"/>
  <c r="I156" i="4" s="1"/>
  <c r="T130" i="4"/>
  <c r="S132" i="4"/>
  <c r="CQ20" i="1"/>
  <c r="BC61" i="5"/>
  <c r="BB62" i="5"/>
  <c r="CP21" i="1"/>
  <c r="AY49" i="5"/>
  <c r="CM8" i="1"/>
  <c r="AH171" i="4"/>
  <c r="AH173" i="4" s="1"/>
  <c r="I196" i="4" s="1"/>
  <c r="S171" i="4"/>
  <c r="R173" i="4"/>
  <c r="I180" i="4" s="1"/>
  <c r="BP23" i="1"/>
  <c r="BP4" i="1"/>
  <c r="AG91" i="1" s="1"/>
  <c r="AG89" i="6"/>
  <c r="AG91" i="6" s="1"/>
  <c r="I113" i="6" s="1"/>
  <c r="G67" i="5" s="1"/>
  <c r="R89" i="6"/>
  <c r="Q91" i="6"/>
  <c r="AG47" i="2"/>
  <c r="R47" i="2"/>
  <c r="Q49" i="2"/>
  <c r="I55" i="2" s="1"/>
  <c r="V129" i="2"/>
  <c r="AN90" i="4"/>
  <c r="AF91" i="4"/>
  <c r="I112" i="4" s="1"/>
  <c r="CF10" i="1"/>
  <c r="AY10" i="5"/>
  <c r="AY65" i="5"/>
  <c r="CM24" i="1"/>
  <c r="AN212" i="6"/>
  <c r="X214" i="6"/>
  <c r="AC252" i="4"/>
  <c r="AB255" i="4"/>
  <c r="AI130" i="6"/>
  <c r="AI132" i="6" s="1"/>
  <c r="I156" i="6" s="1"/>
  <c r="H69" i="5" s="1"/>
  <c r="T130" i="6"/>
  <c r="S132" i="6"/>
  <c r="I140" i="6" s="1"/>
  <c r="H53" i="5" s="1"/>
  <c r="AL255" i="6"/>
  <c r="AM252" i="6"/>
  <c r="CO9" i="1"/>
  <c r="BA50" i="5"/>
  <c r="AI170" i="6"/>
  <c r="AH173" i="6"/>
  <c r="I196" i="6" s="1"/>
  <c r="I68" i="5" s="1"/>
  <c r="AM170" i="2"/>
  <c r="I54" i="2"/>
  <c r="BB7" i="5"/>
  <c r="CI7" i="1"/>
  <c r="R89" i="4"/>
  <c r="Q91" i="4"/>
  <c r="I97" i="4" s="1"/>
  <c r="AG89" i="4"/>
  <c r="AG91" i="4" s="1"/>
  <c r="I113" i="4" s="1"/>
  <c r="S88" i="2"/>
  <c r="R91" i="2"/>
  <c r="AZ68" i="5"/>
  <c r="CN27" i="1"/>
  <c r="AX51" i="5" l="1"/>
  <c r="BA9" i="5"/>
  <c r="CH9" i="1"/>
  <c r="AX66" i="5"/>
  <c r="CL25" i="1"/>
  <c r="BA24" i="5"/>
  <c r="CH24" i="1"/>
  <c r="AM5" i="4"/>
  <c r="AE6" i="4"/>
  <c r="AB253" i="2"/>
  <c r="R49" i="4"/>
  <c r="I56" i="4" s="1"/>
  <c r="AH47" i="4"/>
  <c r="AH49" i="4" s="1"/>
  <c r="I72" i="4" s="1"/>
  <c r="S47" i="4"/>
  <c r="I261" i="2"/>
  <c r="AF4" i="4"/>
  <c r="Q4" i="4"/>
  <c r="X5" i="4"/>
  <c r="P6" i="4"/>
  <c r="AN172" i="2"/>
  <c r="AF173" i="2"/>
  <c r="I194" i="2" s="1"/>
  <c r="AH130" i="2"/>
  <c r="S130" i="2"/>
  <c r="R132" i="2"/>
  <c r="I139" i="2" s="1"/>
  <c r="CG10" i="1"/>
  <c r="AZ10" i="5"/>
  <c r="AX67" i="5"/>
  <c r="CL26" i="1"/>
  <c r="S89" i="2"/>
  <c r="AH89" i="2"/>
  <c r="S252" i="2"/>
  <c r="R255" i="2"/>
  <c r="I262" i="2" s="1"/>
  <c r="R171" i="2"/>
  <c r="AG171" i="2"/>
  <c r="AG173" i="2" s="1"/>
  <c r="I195" i="2" s="1"/>
  <c r="Q173" i="2"/>
  <c r="I179" i="2" s="1"/>
  <c r="AJ170" i="6"/>
  <c r="AI173" i="6"/>
  <c r="I197" i="6" s="1"/>
  <c r="I69" i="5" s="1"/>
  <c r="U130" i="6"/>
  <c r="AJ130" i="6"/>
  <c r="AJ132" i="6" s="1"/>
  <c r="I157" i="6" s="1"/>
  <c r="H70" i="5" s="1"/>
  <c r="T132" i="6"/>
  <c r="I141" i="6" s="1"/>
  <c r="H54" i="5" s="1"/>
  <c r="CM10" i="1"/>
  <c r="AY51" i="5"/>
  <c r="CE9" i="1"/>
  <c r="AX9" i="5"/>
  <c r="AN252" i="6"/>
  <c r="AM255" i="6"/>
  <c r="I283" i="6" s="1"/>
  <c r="K73" i="5" s="1"/>
  <c r="AD252" i="4"/>
  <c r="AC255" i="4"/>
  <c r="I273" i="4" s="1"/>
  <c r="AH47" i="2"/>
  <c r="S47" i="2"/>
  <c r="R49" i="2"/>
  <c r="S89" i="6"/>
  <c r="AH89" i="6"/>
  <c r="AH91" i="6" s="1"/>
  <c r="I114" i="6" s="1"/>
  <c r="G68" i="5" s="1"/>
  <c r="R91" i="6"/>
  <c r="I98" i="6" s="1"/>
  <c r="G52" i="5" s="1"/>
  <c r="CO11" i="1"/>
  <c r="BA52" i="5"/>
  <c r="U130" i="4"/>
  <c r="AJ130" i="4"/>
  <c r="AJ132" i="4" s="1"/>
  <c r="I157" i="4" s="1"/>
  <c r="T132" i="4"/>
  <c r="I141" i="4" s="1"/>
  <c r="X171" i="6"/>
  <c r="AM171" i="6"/>
  <c r="W173" i="6"/>
  <c r="BB9" i="5"/>
  <c r="CI9" i="1"/>
  <c r="T88" i="2"/>
  <c r="S91" i="2"/>
  <c r="I99" i="2" s="1"/>
  <c r="I272" i="4"/>
  <c r="I98" i="2"/>
  <c r="AH89" i="4"/>
  <c r="AH91" i="4" s="1"/>
  <c r="I114" i="4" s="1"/>
  <c r="S89" i="4"/>
  <c r="R91" i="4"/>
  <c r="I98" i="4" s="1"/>
  <c r="AN170" i="2"/>
  <c r="I282" i="6"/>
  <c r="K72" i="5" s="1"/>
  <c r="I227" i="6"/>
  <c r="J58" i="5" s="1"/>
  <c r="W129" i="2"/>
  <c r="T171" i="4"/>
  <c r="AI171" i="4"/>
  <c r="AI173" i="4" s="1"/>
  <c r="I197" i="4" s="1"/>
  <c r="S173" i="4"/>
  <c r="AZ69" i="5"/>
  <c r="CN28" i="1"/>
  <c r="AI41" i="1"/>
  <c r="AI90" i="1" s="1"/>
  <c r="AI4" i="1"/>
  <c r="AI109" i="1"/>
  <c r="AI110" i="1" s="1"/>
  <c r="AI71" i="1"/>
  <c r="AJ4" i="2"/>
  <c r="AJ6" i="2" s="1"/>
  <c r="U4" i="2"/>
  <c r="T6" i="2"/>
  <c r="CO27" i="1"/>
  <c r="BA68" i="5"/>
  <c r="I232" i="4"/>
  <c r="AC49" i="2"/>
  <c r="I67" i="2" s="1"/>
  <c r="AD46" i="2"/>
  <c r="BQ4" i="1"/>
  <c r="AH91" i="1" s="1"/>
  <c r="BQ23" i="1"/>
  <c r="CM26" i="1"/>
  <c r="AY67" i="5"/>
  <c r="AY66" i="5"/>
  <c r="CM25" i="1"/>
  <c r="CE10" i="1"/>
  <c r="AX10" i="5"/>
  <c r="I97" i="6"/>
  <c r="G51" i="5" s="1"/>
  <c r="I140" i="4"/>
  <c r="R211" i="2"/>
  <c r="Q214" i="2"/>
  <c r="AE211" i="4"/>
  <c r="AD214" i="4"/>
  <c r="I233" i="4" s="1"/>
  <c r="AL211" i="6"/>
  <c r="AK214" i="6"/>
  <c r="I240" i="6" s="1"/>
  <c r="J71" i="5" s="1"/>
  <c r="CE21" i="1"/>
  <c r="AX21" i="5"/>
  <c r="CH10" i="1" l="1"/>
  <c r="BA10" i="5"/>
  <c r="T252" i="2"/>
  <c r="S255" i="2"/>
  <c r="I263" i="2" s="1"/>
  <c r="T130" i="2"/>
  <c r="AI130" i="2"/>
  <c r="S132" i="2"/>
  <c r="I140" i="2" s="1"/>
  <c r="AX52" i="5"/>
  <c r="CL11" i="1"/>
  <c r="BA26" i="5"/>
  <c r="CH26" i="1"/>
  <c r="BC10" i="5"/>
  <c r="CJ10" i="1"/>
  <c r="AC253" i="2"/>
  <c r="AH171" i="2"/>
  <c r="AH173" i="2" s="1"/>
  <c r="I196" i="2" s="1"/>
  <c r="S171" i="2"/>
  <c r="R173" i="2"/>
  <c r="I180" i="2" s="1"/>
  <c r="T89" i="2"/>
  <c r="AI89" i="2"/>
  <c r="BA25" i="5"/>
  <c r="CH25" i="1"/>
  <c r="R4" i="4"/>
  <c r="AG4" i="4"/>
  <c r="AG6" i="4" s="1"/>
  <c r="Q6" i="4"/>
  <c r="S49" i="4"/>
  <c r="I57" i="4" s="1"/>
  <c r="AI47" i="4"/>
  <c r="AI49" i="4" s="1"/>
  <c r="I73" i="4" s="1"/>
  <c r="T47" i="4"/>
  <c r="CJ11" i="1"/>
  <c r="BC11" i="5"/>
  <c r="CG11" i="1"/>
  <c r="AZ11" i="5"/>
  <c r="AN5" i="4"/>
  <c r="AF6" i="4"/>
  <c r="AX68" i="5"/>
  <c r="CL27" i="1"/>
  <c r="S211" i="2"/>
  <c r="R214" i="2"/>
  <c r="I221" i="2" s="1"/>
  <c r="AY12" i="5"/>
  <c r="CF12" i="1"/>
  <c r="CN13" i="1"/>
  <c r="AZ54" i="5"/>
  <c r="T89" i="6"/>
  <c r="AI89" i="6"/>
  <c r="AI91" i="6" s="1"/>
  <c r="I115" i="6" s="1"/>
  <c r="G69" i="5" s="1"/>
  <c r="S91" i="6"/>
  <c r="BB63" i="5"/>
  <c r="CP22" i="1"/>
  <c r="AI72" i="1"/>
  <c r="AI42" i="1"/>
  <c r="AI91" i="1" s="1"/>
  <c r="I181" i="4"/>
  <c r="AY52" i="5"/>
  <c r="CM11" i="1"/>
  <c r="CF11" i="1"/>
  <c r="AY11" i="5"/>
  <c r="U88" i="2"/>
  <c r="I185" i="6"/>
  <c r="I57" i="5" s="1"/>
  <c r="AZ70" i="5"/>
  <c r="CN29" i="1"/>
  <c r="I56" i="2"/>
  <c r="AK130" i="6"/>
  <c r="AK132" i="6" s="1"/>
  <c r="I158" i="6" s="1"/>
  <c r="H71" i="5" s="1"/>
  <c r="V130" i="6"/>
  <c r="U132" i="6"/>
  <c r="BB64" i="5"/>
  <c r="CP23" i="1"/>
  <c r="AF211" i="4"/>
  <c r="AE214" i="4"/>
  <c r="I234" i="4" s="1"/>
  <c r="AE46" i="2"/>
  <c r="AD49" i="2"/>
  <c r="I68" i="2" s="1"/>
  <c r="BA69" i="5"/>
  <c r="CO28" i="1"/>
  <c r="X129" i="2"/>
  <c r="AO170" i="2"/>
  <c r="T89" i="4"/>
  <c r="AI89" i="4"/>
  <c r="AI91" i="4" s="1"/>
  <c r="I115" i="4" s="1"/>
  <c r="S91" i="4"/>
  <c r="AK130" i="4"/>
  <c r="AK132" i="4" s="1"/>
  <c r="I158" i="4" s="1"/>
  <c r="V130" i="4"/>
  <c r="U132" i="4"/>
  <c r="T47" i="2"/>
  <c r="AI47" i="2"/>
  <c r="S49" i="2"/>
  <c r="I57" i="2" s="1"/>
  <c r="CQ22" i="1"/>
  <c r="BC63" i="5"/>
  <c r="AM211" i="6"/>
  <c r="AL214" i="6"/>
  <c r="I241" i="6" s="1"/>
  <c r="J72" i="5" s="1"/>
  <c r="CN12" i="1"/>
  <c r="AZ53" i="5"/>
  <c r="I220" i="2"/>
  <c r="AX22" i="5"/>
  <c r="CE22" i="1"/>
  <c r="AK4" i="2"/>
  <c r="AK6" i="2" s="1"/>
  <c r="V4" i="2"/>
  <c r="U6" i="2"/>
  <c r="U171" i="4"/>
  <c r="AJ171" i="4"/>
  <c r="AJ173" i="4" s="1"/>
  <c r="I198" i="4" s="1"/>
  <c r="T173" i="4"/>
  <c r="I182" i="4" s="1"/>
  <c r="AY68" i="5"/>
  <c r="CM27" i="1"/>
  <c r="BC62" i="5"/>
  <c r="CQ21" i="1"/>
  <c r="AN171" i="6"/>
  <c r="X173" i="6"/>
  <c r="I186" i="6" s="1"/>
  <c r="I58" i="5" s="1"/>
  <c r="AE252" i="4"/>
  <c r="AD255" i="4"/>
  <c r="AO252" i="6"/>
  <c r="AN255" i="6"/>
  <c r="AK170" i="6"/>
  <c r="AJ173" i="6"/>
  <c r="I198" i="6" s="1"/>
  <c r="I70" i="5" s="1"/>
  <c r="BC12" i="5" l="1"/>
  <c r="CJ12" i="1"/>
  <c r="CL12" i="1"/>
  <c r="AX53" i="5"/>
  <c r="CH11" i="1"/>
  <c r="BA11" i="5"/>
  <c r="AD253" i="2"/>
  <c r="AZ12" i="5"/>
  <c r="CG12" i="1"/>
  <c r="U252" i="2"/>
  <c r="T255" i="2"/>
  <c r="R6" i="4"/>
  <c r="AH4" i="4"/>
  <c r="AH6" i="4" s="1"/>
  <c r="S4" i="4"/>
  <c r="AI171" i="2"/>
  <c r="AI173" i="2" s="1"/>
  <c r="I197" i="2" s="1"/>
  <c r="T171" i="2"/>
  <c r="S173" i="2"/>
  <c r="I181" i="2" s="1"/>
  <c r="CL28" i="1"/>
  <c r="AX69" i="5"/>
  <c r="U89" i="2"/>
  <c r="AJ89" i="2"/>
  <c r="T91" i="2"/>
  <c r="AJ47" i="4"/>
  <c r="AJ49" i="4" s="1"/>
  <c r="I74" i="4" s="1"/>
  <c r="T49" i="4"/>
  <c r="I58" i="4" s="1"/>
  <c r="U47" i="4"/>
  <c r="BA27" i="5"/>
  <c r="CH27" i="1"/>
  <c r="AJ130" i="2"/>
  <c r="U130" i="2"/>
  <c r="T132" i="2"/>
  <c r="I141" i="2" s="1"/>
  <c r="AL170" i="6"/>
  <c r="AK173" i="6"/>
  <c r="I199" i="6" s="1"/>
  <c r="I71" i="5" s="1"/>
  <c r="AO255" i="6"/>
  <c r="I285" i="6" s="1"/>
  <c r="K75" i="5" s="1"/>
  <c r="AP252" i="6"/>
  <c r="CO29" i="1"/>
  <c r="BA70" i="5"/>
  <c r="T49" i="2"/>
  <c r="I58" i="2" s="1"/>
  <c r="AJ47" i="2"/>
  <c r="U47" i="2"/>
  <c r="U89" i="4"/>
  <c r="AJ89" i="4"/>
  <c r="AJ91" i="4" s="1"/>
  <c r="I116" i="4" s="1"/>
  <c r="T91" i="4"/>
  <c r="I100" i="4" s="1"/>
  <c r="CE23" i="1"/>
  <c r="AX23" i="5"/>
  <c r="AG211" i="4"/>
  <c r="AF214" i="4"/>
  <c r="BB11" i="5"/>
  <c r="CI11" i="1"/>
  <c r="AK171" i="4"/>
  <c r="AK173" i="4" s="1"/>
  <c r="I199" i="4" s="1"/>
  <c r="V171" i="4"/>
  <c r="U173" i="4"/>
  <c r="I183" i="4" s="1"/>
  <c r="BB10" i="5"/>
  <c r="CI10" i="1"/>
  <c r="AN211" i="6"/>
  <c r="AM214" i="6"/>
  <c r="I142" i="4"/>
  <c r="AF46" i="2"/>
  <c r="AE49" i="2"/>
  <c r="I69" i="2" s="1"/>
  <c r="I142" i="6"/>
  <c r="H55" i="5" s="1"/>
  <c r="CO12" i="1"/>
  <c r="BA53" i="5"/>
  <c r="U89" i="6"/>
  <c r="AJ89" i="6"/>
  <c r="AJ91" i="6" s="1"/>
  <c r="I116" i="6" s="1"/>
  <c r="G70" i="5" s="1"/>
  <c r="T91" i="6"/>
  <c r="I100" i="6" s="1"/>
  <c r="G54" i="5" s="1"/>
  <c r="T211" i="2"/>
  <c r="S214" i="2"/>
  <c r="I274" i="4"/>
  <c r="CE12" i="1"/>
  <c r="AX12" i="5"/>
  <c r="W130" i="4"/>
  <c r="AL130" i="4"/>
  <c r="AL132" i="4" s="1"/>
  <c r="I159" i="4" s="1"/>
  <c r="V132" i="4"/>
  <c r="I143" i="4" s="1"/>
  <c r="I99" i="4"/>
  <c r="Y129" i="2"/>
  <c r="W130" i="6"/>
  <c r="AL130" i="6"/>
  <c r="AL132" i="6" s="1"/>
  <c r="I159" i="6" s="1"/>
  <c r="H72" i="5" s="1"/>
  <c r="V132" i="6"/>
  <c r="I143" i="6" s="1"/>
  <c r="H56" i="5" s="1"/>
  <c r="I100" i="2"/>
  <c r="I284" i="6"/>
  <c r="K74" i="5" s="1"/>
  <c r="AF252" i="4"/>
  <c r="AE255" i="4"/>
  <c r="I275" i="4" s="1"/>
  <c r="BA54" i="5"/>
  <c r="CO13" i="1"/>
  <c r="W4" i="2"/>
  <c r="AL4" i="2"/>
  <c r="AL6" i="2" s="1"/>
  <c r="V6" i="2"/>
  <c r="AZ71" i="5"/>
  <c r="CN30" i="1"/>
  <c r="CM28" i="1"/>
  <c r="AY69" i="5"/>
  <c r="AP170" i="2"/>
  <c r="AO173" i="2"/>
  <c r="I203" i="2" s="1"/>
  <c r="CP24" i="1"/>
  <c r="BB65" i="5"/>
  <c r="AX11" i="5"/>
  <c r="CE11" i="1"/>
  <c r="V88" i="2"/>
  <c r="U91" i="2"/>
  <c r="I101" i="2" s="1"/>
  <c r="I99" i="6"/>
  <c r="G53" i="5" s="1"/>
  <c r="BA28" i="5" l="1"/>
  <c r="CH28" i="1"/>
  <c r="I264" i="2"/>
  <c r="AE253" i="2"/>
  <c r="AZ13" i="5"/>
  <c r="CG13" i="1"/>
  <c r="T4" i="4"/>
  <c r="S6" i="4"/>
  <c r="AI4" i="4"/>
  <c r="AI6" i="4" s="1"/>
  <c r="V252" i="2"/>
  <c r="U255" i="2"/>
  <c r="I265" i="2" s="1"/>
  <c r="AK130" i="2"/>
  <c r="V130" i="2"/>
  <c r="U132" i="2"/>
  <c r="I142" i="2" s="1"/>
  <c r="V47" i="4"/>
  <c r="AK47" i="4"/>
  <c r="AK49" i="4" s="1"/>
  <c r="I75" i="4" s="1"/>
  <c r="U49" i="4"/>
  <c r="I59" i="4" s="1"/>
  <c r="AX55" i="5" s="1"/>
  <c r="CH12" i="1"/>
  <c r="BA12" i="5"/>
  <c r="CL29" i="1"/>
  <c r="AX70" i="5"/>
  <c r="AX54" i="5"/>
  <c r="CL13" i="1"/>
  <c r="AK89" i="2"/>
  <c r="V89" i="2"/>
  <c r="AJ171" i="2"/>
  <c r="AJ173" i="2" s="1"/>
  <c r="I198" i="2" s="1"/>
  <c r="U171" i="2"/>
  <c r="T173" i="2"/>
  <c r="I182" i="2" s="1"/>
  <c r="BA34" i="5"/>
  <c r="CH34" i="1"/>
  <c r="AG252" i="4"/>
  <c r="AF255" i="4"/>
  <c r="I276" i="4" s="1"/>
  <c r="AM130" i="4"/>
  <c r="AM132" i="4" s="1"/>
  <c r="I160" i="4" s="1"/>
  <c r="X130" i="4"/>
  <c r="W132" i="4"/>
  <c r="I144" i="4" s="1"/>
  <c r="AG46" i="2"/>
  <c r="AF49" i="2"/>
  <c r="I70" i="2" s="1"/>
  <c r="CN14" i="1"/>
  <c r="AZ55" i="5"/>
  <c r="CO30" i="1"/>
  <c r="BA71" i="5"/>
  <c r="CM13" i="1"/>
  <c r="AY54" i="5"/>
  <c r="CF14" i="1"/>
  <c r="AY14" i="5"/>
  <c r="AP173" i="2"/>
  <c r="AQ170" i="2"/>
  <c r="CM12" i="1"/>
  <c r="AY53" i="5"/>
  <c r="CQ23" i="1"/>
  <c r="BC64" i="5"/>
  <c r="AY70" i="5"/>
  <c r="CM29" i="1"/>
  <c r="CE13" i="1"/>
  <c r="AX13" i="5"/>
  <c r="AM170" i="6"/>
  <c r="AL173" i="6"/>
  <c r="I200" i="6" s="1"/>
  <c r="I72" i="5" s="1"/>
  <c r="W88" i="2"/>
  <c r="V91" i="2"/>
  <c r="I102" i="2" s="1"/>
  <c r="AY13" i="5"/>
  <c r="CF13" i="1"/>
  <c r="CN15" i="1"/>
  <c r="AZ56" i="5"/>
  <c r="I222" i="2"/>
  <c r="I242" i="6"/>
  <c r="J73" i="5" s="1"/>
  <c r="CO14" i="1"/>
  <c r="BA55" i="5"/>
  <c r="I235" i="4"/>
  <c r="V89" i="4"/>
  <c r="AK89" i="4"/>
  <c r="AK91" i="4" s="1"/>
  <c r="I117" i="4" s="1"/>
  <c r="U91" i="4"/>
  <c r="AP255" i="6"/>
  <c r="AQ252" i="6"/>
  <c r="X4" i="2"/>
  <c r="AM4" i="2"/>
  <c r="AM6" i="2" s="1"/>
  <c r="W6" i="2"/>
  <c r="CQ24" i="1"/>
  <c r="BC65" i="5"/>
  <c r="X130" i="6"/>
  <c r="AM130" i="6"/>
  <c r="AM132" i="6" s="1"/>
  <c r="I160" i="6" s="1"/>
  <c r="H73" i="5" s="1"/>
  <c r="W132" i="6"/>
  <c r="I144" i="6" s="1"/>
  <c r="H57" i="5" s="1"/>
  <c r="Z129" i="2"/>
  <c r="Y132" i="2"/>
  <c r="I146" i="2" s="1"/>
  <c r="AZ72" i="5"/>
  <c r="CN31" i="1"/>
  <c r="U211" i="2"/>
  <c r="T214" i="2"/>
  <c r="I223" i="2" s="1"/>
  <c r="AK89" i="6"/>
  <c r="AK91" i="6" s="1"/>
  <c r="I117" i="6" s="1"/>
  <c r="G71" i="5" s="1"/>
  <c r="V89" i="6"/>
  <c r="U91" i="6"/>
  <c r="CE24" i="1"/>
  <c r="AX24" i="5"/>
  <c r="AO211" i="6"/>
  <c r="AN214" i="6"/>
  <c r="I243" i="6" s="1"/>
  <c r="J74" i="5" s="1"/>
  <c r="AL171" i="4"/>
  <c r="AL173" i="4" s="1"/>
  <c r="I200" i="4" s="1"/>
  <c r="W171" i="4"/>
  <c r="V173" i="4"/>
  <c r="I184" i="4" s="1"/>
  <c r="AG214" i="4"/>
  <c r="I236" i="4" s="1"/>
  <c r="AH211" i="4"/>
  <c r="AK47" i="2"/>
  <c r="V47" i="2"/>
  <c r="U49" i="2"/>
  <c r="CL14" i="1" l="1"/>
  <c r="AZ14" i="5"/>
  <c r="CG14" i="1"/>
  <c r="W252" i="2"/>
  <c r="V255" i="2"/>
  <c r="W89" i="2"/>
  <c r="AL89" i="2"/>
  <c r="AL130" i="2"/>
  <c r="W130" i="2"/>
  <c r="V132" i="2"/>
  <c r="I143" i="2" s="1"/>
  <c r="BC13" i="5"/>
  <c r="CJ13" i="1"/>
  <c r="BA29" i="5"/>
  <c r="CH29" i="1"/>
  <c r="CH13" i="1"/>
  <c r="BA13" i="5"/>
  <c r="AX71" i="5"/>
  <c r="CL30" i="1"/>
  <c r="AF253" i="2"/>
  <c r="V171" i="2"/>
  <c r="AK171" i="2"/>
  <c r="AK173" i="2" s="1"/>
  <c r="I199" i="2" s="1"/>
  <c r="U173" i="2"/>
  <c r="I183" i="2" s="1"/>
  <c r="W47" i="4"/>
  <c r="V49" i="4"/>
  <c r="I60" i="4" s="1"/>
  <c r="AL47" i="4"/>
  <c r="AL49" i="4" s="1"/>
  <c r="I76" i="4" s="1"/>
  <c r="CJ14" i="1"/>
  <c r="BC14" i="5"/>
  <c r="U4" i="4"/>
  <c r="AJ4" i="4"/>
  <c r="AJ6" i="4" s="1"/>
  <c r="T6" i="4"/>
  <c r="AY71" i="5"/>
  <c r="CM30" i="1"/>
  <c r="BC66" i="5"/>
  <c r="CQ25" i="1"/>
  <c r="CO31" i="1"/>
  <c r="BA72" i="5"/>
  <c r="BB13" i="5"/>
  <c r="CI13" i="1"/>
  <c r="AN4" i="2"/>
  <c r="AN6" i="2" s="1"/>
  <c r="X6" i="2"/>
  <c r="AL89" i="4"/>
  <c r="AL91" i="4" s="1"/>
  <c r="I118" i="4" s="1"/>
  <c r="W89" i="4"/>
  <c r="V91" i="4"/>
  <c r="I102" i="4" s="1"/>
  <c r="AY15" i="5"/>
  <c r="CF15" i="1"/>
  <c r="CN16" i="1"/>
  <c r="AZ57" i="5"/>
  <c r="AG255" i="4"/>
  <c r="I277" i="4" s="1"/>
  <c r="AH252" i="4"/>
  <c r="AL47" i="2"/>
  <c r="W47" i="2"/>
  <c r="V49" i="2"/>
  <c r="I60" i="2" s="1"/>
  <c r="BA56" i="5"/>
  <c r="CO15" i="1"/>
  <c r="AP211" i="6"/>
  <c r="AP214" i="6" s="1"/>
  <c r="AO214" i="6"/>
  <c r="I244" i="6" s="1"/>
  <c r="J75" i="5" s="1"/>
  <c r="V211" i="2"/>
  <c r="U214" i="2"/>
  <c r="I224" i="2" s="1"/>
  <c r="CG18" i="1"/>
  <c r="AZ18" i="5"/>
  <c r="AN130" i="6"/>
  <c r="AN132" i="6" s="1"/>
  <c r="X132" i="6"/>
  <c r="I145" i="6" s="1"/>
  <c r="H58" i="5" s="1"/>
  <c r="I286" i="6"/>
  <c r="K76" i="5" s="1"/>
  <c r="K255" i="6"/>
  <c r="X88" i="2"/>
  <c r="W91" i="2"/>
  <c r="I103" i="2" s="1"/>
  <c r="CE25" i="1"/>
  <c r="AX25" i="5"/>
  <c r="AN130" i="4"/>
  <c r="AN132" i="4" s="1"/>
  <c r="I161" i="4" s="1"/>
  <c r="X132" i="4"/>
  <c r="BB67" i="5"/>
  <c r="CP26" i="1"/>
  <c r="I101" i="6"/>
  <c r="G55" i="5" s="1"/>
  <c r="I59" i="2"/>
  <c r="AH214" i="4"/>
  <c r="I237" i="4" s="1"/>
  <c r="AI211" i="4"/>
  <c r="X171" i="4"/>
  <c r="AM171" i="4"/>
  <c r="AM173" i="4" s="1"/>
  <c r="I201" i="4" s="1"/>
  <c r="W173" i="4"/>
  <c r="I185" i="4" s="1"/>
  <c r="AL89" i="6"/>
  <c r="AL91" i="6" s="1"/>
  <c r="I118" i="6" s="1"/>
  <c r="G72" i="5" s="1"/>
  <c r="W89" i="6"/>
  <c r="V91" i="6"/>
  <c r="I102" i="6" s="1"/>
  <c r="G56" i="5" s="1"/>
  <c r="Z132" i="2"/>
  <c r="I147" i="2" s="1"/>
  <c r="AA129" i="2"/>
  <c r="I101" i="4"/>
  <c r="BB66" i="5"/>
  <c r="CP25" i="1"/>
  <c r="BB12" i="5"/>
  <c r="CI12" i="1"/>
  <c r="AN170" i="6"/>
  <c r="AM173" i="6"/>
  <c r="I201" i="6" s="1"/>
  <c r="I73" i="5" s="1"/>
  <c r="I204" i="2"/>
  <c r="AH46" i="2"/>
  <c r="AG49" i="2"/>
  <c r="I71" i="2" s="1"/>
  <c r="AZ73" i="5"/>
  <c r="CN32" i="1"/>
  <c r="X47" i="4" l="1"/>
  <c r="AM47" i="4"/>
  <c r="AM49" i="4" s="1"/>
  <c r="I77" i="4" s="1"/>
  <c r="W49" i="4"/>
  <c r="I61" i="4" s="1"/>
  <c r="X252" i="2"/>
  <c r="W255" i="2"/>
  <c r="I267" i="2" s="1"/>
  <c r="CL15" i="1"/>
  <c r="AX56" i="5"/>
  <c r="AL171" i="2"/>
  <c r="AL173" i="2" s="1"/>
  <c r="I200" i="2" s="1"/>
  <c r="W171" i="2"/>
  <c r="V173" i="2"/>
  <c r="I266" i="2"/>
  <c r="BA14" i="5"/>
  <c r="CH14" i="1"/>
  <c r="U6" i="4"/>
  <c r="V4" i="4"/>
  <c r="AK4" i="4"/>
  <c r="AK6" i="4" s="1"/>
  <c r="AM130" i="2"/>
  <c r="X130" i="2"/>
  <c r="W132" i="2"/>
  <c r="I144" i="2" s="1"/>
  <c r="CL31" i="1"/>
  <c r="AX72" i="5"/>
  <c r="CH30" i="1"/>
  <c r="BA30" i="5"/>
  <c r="CG15" i="1"/>
  <c r="AZ15" i="5"/>
  <c r="X89" i="2"/>
  <c r="AN89" i="2" s="1"/>
  <c r="AM89" i="2"/>
  <c r="CI14" i="1"/>
  <c r="BB14" i="5"/>
  <c r="I245" i="6"/>
  <c r="J76" i="5" s="1"/>
  <c r="K214" i="6"/>
  <c r="X47" i="2"/>
  <c r="W49" i="2"/>
  <c r="I61" i="2" s="1"/>
  <c r="AM47" i="2"/>
  <c r="AY56" i="5"/>
  <c r="CM15" i="1"/>
  <c r="K6" i="2"/>
  <c r="CM14" i="1"/>
  <c r="AY55" i="5"/>
  <c r="BA73" i="5"/>
  <c r="CO32" i="1"/>
  <c r="BA35" i="5"/>
  <c r="CH35" i="1"/>
  <c r="X89" i="6"/>
  <c r="AM89" i="6"/>
  <c r="AM91" i="6" s="1"/>
  <c r="I119" i="6" s="1"/>
  <c r="G73" i="5" s="1"/>
  <c r="W91" i="6"/>
  <c r="I103" i="6" s="1"/>
  <c r="G57" i="5" s="1"/>
  <c r="AN171" i="4"/>
  <c r="AN173" i="4" s="1"/>
  <c r="X173" i="4"/>
  <c r="I186" i="4" s="1"/>
  <c r="AX14" i="5"/>
  <c r="CE14" i="1"/>
  <c r="CF16" i="1"/>
  <c r="AY16" i="5"/>
  <c r="K78" i="5"/>
  <c r="K46" i="5"/>
  <c r="I161" i="6"/>
  <c r="H74" i="5" s="1"/>
  <c r="K132" i="6"/>
  <c r="W211" i="2"/>
  <c r="V214" i="2"/>
  <c r="I225" i="2" s="1"/>
  <c r="AM89" i="4"/>
  <c r="AM91" i="4" s="1"/>
  <c r="I119" i="4" s="1"/>
  <c r="X89" i="4"/>
  <c r="W91" i="4"/>
  <c r="I103" i="4" s="1"/>
  <c r="CE26" i="1"/>
  <c r="AX26" i="5"/>
  <c r="AO170" i="6"/>
  <c r="AN173" i="6"/>
  <c r="I202" i="6" s="1"/>
  <c r="I74" i="5" s="1"/>
  <c r="AA132" i="2"/>
  <c r="I148" i="2" s="1"/>
  <c r="AB129" i="2"/>
  <c r="AJ211" i="4"/>
  <c r="AI214" i="4"/>
  <c r="I238" i="4" s="1"/>
  <c r="I145" i="4"/>
  <c r="K132" i="4"/>
  <c r="Y88" i="2"/>
  <c r="X91" i="2"/>
  <c r="I104" i="2" s="1"/>
  <c r="AQ211" i="6"/>
  <c r="AH255" i="4"/>
  <c r="I278" i="4" s="1"/>
  <c r="AI252" i="4"/>
  <c r="CM31" i="1"/>
  <c r="AY72" i="5"/>
  <c r="AI46" i="2"/>
  <c r="AH49" i="2"/>
  <c r="I72" i="2" s="1"/>
  <c r="CG19" i="1"/>
  <c r="AZ19" i="5"/>
  <c r="CO16" i="1"/>
  <c r="BA57" i="5"/>
  <c r="BB68" i="5"/>
  <c r="CP27" i="1"/>
  <c r="CN33" i="1"/>
  <c r="AZ74" i="5"/>
  <c r="CE15" i="1"/>
  <c r="AX15" i="5"/>
  <c r="CQ26" i="1"/>
  <c r="BC67" i="5"/>
  <c r="BC15" i="5" l="1"/>
  <c r="CJ15" i="1"/>
  <c r="AX57" i="5"/>
  <c r="CL16" i="1"/>
  <c r="I184" i="2"/>
  <c r="CG16" i="1"/>
  <c r="AZ16" i="5"/>
  <c r="AL4" i="4"/>
  <c r="AL6" i="4" s="1"/>
  <c r="V6" i="4"/>
  <c r="W4" i="4"/>
  <c r="X171" i="2"/>
  <c r="AM171" i="2"/>
  <c r="AM173" i="2" s="1"/>
  <c r="I201" i="2" s="1"/>
  <c r="W173" i="2"/>
  <c r="I185" i="2" s="1"/>
  <c r="BC16" i="5"/>
  <c r="CJ16" i="1"/>
  <c r="X49" i="4"/>
  <c r="AN47" i="4"/>
  <c r="AN49" i="4" s="1"/>
  <c r="I78" i="4" s="1"/>
  <c r="CL33" i="1" s="1"/>
  <c r="CL32" i="1"/>
  <c r="AX73" i="5"/>
  <c r="AN130" i="2"/>
  <c r="X132" i="2"/>
  <c r="I145" i="2" s="1"/>
  <c r="CH31" i="1"/>
  <c r="BA31" i="5"/>
  <c r="Y252" i="2"/>
  <c r="X255" i="2"/>
  <c r="AJ46" i="2"/>
  <c r="AI49" i="2"/>
  <c r="I73" i="2" s="1"/>
  <c r="AI255" i="4"/>
  <c r="I279" i="4" s="1"/>
  <c r="AJ252" i="4"/>
  <c r="Y91" i="2"/>
  <c r="I105" i="2" s="1"/>
  <c r="Z88" i="2"/>
  <c r="AK211" i="4"/>
  <c r="AJ214" i="4"/>
  <c r="I239" i="4" s="1"/>
  <c r="CM32" i="1"/>
  <c r="AY73" i="5"/>
  <c r="BB15" i="5"/>
  <c r="CI15" i="1"/>
  <c r="BC68" i="5"/>
  <c r="CQ27" i="1"/>
  <c r="AC129" i="2"/>
  <c r="AB132" i="2"/>
  <c r="I149" i="2" s="1"/>
  <c r="X211" i="2"/>
  <c r="W214" i="2"/>
  <c r="I226" i="2" s="1"/>
  <c r="J46" i="5"/>
  <c r="J78" i="5"/>
  <c r="AZ58" i="5"/>
  <c r="CN17" i="1"/>
  <c r="CN5" i="1" s="1"/>
  <c r="CG20" i="1"/>
  <c r="AZ20" i="5"/>
  <c r="AP170" i="6"/>
  <c r="AO173" i="6"/>
  <c r="I203" i="6" s="1"/>
  <c r="I75" i="5" s="1"/>
  <c r="AY57" i="5"/>
  <c r="CM16" i="1"/>
  <c r="AX74" i="5"/>
  <c r="BA58" i="5"/>
  <c r="CO17" i="1"/>
  <c r="AN89" i="6"/>
  <c r="AN91" i="6" s="1"/>
  <c r="X91" i="6"/>
  <c r="I104" i="6" s="1"/>
  <c r="G58" i="5" s="1"/>
  <c r="CE16" i="1"/>
  <c r="AX16" i="5"/>
  <c r="CE27" i="1"/>
  <c r="AX27" i="5"/>
  <c r="AY17" i="5"/>
  <c r="CF17" i="1"/>
  <c r="CP28" i="1"/>
  <c r="BB69" i="5"/>
  <c r="AN89" i="4"/>
  <c r="AN91" i="4" s="1"/>
  <c r="X91" i="4"/>
  <c r="I104" i="4" s="1"/>
  <c r="H78" i="5"/>
  <c r="H46" i="5"/>
  <c r="I202" i="4"/>
  <c r="K173" i="4"/>
  <c r="AN47" i="2"/>
  <c r="X49" i="2"/>
  <c r="I62" i="2" s="1"/>
  <c r="Z252" i="2" l="1"/>
  <c r="Y255" i="2"/>
  <c r="I269" i="2" s="1"/>
  <c r="I62" i="4"/>
  <c r="K49" i="4"/>
  <c r="BA32" i="5"/>
  <c r="CH32" i="1"/>
  <c r="CH15" i="1"/>
  <c r="BA15" i="5"/>
  <c r="X173" i="2"/>
  <c r="I186" i="2" s="1"/>
  <c r="AN171" i="2"/>
  <c r="AN173" i="2" s="1"/>
  <c r="I202" i="2" s="1"/>
  <c r="X4" i="4"/>
  <c r="W6" i="4"/>
  <c r="AM4" i="4"/>
  <c r="AM6" i="4" s="1"/>
  <c r="I268" i="2"/>
  <c r="CG17" i="1"/>
  <c r="AZ17" i="5"/>
  <c r="CH16" i="1"/>
  <c r="BA16" i="5"/>
  <c r="BB16" i="5"/>
  <c r="CI16" i="1"/>
  <c r="CP29" i="1"/>
  <c r="BB70" i="5"/>
  <c r="AK252" i="4"/>
  <c r="AJ255" i="4"/>
  <c r="I280" i="4" s="1"/>
  <c r="CM17" i="1"/>
  <c r="AY58" i="5"/>
  <c r="Y211" i="2"/>
  <c r="X214" i="2"/>
  <c r="I227" i="2" s="1"/>
  <c r="AK214" i="4"/>
  <c r="I240" i="4" s="1"/>
  <c r="AL211" i="4"/>
  <c r="BC69" i="5"/>
  <c r="CQ28" i="1"/>
  <c r="BA74" i="5"/>
  <c r="CO33" i="1"/>
  <c r="CO5" i="1" s="1"/>
  <c r="I120" i="6"/>
  <c r="G74" i="5" s="1"/>
  <c r="K91" i="6"/>
  <c r="AP173" i="6"/>
  <c r="AQ170" i="6"/>
  <c r="AZ46" i="5"/>
  <c r="AZ21" i="5"/>
  <c r="CG21" i="1"/>
  <c r="AA88" i="2"/>
  <c r="Z91" i="2"/>
  <c r="I106" i="2" s="1"/>
  <c r="CE28" i="1"/>
  <c r="AX28" i="5"/>
  <c r="CE17" i="1"/>
  <c r="AX17" i="5"/>
  <c r="I120" i="4"/>
  <c r="K91" i="4"/>
  <c r="AD129" i="2"/>
  <c r="AC132" i="2"/>
  <c r="I150" i="2" s="1"/>
  <c r="AY18" i="5"/>
  <c r="CF18" i="1"/>
  <c r="AK46" i="2"/>
  <c r="AJ49" i="2"/>
  <c r="I74" i="2" s="1"/>
  <c r="BA17" i="5" l="1"/>
  <c r="BA5" i="5" s="1"/>
  <c r="CH17" i="1"/>
  <c r="CJ17" i="1"/>
  <c r="BC17" i="5"/>
  <c r="CH33" i="1"/>
  <c r="CH5" i="1" s="1"/>
  <c r="BA33" i="5"/>
  <c r="BC18" i="5"/>
  <c r="CJ18" i="1"/>
  <c r="AA252" i="2"/>
  <c r="Z255" i="2"/>
  <c r="I270" i="2" s="1"/>
  <c r="K173" i="2"/>
  <c r="AN4" i="4"/>
  <c r="AN6" i="4" s="1"/>
  <c r="X6" i="4"/>
  <c r="AX58" i="5"/>
  <c r="CL17" i="1"/>
  <c r="CL5" i="1" s="1"/>
  <c r="AB88" i="2"/>
  <c r="AA91" i="2"/>
  <c r="I107" i="2" s="1"/>
  <c r="G78" i="5"/>
  <c r="G46" i="5"/>
  <c r="CI17" i="1"/>
  <c r="BB17" i="5"/>
  <c r="AX29" i="5"/>
  <c r="CE29" i="1"/>
  <c r="AE129" i="2"/>
  <c r="AD132" i="2"/>
  <c r="I151" i="2" s="1"/>
  <c r="Z211" i="2"/>
  <c r="Y214" i="2"/>
  <c r="I228" i="2" s="1"/>
  <c r="AZ22" i="5"/>
  <c r="CG22" i="1"/>
  <c r="CM33" i="1"/>
  <c r="CM5" i="1" s="1"/>
  <c r="AY74" i="5"/>
  <c r="I204" i="6"/>
  <c r="I76" i="5" s="1"/>
  <c r="K173" i="6"/>
  <c r="BA46" i="5"/>
  <c r="AL214" i="4"/>
  <c r="I241" i="4" s="1"/>
  <c r="AM211" i="4"/>
  <c r="CQ29" i="1"/>
  <c r="BC70" i="5"/>
  <c r="AL46" i="2"/>
  <c r="AK49" i="2"/>
  <c r="I75" i="2" s="1"/>
  <c r="AY19" i="5"/>
  <c r="CF19" i="1"/>
  <c r="BB71" i="5"/>
  <c r="CP30" i="1"/>
  <c r="AL252" i="4"/>
  <c r="AK255" i="4"/>
  <c r="I281" i="4" s="1"/>
  <c r="AX46" i="5" l="1"/>
  <c r="CJ19" i="1"/>
  <c r="BC19" i="5"/>
  <c r="K6" i="4"/>
  <c r="AB252" i="2"/>
  <c r="AA255" i="2"/>
  <c r="I271" i="2" s="1"/>
  <c r="AY46" i="5"/>
  <c r="BB18" i="5"/>
  <c r="CI18" i="1"/>
  <c r="AL255" i="4"/>
  <c r="I282" i="4" s="1"/>
  <c r="AM252" i="4"/>
  <c r="AA211" i="2"/>
  <c r="Z214" i="2"/>
  <c r="I229" i="2" s="1"/>
  <c r="CQ30" i="1"/>
  <c r="BC71" i="5"/>
  <c r="AN211" i="4"/>
  <c r="AM214" i="4"/>
  <c r="I242" i="4" s="1"/>
  <c r="CG23" i="1"/>
  <c r="AZ23" i="5"/>
  <c r="AY20" i="5"/>
  <c r="CF20" i="1"/>
  <c r="AX30" i="5"/>
  <c r="CE30" i="1"/>
  <c r="AM46" i="2"/>
  <c r="AL49" i="2"/>
  <c r="I76" i="2" s="1"/>
  <c r="CP31" i="1"/>
  <c r="BB72" i="5"/>
  <c r="I78" i="5"/>
  <c r="I46" i="5"/>
  <c r="AF129" i="2"/>
  <c r="AE132" i="2"/>
  <c r="I152" i="2" s="1"/>
  <c r="AC88" i="2"/>
  <c r="AB91" i="2"/>
  <c r="I108" i="2" s="1"/>
  <c r="AC252" i="2" l="1"/>
  <c r="AB255" i="2"/>
  <c r="I272" i="2" s="1"/>
  <c r="CJ20" i="1"/>
  <c r="BC20" i="5"/>
  <c r="CF21" i="1"/>
  <c r="AY21" i="5"/>
  <c r="AN46" i="2"/>
  <c r="AM49" i="2"/>
  <c r="I77" i="2" s="1"/>
  <c r="AO211" i="4"/>
  <c r="AN214" i="4"/>
  <c r="I243" i="4" s="1"/>
  <c r="AB211" i="2"/>
  <c r="AA214" i="2"/>
  <c r="I230" i="2" s="1"/>
  <c r="CG24" i="1"/>
  <c r="AZ24" i="5"/>
  <c r="AN252" i="4"/>
  <c r="AM255" i="4"/>
  <c r="I283" i="4" s="1"/>
  <c r="AD88" i="2"/>
  <c r="AC91" i="2"/>
  <c r="I109" i="2" s="1"/>
  <c r="AG129" i="2"/>
  <c r="AF132" i="2"/>
  <c r="I153" i="2" s="1"/>
  <c r="CQ31" i="1"/>
  <c r="BC72" i="5"/>
  <c r="AX31" i="5"/>
  <c r="CE31" i="1"/>
  <c r="CP32" i="1"/>
  <c r="BB73" i="5"/>
  <c r="CI19" i="1"/>
  <c r="BB19" i="5"/>
  <c r="CJ21" i="1" l="1"/>
  <c r="BC21" i="5"/>
  <c r="AD252" i="2"/>
  <c r="AC255" i="2"/>
  <c r="I273" i="2" s="1"/>
  <c r="BB20" i="5"/>
  <c r="CI20" i="1"/>
  <c r="AX32" i="5"/>
  <c r="CE32" i="1"/>
  <c r="CQ32" i="1"/>
  <c r="BC73" i="5"/>
  <c r="AH129" i="2"/>
  <c r="AG132" i="2"/>
  <c r="I154" i="2" s="1"/>
  <c r="AO252" i="4"/>
  <c r="AN255" i="4"/>
  <c r="I284" i="4" s="1"/>
  <c r="AC211" i="2"/>
  <c r="AB214" i="2"/>
  <c r="I231" i="2" s="1"/>
  <c r="AO46" i="2"/>
  <c r="AN49" i="2"/>
  <c r="I78" i="2" s="1"/>
  <c r="CG25" i="1"/>
  <c r="AZ25" i="5"/>
  <c r="BB74" i="5"/>
  <c r="CP33" i="1"/>
  <c r="CF22" i="1"/>
  <c r="AY22" i="5"/>
  <c r="AE88" i="2"/>
  <c r="AD91" i="2"/>
  <c r="I110" i="2" s="1"/>
  <c r="AO214" i="4"/>
  <c r="I244" i="4" s="1"/>
  <c r="AP211" i="4"/>
  <c r="CJ22" i="1" l="1"/>
  <c r="BC22" i="5"/>
  <c r="AE252" i="2"/>
  <c r="AD255" i="2"/>
  <c r="I274" i="2" s="1"/>
  <c r="CI21" i="1"/>
  <c r="BB21" i="5"/>
  <c r="CG26" i="1"/>
  <c r="AZ26" i="5"/>
  <c r="BB75" i="5"/>
  <c r="CP34" i="1"/>
  <c r="AD211" i="2"/>
  <c r="AC214" i="2"/>
  <c r="I232" i="2" s="1"/>
  <c r="AI129" i="2"/>
  <c r="AH132" i="2"/>
  <c r="I155" i="2" s="1"/>
  <c r="CE33" i="1"/>
  <c r="AX33" i="5"/>
  <c r="CQ33" i="1"/>
  <c r="BC74" i="5"/>
  <c r="AP214" i="4"/>
  <c r="AQ211" i="4"/>
  <c r="AY23" i="5"/>
  <c r="CF23" i="1"/>
  <c r="AF88" i="2"/>
  <c r="AE91" i="2"/>
  <c r="I111" i="2" s="1"/>
  <c r="AP46" i="2"/>
  <c r="AO49" i="2"/>
  <c r="I79" i="2" s="1"/>
  <c r="AO255" i="4"/>
  <c r="I285" i="4" s="1"/>
  <c r="AP252" i="4"/>
  <c r="BC23" i="5" l="1"/>
  <c r="CJ23" i="1"/>
  <c r="AF252" i="2"/>
  <c r="AE255" i="2"/>
  <c r="I275" i="2" s="1"/>
  <c r="AY24" i="5"/>
  <c r="CF24" i="1"/>
  <c r="CI22" i="1"/>
  <c r="BB22" i="5"/>
  <c r="BC75" i="5"/>
  <c r="CQ34" i="1"/>
  <c r="AF91" i="2"/>
  <c r="I112" i="2" s="1"/>
  <c r="AG88" i="2"/>
  <c r="I245" i="4"/>
  <c r="K214" i="4"/>
  <c r="AE211" i="2"/>
  <c r="AD214" i="2"/>
  <c r="I233" i="2" s="1"/>
  <c r="AX34" i="5"/>
  <c r="CE34" i="1"/>
  <c r="AZ27" i="5"/>
  <c r="CG27" i="1"/>
  <c r="AP255" i="4"/>
  <c r="AQ252" i="4"/>
  <c r="AP49" i="2"/>
  <c r="AQ46" i="2"/>
  <c r="AJ129" i="2"/>
  <c r="AI132" i="2"/>
  <c r="I156" i="2" s="1"/>
  <c r="CJ24" i="1" l="1"/>
  <c r="BC24" i="5"/>
  <c r="AG252" i="2"/>
  <c r="AF255" i="2"/>
  <c r="I276" i="2" s="1"/>
  <c r="CP35" i="1"/>
  <c r="CP5" i="1" s="1"/>
  <c r="BB76" i="5"/>
  <c r="BB46" i="5" s="1"/>
  <c r="BB23" i="5"/>
  <c r="CI23" i="1"/>
  <c r="AH88" i="2"/>
  <c r="AG91" i="2"/>
  <c r="I113" i="2" s="1"/>
  <c r="I286" i="4"/>
  <c r="K255" i="4"/>
  <c r="I80" i="2"/>
  <c r="K49" i="2"/>
  <c r="AF211" i="2"/>
  <c r="AE214" i="2"/>
  <c r="I234" i="2" s="1"/>
  <c r="AY25" i="5"/>
  <c r="CF25" i="1"/>
  <c r="AK129" i="2"/>
  <c r="AJ132" i="2"/>
  <c r="I157" i="2" s="1"/>
  <c r="AZ28" i="5"/>
  <c r="CG28" i="1"/>
  <c r="BC25" i="5" l="1"/>
  <c r="CJ25" i="1"/>
  <c r="AH252" i="2"/>
  <c r="AG255" i="2"/>
  <c r="I277" i="2" s="1"/>
  <c r="CI24" i="1"/>
  <c r="BB24" i="5"/>
  <c r="AZ29" i="5"/>
  <c r="CG29" i="1"/>
  <c r="AK132" i="2"/>
  <c r="I158" i="2" s="1"/>
  <c r="AL129" i="2"/>
  <c r="AG211" i="2"/>
  <c r="AF214" i="2"/>
  <c r="I235" i="2" s="1"/>
  <c r="BC76" i="5"/>
  <c r="BC46" i="5" s="1"/>
  <c r="CQ35" i="1"/>
  <c r="CQ5" i="1" s="1"/>
  <c r="AY26" i="5"/>
  <c r="CF26" i="1"/>
  <c r="AX35" i="5"/>
  <c r="AX5" i="5" s="1"/>
  <c r="CE35" i="1"/>
  <c r="CE5" i="1" s="1"/>
  <c r="AI88" i="2"/>
  <c r="AH91" i="2"/>
  <c r="I114" i="2" s="1"/>
  <c r="BC26" i="5" l="1"/>
  <c r="CJ26" i="1"/>
  <c r="AI252" i="2"/>
  <c r="AH255" i="2"/>
  <c r="I278" i="2" s="1"/>
  <c r="CF27" i="1"/>
  <c r="AY27" i="5"/>
  <c r="CI25" i="1"/>
  <c r="BB25" i="5"/>
  <c r="AJ88" i="2"/>
  <c r="AI91" i="2"/>
  <c r="I115" i="2" s="1"/>
  <c r="AH211" i="2"/>
  <c r="AG214" i="2"/>
  <c r="I236" i="2" s="1"/>
  <c r="AM129" i="2"/>
  <c r="AL132" i="2"/>
  <c r="I159" i="2" s="1"/>
  <c r="AZ30" i="5"/>
  <c r="CG30" i="1"/>
  <c r="BC27" i="5" l="1"/>
  <c r="CJ27" i="1"/>
  <c r="AJ252" i="2"/>
  <c r="AI255" i="2"/>
  <c r="I279" i="2" s="1"/>
  <c r="BB26" i="5"/>
  <c r="CI26" i="1"/>
  <c r="AN129" i="2"/>
  <c r="AM132" i="2"/>
  <c r="I160" i="2" s="1"/>
  <c r="AI211" i="2"/>
  <c r="AH214" i="2"/>
  <c r="I237" i="2" s="1"/>
  <c r="AY28" i="5"/>
  <c r="CF28" i="1"/>
  <c r="AZ31" i="5"/>
  <c r="CG31" i="1"/>
  <c r="AK88" i="2"/>
  <c r="AJ91" i="2"/>
  <c r="I116" i="2" s="1"/>
  <c r="CJ28" i="1" l="1"/>
  <c r="BC28" i="5"/>
  <c r="AK252" i="2"/>
  <c r="AJ255" i="2"/>
  <c r="I280" i="2" s="1"/>
  <c r="CG32" i="1"/>
  <c r="AZ32" i="5"/>
  <c r="AL88" i="2"/>
  <c r="AK91" i="2"/>
  <c r="I117" i="2" s="1"/>
  <c r="AO129" i="2"/>
  <c r="AN132" i="2"/>
  <c r="I161" i="2" s="1"/>
  <c r="CI27" i="1"/>
  <c r="BB27" i="5"/>
  <c r="AY29" i="5"/>
  <c r="CF29" i="1"/>
  <c r="AJ211" i="2"/>
  <c r="AI214" i="2"/>
  <c r="I238" i="2" s="1"/>
  <c r="BC29" i="5" l="1"/>
  <c r="CJ29" i="1"/>
  <c r="AL252" i="2"/>
  <c r="AK255" i="2"/>
  <c r="I281" i="2" s="1"/>
  <c r="CF30" i="1"/>
  <c r="AY30" i="5"/>
  <c r="AJ214" i="2"/>
  <c r="I239" i="2" s="1"/>
  <c r="AK211" i="2"/>
  <c r="AM88" i="2"/>
  <c r="AL91" i="2"/>
  <c r="I118" i="2" s="1"/>
  <c r="AZ33" i="5"/>
  <c r="CG33" i="1"/>
  <c r="CI28" i="1"/>
  <c r="BB28" i="5"/>
  <c r="AP129" i="2"/>
  <c r="AO132" i="2"/>
  <c r="I162" i="2" s="1"/>
  <c r="BC30" i="5" l="1"/>
  <c r="CJ30" i="1"/>
  <c r="AL255" i="2"/>
  <c r="I282" i="2" s="1"/>
  <c r="AM252" i="2"/>
  <c r="AZ34" i="5"/>
  <c r="CG34" i="1"/>
  <c r="AK214" i="2"/>
  <c r="I240" i="2" s="1"/>
  <c r="AL211" i="2"/>
  <c r="AP132" i="2"/>
  <c r="AQ129" i="2"/>
  <c r="BB29" i="5"/>
  <c r="CI29" i="1"/>
  <c r="CF31" i="1"/>
  <c r="AY31" i="5"/>
  <c r="AN88" i="2"/>
  <c r="AM91" i="2"/>
  <c r="I119" i="2" s="1"/>
  <c r="CJ31" i="1" l="1"/>
  <c r="BC31" i="5"/>
  <c r="AM255" i="2"/>
  <c r="I283" i="2" s="1"/>
  <c r="AN252" i="2"/>
  <c r="AY32" i="5"/>
  <c r="CF32" i="1"/>
  <c r="AL214" i="2"/>
  <c r="I241" i="2" s="1"/>
  <c r="AM211" i="2"/>
  <c r="BB30" i="5"/>
  <c r="CI30" i="1"/>
  <c r="AO88" i="2"/>
  <c r="AN91" i="2"/>
  <c r="I120" i="2" s="1"/>
  <c r="I163" i="2"/>
  <c r="K132" i="2"/>
  <c r="CJ32" i="1" l="1"/>
  <c r="BC32" i="5"/>
  <c r="AN255" i="2"/>
  <c r="I284" i="2" s="1"/>
  <c r="AO252" i="2"/>
  <c r="AY33" i="5"/>
  <c r="CF33" i="1"/>
  <c r="AN211" i="2"/>
  <c r="AM214" i="2"/>
  <c r="I242" i="2" s="1"/>
  <c r="CI31" i="1"/>
  <c r="BB31" i="5"/>
  <c r="AP88" i="2"/>
  <c r="AO91" i="2"/>
  <c r="I121" i="2" s="1"/>
  <c r="CG35" i="1"/>
  <c r="CG5" i="1" s="1"/>
  <c r="AZ35" i="5"/>
  <c r="AZ5" i="5" s="1"/>
  <c r="CJ33" i="1" l="1"/>
  <c r="BC33" i="5"/>
  <c r="AO255" i="2"/>
  <c r="I285" i="2" s="1"/>
  <c r="AP252" i="2"/>
  <c r="CI32" i="1"/>
  <c r="BB32" i="5"/>
  <c r="CF34" i="1"/>
  <c r="AY34" i="5"/>
  <c r="AP91" i="2"/>
  <c r="AQ88" i="2"/>
  <c r="AO211" i="2"/>
  <c r="AN214" i="2"/>
  <c r="I243" i="2" s="1"/>
  <c r="CJ34" i="1" l="1"/>
  <c r="BC34" i="5"/>
  <c r="AP255" i="2"/>
  <c r="AQ252" i="2"/>
  <c r="AP211" i="2"/>
  <c r="AO214" i="2"/>
  <c r="I244" i="2" s="1"/>
  <c r="BB33" i="5"/>
  <c r="CI33" i="1"/>
  <c r="I122" i="2"/>
  <c r="K91" i="2"/>
  <c r="I286" i="2" l="1"/>
  <c r="K255" i="2"/>
  <c r="CI34" i="1"/>
  <c r="BB34" i="5"/>
  <c r="CF35" i="1"/>
  <c r="CF5" i="1" s="1"/>
  <c r="AY35" i="5"/>
  <c r="AY5" i="5" s="1"/>
  <c r="AP214" i="2"/>
  <c r="AQ211" i="2"/>
  <c r="CJ35" i="1" l="1"/>
  <c r="CJ5" i="1" s="1"/>
  <c r="BC35" i="5"/>
  <c r="BC5" i="5" s="1"/>
  <c r="I245" i="2"/>
  <c r="K214" i="2"/>
  <c r="CI35" i="1" l="1"/>
  <c r="CI5" i="1" s="1"/>
  <c r="BB35" i="5"/>
  <c r="BB5" i="5" s="1"/>
  <c r="AM7" i="6" l="1"/>
  <c r="P57" i="5"/>
  <c r="AK7" i="6"/>
  <c r="R7" i="6"/>
  <c r="P52" i="5"/>
  <c r="O7" i="6"/>
  <c r="P49" i="5"/>
  <c r="M7" i="6"/>
  <c r="E5" i="5"/>
  <c r="AE7" i="6"/>
  <c r="T7" i="6"/>
  <c r="AD7" i="6"/>
  <c r="W7" i="6"/>
  <c r="AN7" i="6"/>
  <c r="AO7" i="6"/>
  <c r="AP7" i="6"/>
  <c r="P60" i="5"/>
  <c r="AP7" i="2"/>
  <c r="AP40" i="2" s="1"/>
  <c r="AO7" i="2"/>
  <c r="AO40" i="2" s="1"/>
  <c r="AJ7" i="6"/>
  <c r="P54" i="5"/>
  <c r="Q7" i="6"/>
  <c r="Y7" i="6"/>
  <c r="U7" i="6"/>
  <c r="S7" i="6"/>
  <c r="P53" i="5"/>
  <c r="P7" i="6"/>
  <c r="P50" i="5"/>
  <c r="AO7" i="4"/>
  <c r="I36" i="4" s="1"/>
  <c r="AP7" i="4"/>
  <c r="I37" i="4" s="1"/>
  <c r="E37" i="5"/>
  <c r="B37" i="5" s="1"/>
  <c r="AL7" i="6"/>
  <c r="AG7" i="6"/>
  <c r="P48" i="5"/>
  <c r="N7" i="2"/>
  <c r="I9" i="2" s="1"/>
  <c r="AW7" i="5" s="1"/>
  <c r="N7" i="6"/>
  <c r="AA7" i="6"/>
  <c r="X7" i="6"/>
  <c r="AC7" i="6"/>
  <c r="P19" i="5"/>
  <c r="E21" i="6" s="1"/>
  <c r="Z7" i="6"/>
  <c r="P47" i="5"/>
  <c r="AA7" i="2"/>
  <c r="I22" i="2" s="1"/>
  <c r="AW20" i="5" s="1"/>
  <c r="O7" i="2"/>
  <c r="O40" i="2" s="1"/>
  <c r="AE7" i="2"/>
  <c r="I26" i="2" s="1"/>
  <c r="B20" i="5"/>
  <c r="AA7" i="4"/>
  <c r="AA40" i="4" s="1"/>
  <c r="I22" i="4"/>
  <c r="CK20" i="1" s="1"/>
  <c r="Y7" i="4"/>
  <c r="Y40" i="4" s="1"/>
  <c r="AI7" i="6"/>
  <c r="AF7" i="2"/>
  <c r="I27" i="2" s="1"/>
  <c r="AF7" i="6"/>
  <c r="P7" i="2"/>
  <c r="I11" i="2" s="1"/>
  <c r="AB7" i="2"/>
  <c r="I23" i="2" s="1"/>
  <c r="AW21" i="5" s="1"/>
  <c r="AB7" i="6"/>
  <c r="Z7" i="2"/>
  <c r="Z40" i="2" s="1"/>
  <c r="AD7" i="4"/>
  <c r="AD40" i="4" s="1"/>
  <c r="B24" i="5"/>
  <c r="AE7" i="4"/>
  <c r="AE40" i="4" s="1"/>
  <c r="V7" i="6"/>
  <c r="Q40" i="2"/>
  <c r="Q7" i="2"/>
  <c r="I12" i="2" s="1"/>
  <c r="AW10" i="5" s="1"/>
  <c r="B18" i="5"/>
  <c r="Y7" i="2"/>
  <c r="I20" i="2" s="1"/>
  <c r="P12" i="5"/>
  <c r="E14" i="6" s="1"/>
  <c r="AA14" i="6" s="1"/>
  <c r="P16" i="5"/>
  <c r="E18" i="6" s="1"/>
  <c r="AB18" i="6" s="1"/>
  <c r="Q7" i="4"/>
  <c r="AC7" i="4"/>
  <c r="I24" i="4" s="1"/>
  <c r="Z7" i="4"/>
  <c r="O7" i="4"/>
  <c r="O40" i="4" s="1"/>
  <c r="AH7" i="6"/>
  <c r="AH7" i="2"/>
  <c r="I29" i="2" s="1"/>
  <c r="AW27" i="5" s="1"/>
  <c r="U7" i="2"/>
  <c r="U40" i="2" s="1"/>
  <c r="AD7" i="2"/>
  <c r="AD40" i="2" s="1"/>
  <c r="AI7" i="4"/>
  <c r="AI40" i="4" s="1"/>
  <c r="S7" i="4"/>
  <c r="S40" i="4" s="1"/>
  <c r="S7" i="2"/>
  <c r="T7" i="2"/>
  <c r="T40" i="2" s="1"/>
  <c r="B34" i="5"/>
  <c r="E20" i="6"/>
  <c r="B19" i="5"/>
  <c r="R40" i="2"/>
  <c r="R7" i="2"/>
  <c r="I13" i="2" s="1"/>
  <c r="CD11" i="1" s="1"/>
  <c r="B23" i="5"/>
  <c r="E19" i="6"/>
  <c r="AN19" i="6" s="1"/>
  <c r="B21" i="5"/>
  <c r="AB7" i="4"/>
  <c r="AB40" i="4" s="1"/>
  <c r="B25" i="5"/>
  <c r="AF7" i="4"/>
  <c r="AF40" i="4" s="1"/>
  <c r="T7" i="4"/>
  <c r="B12" i="5"/>
  <c r="AJ7" i="2"/>
  <c r="I31" i="2" s="1"/>
  <c r="CD29" i="1" s="1"/>
  <c r="B13" i="5"/>
  <c r="AK7" i="2"/>
  <c r="AK40" i="2" s="1"/>
  <c r="I32" i="2"/>
  <c r="W7" i="4"/>
  <c r="I18" i="4" s="1"/>
  <c r="X7" i="4"/>
  <c r="X40" i="4" s="1"/>
  <c r="AM7" i="2"/>
  <c r="AM40" i="2" s="1"/>
  <c r="I18" i="2"/>
  <c r="CD16" i="1" s="1"/>
  <c r="W7" i="2"/>
  <c r="W40" i="2" s="1"/>
  <c r="AG7" i="4"/>
  <c r="P7" i="4"/>
  <c r="P40" i="4" s="1"/>
  <c r="I11" i="4"/>
  <c r="CK9" i="1" s="1"/>
  <c r="B22" i="5"/>
  <c r="AC7" i="2"/>
  <c r="B26" i="5"/>
  <c r="AG7" i="2"/>
  <c r="AG40" i="2" s="1"/>
  <c r="R7" i="4"/>
  <c r="AL7" i="2"/>
  <c r="I33" i="2" s="1"/>
  <c r="AN7" i="4"/>
  <c r="AN40" i="4" s="1"/>
  <c r="B17" i="5"/>
  <c r="X7" i="2"/>
  <c r="X40" i="2" s="1"/>
  <c r="B35" i="5"/>
  <c r="P51" i="5"/>
  <c r="P71" i="5" s="1"/>
  <c r="E16" i="6"/>
  <c r="P7" i="5"/>
  <c r="E9" i="6" s="1"/>
  <c r="W9" i="6" s="1"/>
  <c r="B7" i="5"/>
  <c r="N7" i="4"/>
  <c r="N40" i="4" s="1"/>
  <c r="B27" i="5"/>
  <c r="AH7" i="4"/>
  <c r="P10" i="5"/>
  <c r="E12" i="6" s="1"/>
  <c r="B9" i="5"/>
  <c r="P9" i="5"/>
  <c r="E11" i="6" s="1"/>
  <c r="AJ7" i="4"/>
  <c r="AJ40" i="4" s="1"/>
  <c r="B28" i="5"/>
  <c r="AI7" i="2"/>
  <c r="AI40" i="2" s="1"/>
  <c r="U7" i="4"/>
  <c r="U40" i="4" s="1"/>
  <c r="B14" i="5"/>
  <c r="B32" i="5"/>
  <c r="AM7" i="4"/>
  <c r="AM40" i="4" s="1"/>
  <c r="V7" i="2"/>
  <c r="B15" i="5"/>
  <c r="V7" i="4"/>
  <c r="M7" i="4"/>
  <c r="M40" i="4" s="1"/>
  <c r="M7" i="2"/>
  <c r="M40" i="2" s="1"/>
  <c r="B29" i="5"/>
  <c r="P13" i="5"/>
  <c r="E15" i="6" s="1"/>
  <c r="B8" i="5"/>
  <c r="P8" i="5"/>
  <c r="E10" i="6" s="1"/>
  <c r="B6" i="5"/>
  <c r="P6" i="5"/>
  <c r="E8" i="6" s="1"/>
  <c r="B10" i="5"/>
  <c r="B11" i="5"/>
  <c r="P11" i="5"/>
  <c r="E13" i="6" s="1"/>
  <c r="B30" i="5"/>
  <c r="AK7" i="4"/>
  <c r="AK40" i="4" s="1"/>
  <c r="B31" i="5"/>
  <c r="AL7" i="4"/>
  <c r="I33" i="4" s="1"/>
  <c r="B33" i="5"/>
  <c r="AN7" i="2"/>
  <c r="AN40" i="2" s="1"/>
  <c r="B16" i="5"/>
  <c r="AB13" i="6" l="1"/>
  <c r="AH13" i="6"/>
  <c r="AF13" i="6"/>
  <c r="I35" i="4"/>
  <c r="CK33" i="1" s="1"/>
  <c r="AJ40" i="2"/>
  <c r="I23" i="4"/>
  <c r="I21" i="2"/>
  <c r="CD19" i="1" s="1"/>
  <c r="P40" i="2"/>
  <c r="AH40" i="2"/>
  <c r="I32" i="4"/>
  <c r="AW71" i="5" s="1"/>
  <c r="I34" i="4"/>
  <c r="AW73" i="5" s="1"/>
  <c r="AL40" i="2"/>
  <c r="I25" i="2"/>
  <c r="CD23" i="1" s="1"/>
  <c r="I37" i="2"/>
  <c r="CD35" i="1" s="1"/>
  <c r="AE14" i="6"/>
  <c r="AW37" i="5"/>
  <c r="AW16" i="5"/>
  <c r="AW50" i="5"/>
  <c r="AN21" i="6"/>
  <c r="AL21" i="6"/>
  <c r="H8" i="6"/>
  <c r="N8" i="6"/>
  <c r="AB8" i="6"/>
  <c r="AW9" i="5"/>
  <c r="CD9" i="1"/>
  <c r="CK34" i="1"/>
  <c r="AW75" i="5"/>
  <c r="I35" i="2"/>
  <c r="CD33" i="1" s="1"/>
  <c r="I34" i="2"/>
  <c r="AW29" i="5"/>
  <c r="I14" i="4"/>
  <c r="AW53" i="5" s="1"/>
  <c r="I20" i="4"/>
  <c r="AA40" i="2"/>
  <c r="P61" i="5"/>
  <c r="AW78" i="5" s="1"/>
  <c r="N40" i="2"/>
  <c r="AP40" i="4"/>
  <c r="I36" i="2"/>
  <c r="AO40" i="4"/>
  <c r="R13" i="6"/>
  <c r="CD21" i="1"/>
  <c r="AB9" i="6"/>
  <c r="I8" i="4"/>
  <c r="I19" i="2"/>
  <c r="CD17" i="1" s="1"/>
  <c r="I27" i="4"/>
  <c r="CK25" i="1" s="1"/>
  <c r="P72" i="5"/>
  <c r="I15" i="2"/>
  <c r="AW13" i="5" s="1"/>
  <c r="I16" i="2"/>
  <c r="CD14" i="1" s="1"/>
  <c r="I10" i="4"/>
  <c r="CK8" i="1" s="1"/>
  <c r="AW19" i="5"/>
  <c r="CD10" i="1"/>
  <c r="CD20" i="1"/>
  <c r="AF40" i="2"/>
  <c r="AC40" i="4"/>
  <c r="X9" i="6"/>
  <c r="AD18" i="6"/>
  <c r="P29" i="5"/>
  <c r="I8" i="2"/>
  <c r="I16" i="4"/>
  <c r="I31" i="4"/>
  <c r="CK29" i="1" s="1"/>
  <c r="I30" i="4"/>
  <c r="I26" i="4"/>
  <c r="Y40" i="2"/>
  <c r="AK18" i="6"/>
  <c r="Y15" i="6"/>
  <c r="AC15" i="6"/>
  <c r="AA15" i="6"/>
  <c r="V15" i="6"/>
  <c r="X15" i="6"/>
  <c r="AE15" i="6"/>
  <c r="AB15" i="6"/>
  <c r="Z15" i="6"/>
  <c r="U15" i="6"/>
  <c r="W15" i="6"/>
  <c r="AG15" i="6"/>
  <c r="AJ15" i="6"/>
  <c r="H15" i="6"/>
  <c r="AI15" i="6"/>
  <c r="T15" i="6"/>
  <c r="AF15" i="6"/>
  <c r="AH15" i="6"/>
  <c r="AD15" i="6"/>
  <c r="V40" i="2"/>
  <c r="I17" i="2"/>
  <c r="R40" i="4"/>
  <c r="I13" i="4"/>
  <c r="P10" i="6"/>
  <c r="AC10" i="6"/>
  <c r="U10" i="6"/>
  <c r="R10" i="6"/>
  <c r="AD10" i="6"/>
  <c r="W10" i="6"/>
  <c r="Z10" i="6"/>
  <c r="O10" i="6"/>
  <c r="Y10" i="6"/>
  <c r="V10" i="6"/>
  <c r="X10" i="6"/>
  <c r="AA10" i="6"/>
  <c r="T10" i="6"/>
  <c r="AE10" i="6"/>
  <c r="AB10" i="6"/>
  <c r="Q10" i="6"/>
  <c r="H10" i="6"/>
  <c r="S10" i="6"/>
  <c r="AH40" i="4"/>
  <c r="I29" i="4"/>
  <c r="CK16" i="1"/>
  <c r="AW57" i="5"/>
  <c r="E17" i="6"/>
  <c r="P31" i="5"/>
  <c r="CK31" i="1"/>
  <c r="AW72" i="5"/>
  <c r="I17" i="4"/>
  <c r="V40" i="4"/>
  <c r="X12" i="6"/>
  <c r="AB12" i="6"/>
  <c r="AF12" i="6"/>
  <c r="S12" i="6"/>
  <c r="Q12" i="6"/>
  <c r="AC12" i="6"/>
  <c r="T12" i="6"/>
  <c r="U12" i="6"/>
  <c r="AE12" i="6"/>
  <c r="AD12" i="6"/>
  <c r="V12" i="6"/>
  <c r="AA12" i="6"/>
  <c r="Y12" i="6"/>
  <c r="H12" i="6"/>
  <c r="AG12" i="6"/>
  <c r="W12" i="6"/>
  <c r="Z12" i="6"/>
  <c r="R12" i="6"/>
  <c r="AB16" i="6"/>
  <c r="AF16" i="6"/>
  <c r="AD16" i="6"/>
  <c r="AE16" i="6"/>
  <c r="U16" i="6"/>
  <c r="V16" i="6"/>
  <c r="AA16" i="6"/>
  <c r="Y16" i="6"/>
  <c r="H16" i="6"/>
  <c r="W16" i="6"/>
  <c r="AI16" i="6"/>
  <c r="Z16" i="6"/>
  <c r="AC16" i="6"/>
  <c r="AK16" i="6"/>
  <c r="AJ16" i="6"/>
  <c r="AH16" i="6"/>
  <c r="X16" i="6"/>
  <c r="AG16" i="6"/>
  <c r="AW31" i="5"/>
  <c r="CD31" i="1"/>
  <c r="I28" i="4"/>
  <c r="AG40" i="4"/>
  <c r="CD30" i="1"/>
  <c r="AW30" i="5"/>
  <c r="I15" i="4"/>
  <c r="T40" i="4"/>
  <c r="AD19" i="6"/>
  <c r="H19" i="6"/>
  <c r="AJ19" i="6"/>
  <c r="AM19" i="6"/>
  <c r="AA19" i="6"/>
  <c r="AF19" i="6"/>
  <c r="Z19" i="6"/>
  <c r="AE19" i="6"/>
  <c r="AL19" i="6"/>
  <c r="Y19" i="6"/>
  <c r="AH19" i="6"/>
  <c r="AB19" i="6"/>
  <c r="AK19" i="6"/>
  <c r="AC19" i="6"/>
  <c r="X19" i="6"/>
  <c r="AI19" i="6"/>
  <c r="AG19" i="6"/>
  <c r="W40" i="4"/>
  <c r="AW11" i="5"/>
  <c r="AW18" i="5"/>
  <c r="CD18" i="1"/>
  <c r="AA11" i="6"/>
  <c r="V11" i="6"/>
  <c r="R11" i="6"/>
  <c r="H11" i="6"/>
  <c r="W11" i="6"/>
  <c r="AE11" i="6"/>
  <c r="AB11" i="6"/>
  <c r="Y11" i="6"/>
  <c r="S11" i="6"/>
  <c r="AD11" i="6"/>
  <c r="P11" i="6"/>
  <c r="X11" i="6"/>
  <c r="U11" i="6"/>
  <c r="AF11" i="6"/>
  <c r="T11" i="6"/>
  <c r="AC11" i="6"/>
  <c r="Q11" i="6"/>
  <c r="Z11" i="6"/>
  <c r="AL40" i="4"/>
  <c r="AC40" i="2"/>
  <c r="I24" i="2"/>
  <c r="CK21" i="1"/>
  <c r="AW62" i="5"/>
  <c r="AB20" i="6"/>
  <c r="Z20" i="6"/>
  <c r="Y20" i="6"/>
  <c r="AJ20" i="6"/>
  <c r="AD20" i="6"/>
  <c r="AN20" i="6"/>
  <c r="AK20" i="6"/>
  <c r="AG20" i="6"/>
  <c r="AF20" i="6"/>
  <c r="AL20" i="6"/>
  <c r="AI20" i="6"/>
  <c r="AE20" i="6"/>
  <c r="AM20" i="6"/>
  <c r="AA20" i="6"/>
  <c r="AO20" i="6"/>
  <c r="H20" i="6"/>
  <c r="AC20" i="6"/>
  <c r="AH20" i="6"/>
  <c r="S40" i="2"/>
  <c r="I14" i="2"/>
  <c r="P46" i="5"/>
  <c r="AG14" i="6"/>
  <c r="AC13" i="6"/>
  <c r="P5" i="5"/>
  <c r="I30" i="2"/>
  <c r="I9" i="4"/>
  <c r="I28" i="2"/>
  <c r="X8" i="6"/>
  <c r="I19" i="4"/>
  <c r="CD27" i="1"/>
  <c r="V8" i="6"/>
  <c r="AB40" i="2"/>
  <c r="P20" i="5"/>
  <c r="O9" i="6"/>
  <c r="CD25" i="1"/>
  <c r="AW25" i="5"/>
  <c r="W13" i="6"/>
  <c r="AG13" i="6"/>
  <c r="AE13" i="6"/>
  <c r="S13" i="6"/>
  <c r="T13" i="6"/>
  <c r="Z13" i="6"/>
  <c r="Y13" i="6"/>
  <c r="V13" i="6"/>
  <c r="X13" i="6"/>
  <c r="U13" i="6"/>
  <c r="AA13" i="6"/>
  <c r="H13" i="6"/>
  <c r="AA8" i="6"/>
  <c r="Y8" i="6"/>
  <c r="T8" i="6"/>
  <c r="W8" i="6"/>
  <c r="S9" i="6"/>
  <c r="H9" i="6"/>
  <c r="R9" i="6"/>
  <c r="V9" i="6"/>
  <c r="Q9" i="6"/>
  <c r="Y9" i="6"/>
  <c r="P9" i="6"/>
  <c r="U9" i="6"/>
  <c r="AA9" i="6"/>
  <c r="T9" i="6"/>
  <c r="R8" i="6"/>
  <c r="Q40" i="4"/>
  <c r="I12" i="4"/>
  <c r="W14" i="6"/>
  <c r="H14" i="6"/>
  <c r="AC14" i="6"/>
  <c r="U14" i="6"/>
  <c r="AD14" i="6"/>
  <c r="V14" i="6"/>
  <c r="AF14" i="6"/>
  <c r="X14" i="6"/>
  <c r="AH14" i="6"/>
  <c r="Z14" i="6"/>
  <c r="AB14" i="6"/>
  <c r="AI14" i="6"/>
  <c r="S14" i="6"/>
  <c r="Y14" i="6"/>
  <c r="AW24" i="5"/>
  <c r="CD24" i="1"/>
  <c r="P70" i="5"/>
  <c r="AE40" i="2"/>
  <c r="AG21" i="6"/>
  <c r="AD21" i="6"/>
  <c r="AB21" i="6"/>
  <c r="AI21" i="6"/>
  <c r="Z21" i="6"/>
  <c r="AE21" i="6"/>
  <c r="AK21" i="6"/>
  <c r="AO21" i="6"/>
  <c r="AJ21" i="6"/>
  <c r="AF21" i="6"/>
  <c r="AM21" i="6"/>
  <c r="AP21" i="6"/>
  <c r="AP6" i="6" s="1"/>
  <c r="AC21" i="6"/>
  <c r="AH21" i="6"/>
  <c r="AW76" i="5"/>
  <c r="CK35" i="1"/>
  <c r="Z9" i="6"/>
  <c r="AA21" i="6"/>
  <c r="P30" i="5"/>
  <c r="O8" i="6"/>
  <c r="AC8" i="6"/>
  <c r="U8" i="6"/>
  <c r="M8" i="6"/>
  <c r="M6" i="6" s="1"/>
  <c r="AW74" i="5"/>
  <c r="AD9" i="6"/>
  <c r="Q8" i="6"/>
  <c r="P8" i="6"/>
  <c r="Z40" i="4"/>
  <c r="I21" i="4"/>
  <c r="CK22" i="1"/>
  <c r="AW63" i="5"/>
  <c r="AI18" i="6"/>
  <c r="W18" i="6"/>
  <c r="AE18" i="6"/>
  <c r="Z18" i="6"/>
  <c r="AA18" i="6"/>
  <c r="H18" i="6"/>
  <c r="AL18" i="6"/>
  <c r="AH18" i="6"/>
  <c r="X18" i="6"/>
  <c r="AJ18" i="6"/>
  <c r="AC18" i="6"/>
  <c r="AM18" i="6"/>
  <c r="AG18" i="6"/>
  <c r="Y18" i="6"/>
  <c r="Z8" i="6"/>
  <c r="S8" i="6"/>
  <c r="E7" i="6"/>
  <c r="AW61" i="5"/>
  <c r="N9" i="6"/>
  <c r="N6" i="6" s="1"/>
  <c r="AC9" i="6"/>
  <c r="H21" i="6"/>
  <c r="T14" i="6"/>
  <c r="AF18" i="6"/>
  <c r="AD13" i="6"/>
  <c r="I25" i="4"/>
  <c r="I10" i="2"/>
  <c r="CD7" i="1"/>
  <c r="O6" i="6" l="1"/>
  <c r="O40" i="6" s="1"/>
  <c r="R6" i="6"/>
  <c r="R40" i="6" s="1"/>
  <c r="S6" i="6"/>
  <c r="I14" i="6" s="1"/>
  <c r="E53" i="5" s="1"/>
  <c r="AW35" i="5"/>
  <c r="CD13" i="1"/>
  <c r="CK12" i="1"/>
  <c r="CK30" i="1"/>
  <c r="CK32" i="1"/>
  <c r="AW23" i="5"/>
  <c r="AN6" i="6"/>
  <c r="I35" i="6" s="1"/>
  <c r="E74" i="5" s="1"/>
  <c r="AW66" i="5"/>
  <c r="AW17" i="5"/>
  <c r="AW33" i="5"/>
  <c r="AW70" i="5"/>
  <c r="AW14" i="5"/>
  <c r="AW49" i="5"/>
  <c r="CK14" i="1"/>
  <c r="AW55" i="5"/>
  <c r="AW47" i="5"/>
  <c r="CK6" i="1"/>
  <c r="CK24" i="1"/>
  <c r="AW65" i="5"/>
  <c r="CD32" i="1"/>
  <c r="AW32" i="5"/>
  <c r="AM6" i="6"/>
  <c r="AM40" i="6" s="1"/>
  <c r="CK28" i="1"/>
  <c r="AW69" i="5"/>
  <c r="CK18" i="1"/>
  <c r="AW59" i="5"/>
  <c r="CD6" i="1"/>
  <c r="AW6" i="5"/>
  <c r="CD34" i="1"/>
  <c r="AW34" i="5"/>
  <c r="N40" i="6"/>
  <c r="I9" i="6"/>
  <c r="E48" i="5" s="1"/>
  <c r="O10" i="5" s="1"/>
  <c r="P73" i="5"/>
  <c r="P65" i="5" s="1"/>
  <c r="U6" i="6"/>
  <c r="CK27" i="1"/>
  <c r="AW68" i="5"/>
  <c r="CK11" i="1"/>
  <c r="AW52" i="5"/>
  <c r="CD8" i="1"/>
  <c r="AW8" i="5"/>
  <c r="I37" i="6"/>
  <c r="E76" i="5" s="1"/>
  <c r="AP40" i="6"/>
  <c r="T6" i="6"/>
  <c r="CD26" i="1"/>
  <c r="AW26" i="5"/>
  <c r="AO6" i="6"/>
  <c r="CK13" i="1"/>
  <c r="AW54" i="5"/>
  <c r="AW67" i="5"/>
  <c r="CK26" i="1"/>
  <c r="AN40" i="6"/>
  <c r="AW64" i="5"/>
  <c r="CK23" i="1"/>
  <c r="P6" i="6"/>
  <c r="M40" i="6"/>
  <c r="I8" i="6"/>
  <c r="E47" i="5" s="1"/>
  <c r="P32" i="5"/>
  <c r="P24" i="5" s="1"/>
  <c r="CK7" i="1"/>
  <c r="AW48" i="5"/>
  <c r="AW56" i="5"/>
  <c r="CK15" i="1"/>
  <c r="Q6" i="6"/>
  <c r="CK10" i="1"/>
  <c r="AW51" i="5"/>
  <c r="AW58" i="5"/>
  <c r="CK17" i="1"/>
  <c r="AW28" i="5"/>
  <c r="CD28" i="1"/>
  <c r="AW60" i="5"/>
  <c r="CK19" i="1"/>
  <c r="CD12" i="1"/>
  <c r="AW12" i="5"/>
  <c r="AW22" i="5"/>
  <c r="CD22" i="1"/>
  <c r="AK17" i="6"/>
  <c r="AK6" i="6" s="1"/>
  <c r="X17" i="6"/>
  <c r="X6" i="6" s="1"/>
  <c r="H17" i="6"/>
  <c r="H7" i="6" s="1"/>
  <c r="AC17" i="6"/>
  <c r="AC6" i="6" s="1"/>
  <c r="AI17" i="6"/>
  <c r="AI6" i="6" s="1"/>
  <c r="Z17" i="6"/>
  <c r="Z6" i="6" s="1"/>
  <c r="AH17" i="6"/>
  <c r="AH6" i="6" s="1"/>
  <c r="AD17" i="6"/>
  <c r="AD6" i="6" s="1"/>
  <c r="AA17" i="6"/>
  <c r="AA6" i="6" s="1"/>
  <c r="W17" i="6"/>
  <c r="W6" i="6" s="1"/>
  <c r="AB17" i="6"/>
  <c r="AB6" i="6" s="1"/>
  <c r="AL17" i="6"/>
  <c r="AL6" i="6" s="1"/>
  <c r="AE17" i="6"/>
  <c r="AE6" i="6" s="1"/>
  <c r="AJ17" i="6"/>
  <c r="AJ6" i="6" s="1"/>
  <c r="V17" i="6"/>
  <c r="V6" i="6" s="1"/>
  <c r="AF17" i="6"/>
  <c r="AF6" i="6" s="1"/>
  <c r="Y17" i="6"/>
  <c r="Y6" i="6" s="1"/>
  <c r="AG17" i="6"/>
  <c r="AG6" i="6" s="1"/>
  <c r="AW15" i="5"/>
  <c r="CD15" i="1"/>
  <c r="I13" i="6" l="1"/>
  <c r="E52" i="5" s="1"/>
  <c r="S40" i="6"/>
  <c r="I34" i="6"/>
  <c r="E73" i="5" s="1"/>
  <c r="I10" i="6"/>
  <c r="E49" i="5" s="1"/>
  <c r="O11" i="5" s="1"/>
  <c r="CD5" i="1"/>
  <c r="I17" i="6"/>
  <c r="E56" i="5" s="1"/>
  <c r="V40" i="6"/>
  <c r="K6" i="6"/>
  <c r="AH40" i="6"/>
  <c r="I29" i="6"/>
  <c r="E68" i="5" s="1"/>
  <c r="O19" i="5" s="1"/>
  <c r="I28" i="6"/>
  <c r="E67" i="5" s="1"/>
  <c r="O18" i="5" s="1"/>
  <c r="AG40" i="6"/>
  <c r="I21" i="6"/>
  <c r="E60" i="5" s="1"/>
  <c r="Z40" i="6"/>
  <c r="Y40" i="6"/>
  <c r="I20" i="6"/>
  <c r="E59" i="5" s="1"/>
  <c r="I18" i="6"/>
  <c r="E57" i="5" s="1"/>
  <c r="W40" i="6"/>
  <c r="AA40" i="6"/>
  <c r="I22" i="6"/>
  <c r="E61" i="5" s="1"/>
  <c r="AK40" i="6"/>
  <c r="I32" i="6"/>
  <c r="E71" i="5" s="1"/>
  <c r="AF40" i="6"/>
  <c r="I27" i="6"/>
  <c r="E66" i="5" s="1"/>
  <c r="AD40" i="6"/>
  <c r="I25" i="6"/>
  <c r="E64" i="5" s="1"/>
  <c r="O15" i="5" s="1"/>
  <c r="AC40" i="6"/>
  <c r="I24" i="6"/>
  <c r="E63" i="5" s="1"/>
  <c r="I33" i="6"/>
  <c r="E72" i="5" s="1"/>
  <c r="AL40" i="6"/>
  <c r="AW46" i="5"/>
  <c r="AO40" i="6"/>
  <c r="I36" i="6"/>
  <c r="E75" i="5" s="1"/>
  <c r="I26" i="6"/>
  <c r="E65" i="5" s="1"/>
  <c r="AE40" i="6"/>
  <c r="I19" i="6"/>
  <c r="E58" i="5" s="1"/>
  <c r="X40" i="6"/>
  <c r="I11" i="6"/>
  <c r="E50" i="5" s="1"/>
  <c r="P40" i="6"/>
  <c r="AJ40" i="6"/>
  <c r="I31" i="6"/>
  <c r="E70" i="5" s="1"/>
  <c r="I12" i="6"/>
  <c r="E51" i="5" s="1"/>
  <c r="Q40" i="6"/>
  <c r="O9" i="5"/>
  <c r="I30" i="6"/>
  <c r="E69" i="5" s="1"/>
  <c r="AI40" i="6"/>
  <c r="AB40" i="6"/>
  <c r="I23" i="6"/>
  <c r="E62" i="5" s="1"/>
  <c r="CK5" i="1"/>
  <c r="P25" i="5"/>
  <c r="AW5" i="5"/>
  <c r="P26" i="5"/>
  <c r="I16" i="6"/>
  <c r="E55" i="5" s="1"/>
  <c r="U40" i="6"/>
  <c r="P67" i="5"/>
  <c r="P66" i="5"/>
  <c r="I15" i="6"/>
  <c r="E54" i="5" s="1"/>
  <c r="T40" i="6"/>
  <c r="E46" i="5" l="1"/>
  <c r="O8" i="5" s="1"/>
  <c r="O16" i="5"/>
  <c r="O14" i="5"/>
  <c r="O17" i="5"/>
  <c r="O13" i="5"/>
  <c r="O12" i="5"/>
  <c r="E78" i="5"/>
</calcChain>
</file>

<file path=xl/sharedStrings.xml><?xml version="1.0" encoding="utf-8"?>
<sst xmlns="http://schemas.openxmlformats.org/spreadsheetml/2006/main" count="524" uniqueCount="49">
  <si>
    <t>FULL TIME</t>
  </si>
  <si>
    <t>SHIFTS</t>
  </si>
  <si>
    <t>START</t>
  </si>
  <si>
    <t>END</t>
  </si>
  <si>
    <t>Peak</t>
  </si>
  <si>
    <t>ENTER THE NUMBER OF SHIFTS BY START TIMES</t>
  </si>
  <si>
    <t>VOLUME</t>
  </si>
  <si>
    <t>REQ</t>
  </si>
  <si>
    <t>SCHE</t>
  </si>
  <si>
    <t>SCH</t>
  </si>
  <si>
    <t>Required 8hr shifts</t>
  </si>
  <si>
    <t>SAT</t>
  </si>
  <si>
    <t>SUN</t>
  </si>
  <si>
    <t>SUB</t>
  </si>
  <si>
    <t>MON</t>
  </si>
  <si>
    <t>Splitt</t>
  </si>
  <si>
    <t>TOTAL</t>
  </si>
  <si>
    <t>TUE</t>
  </si>
  <si>
    <t>WED</t>
  </si>
  <si>
    <t>THU</t>
  </si>
  <si>
    <t>FRI</t>
  </si>
  <si>
    <t>RESULTING NET</t>
  </si>
  <si>
    <t>REQUIREMENTS</t>
  </si>
  <si>
    <t>Mon</t>
  </si>
  <si>
    <t>Tue</t>
  </si>
  <si>
    <t>Wed</t>
  </si>
  <si>
    <t>Thu</t>
  </si>
  <si>
    <t>Fri</t>
  </si>
  <si>
    <t>Sat</t>
  </si>
  <si>
    <t>Sun</t>
  </si>
  <si>
    <t>NEW RESULTING NET</t>
  </si>
  <si>
    <t>SPLIT</t>
  </si>
  <si>
    <t>4HR PT</t>
  </si>
  <si>
    <t>PART TME SHIFTS</t>
  </si>
  <si>
    <t>SPLIT SHIFTS</t>
  </si>
  <si>
    <t>ORIGINAL NET</t>
  </si>
  <si>
    <t>FULL TME SHIFTS</t>
  </si>
  <si>
    <t>SCHEDULE DIST %</t>
  </si>
  <si>
    <t xml:space="preserve">SCHEDULE DIST </t>
  </si>
  <si>
    <t>GOAL</t>
  </si>
  <si>
    <t>ACTUAL</t>
  </si>
  <si>
    <t>SUGGESTED NET</t>
  </si>
  <si>
    <t xml:space="preserve">6HR </t>
  </si>
  <si>
    <t>SHIFT</t>
  </si>
  <si>
    <t xml:space="preserve">4HR </t>
  </si>
  <si>
    <t>SHIFTS BY START TIMES</t>
  </si>
  <si>
    <t>MKTS &amp; LSS</t>
  </si>
  <si>
    <t>SPANISH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</si>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</sst>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[$-409]h:mm\ AM/PM;@"/>
    <numFmt numFmtId="166" formatCode="[$-409]mmm\-yy;@"/>
    <numFmt numFmtId="167" formatCode="m/d;@"/>
  </numFmts>
  <fonts count="29" x14ac:knownFonts="1">
    <font>
      <sz val="10"/>
      <name val="Arial"/>
    </font>
    <font>
      <sz val="10"/>
      <name val="Arial"/>
    </font>
    <font>
      <sz val="8"/>
      <name val="Arial"/>
    </font>
    <font>
      <sz val="14"/>
      <name val="Calibri"/>
      <family val="2"/>
    </font>
    <font>
      <b/>
      <sz val="14"/>
      <color indexed="12"/>
      <name val="Calibri"/>
      <family val="2"/>
    </font>
    <font>
      <sz val="12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b/>
      <sz val="16"/>
      <color indexed="12"/>
      <name val="Calibri"/>
      <family val="2"/>
    </font>
    <font>
      <b/>
      <sz val="16"/>
      <color indexed="10"/>
      <name val="Calibri"/>
      <family val="2"/>
    </font>
    <font>
      <sz val="16"/>
      <color indexed="9"/>
      <name val="Calibri"/>
      <family val="2"/>
    </font>
    <font>
      <b/>
      <sz val="16"/>
      <color indexed="9"/>
      <name val="Calibri"/>
      <family val="2"/>
    </font>
    <font>
      <b/>
      <sz val="14"/>
      <color indexed="9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20"/>
      <color indexed="12"/>
      <name val="Calibri"/>
      <family val="2"/>
    </font>
    <font>
      <sz val="16"/>
      <color indexed="10"/>
      <name val="Calibri"/>
      <family val="2"/>
    </font>
    <font>
      <sz val="12"/>
      <color indexed="10"/>
      <name val="Calibri"/>
      <family val="2"/>
    </font>
    <font>
      <b/>
      <sz val="18"/>
      <color indexed="9"/>
      <name val="Calibri"/>
      <family val="2"/>
    </font>
    <font>
      <sz val="18"/>
      <name val="Calibri"/>
      <family val="2"/>
    </font>
    <font>
      <sz val="20"/>
      <name val="Calibri"/>
      <family val="2"/>
    </font>
    <font>
      <b/>
      <sz val="20"/>
      <color indexed="9"/>
      <name val="Calibri"/>
      <family val="2"/>
    </font>
    <font>
      <sz val="20"/>
      <color indexed="9"/>
      <name val="Calibri"/>
      <family val="2"/>
    </font>
    <font>
      <b/>
      <sz val="20"/>
      <color indexed="10"/>
      <name val="Calibri"/>
      <family val="2"/>
    </font>
    <font>
      <b/>
      <sz val="20"/>
      <name val="Calibri"/>
      <family val="2"/>
    </font>
    <font>
      <sz val="20"/>
      <color indexed="10"/>
      <name val="Calibri"/>
      <family val="2"/>
    </font>
    <font>
      <b/>
      <sz val="18"/>
      <color indexed="12"/>
      <name val="Calibri"/>
      <family val="2"/>
    </font>
    <font>
      <sz val="18"/>
      <color indexed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0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Border="0" applyAlignment="0" applyProtection="0"/>
    <xf numFmtId="9" fontId="1" fillId="0" borderId="0" applyFont="0" applyBorder="0" applyAlignment="0" applyProtection="0"/>
  </cellStyleXfs>
  <cellXfs count="550">
    <xf numFmtId="0" fontId="0" fillId="0" borderId="0" xfId="0"/>
    <xf numFmtId="0" fontId="7" fillId="0" borderId="0" xfId="0" applyFont="1" applyFill="1" applyBorder="1" applyAlignment="1" applyProtection="1">
      <alignment horizontal="center"/>
      <protection hidden="1"/>
    </xf>
    <xf numFmtId="167" fontId="7" fillId="0" borderId="2" xfId="0" applyNumberFormat="1" applyFont="1" applyFill="1" applyBorder="1" applyAlignment="1" applyProtection="1">
      <alignment horizontal="center"/>
      <protection hidden="1"/>
    </xf>
    <xf numFmtId="167" fontId="7" fillId="0" borderId="0" xfId="0" applyNumberFormat="1" applyFont="1" applyFill="1" applyBorder="1" applyAlignment="1" applyProtection="1">
      <alignment horizontal="center"/>
      <protection hidden="1"/>
    </xf>
    <xf numFmtId="1" fontId="7" fillId="0" borderId="3" xfId="0" applyNumberFormat="1" applyFont="1" applyFill="1" applyBorder="1" applyAlignment="1" applyProtection="1">
      <alignment horizontal="center"/>
      <protection hidden="1"/>
    </xf>
    <xf numFmtId="1" fontId="7" fillId="0" borderId="4" xfId="0" applyNumberFormat="1" applyFont="1" applyFill="1" applyBorder="1" applyAlignment="1" applyProtection="1">
      <alignment horizontal="center"/>
      <protection hidden="1"/>
    </xf>
    <xf numFmtId="165" fontId="6" fillId="0" borderId="0" xfId="0" applyNumberFormat="1" applyFont="1" applyFill="1" applyBorder="1" applyAlignment="1" applyProtection="1">
      <alignment horizontal="right"/>
      <protection hidden="1"/>
    </xf>
    <xf numFmtId="1" fontId="7" fillId="0" borderId="5" xfId="0" applyNumberFormat="1" applyFont="1" applyFill="1" applyBorder="1" applyAlignment="1" applyProtection="1">
      <alignment horizontal="center"/>
      <protection hidden="1"/>
    </xf>
    <xf numFmtId="1" fontId="7" fillId="0" borderId="0" xfId="0" applyNumberFormat="1" applyFont="1" applyFill="1" applyBorder="1" applyAlignment="1" applyProtection="1">
      <alignment horizontal="center"/>
      <protection hidden="1"/>
    </xf>
    <xf numFmtId="1" fontId="8" fillId="0" borderId="0" xfId="0" applyNumberFormat="1" applyFont="1" applyFill="1" applyBorder="1" applyAlignment="1" applyProtection="1">
      <alignment horizontal="center"/>
      <protection hidden="1"/>
    </xf>
    <xf numFmtId="1" fontId="11" fillId="0" borderId="0" xfId="0" applyNumberFormat="1" applyFont="1" applyFill="1" applyBorder="1" applyAlignment="1" applyProtection="1">
      <alignment horizontal="center"/>
      <protection hidden="1"/>
    </xf>
    <xf numFmtId="3" fontId="11" fillId="2" borderId="0" xfId="0" applyNumberFormat="1" applyFont="1" applyFill="1" applyBorder="1" applyAlignment="1" applyProtection="1">
      <alignment horizontal="right"/>
      <protection hidden="1"/>
    </xf>
    <xf numFmtId="3" fontId="6" fillId="0" borderId="6" xfId="1" applyNumberFormat="1" applyFont="1" applyFill="1" applyBorder="1" applyAlignment="1" applyProtection="1">
      <alignment horizontal="center" vertical="center"/>
      <protection hidden="1"/>
    </xf>
    <xf numFmtId="3" fontId="6" fillId="0" borderId="7" xfId="1" applyNumberFormat="1" applyFont="1" applyFill="1" applyBorder="1" applyAlignment="1" applyProtection="1">
      <alignment horizontal="center" vertical="center"/>
      <protection hidden="1"/>
    </xf>
    <xf numFmtId="3" fontId="6" fillId="0" borderId="8" xfId="1" applyNumberFormat="1" applyFont="1" applyFill="1" applyBorder="1" applyAlignment="1" applyProtection="1">
      <alignment horizontal="center" vertical="center"/>
      <protection hidden="1"/>
    </xf>
    <xf numFmtId="3" fontId="6" fillId="0" borderId="0" xfId="1" applyNumberFormat="1" applyFont="1" applyFill="1" applyBorder="1" applyAlignment="1" applyProtection="1">
      <alignment horizontal="center" vertical="center"/>
      <protection hidden="1"/>
    </xf>
    <xf numFmtId="38" fontId="6" fillId="0" borderId="6" xfId="1" applyNumberFormat="1" applyFont="1" applyFill="1" applyBorder="1" applyAlignment="1" applyProtection="1">
      <alignment horizontal="center" vertical="center"/>
      <protection hidden="1"/>
    </xf>
    <xf numFmtId="3" fontId="6" fillId="0" borderId="9" xfId="1" applyNumberFormat="1" applyFont="1" applyFill="1" applyBorder="1" applyAlignment="1" applyProtection="1">
      <alignment horizontal="center" vertical="center"/>
      <protection hidden="1"/>
    </xf>
    <xf numFmtId="3" fontId="6" fillId="0" borderId="10" xfId="1" applyNumberFormat="1" applyFont="1" applyFill="1" applyBorder="1" applyAlignment="1" applyProtection="1">
      <alignment horizontal="center" vertical="center"/>
      <protection hidden="1"/>
    </xf>
    <xf numFmtId="3" fontId="6" fillId="0" borderId="11" xfId="1" applyNumberFormat="1" applyFont="1" applyFill="1" applyBorder="1" applyAlignment="1" applyProtection="1">
      <alignment horizontal="center" vertical="center"/>
      <protection hidden="1"/>
    </xf>
    <xf numFmtId="38" fontId="6" fillId="0" borderId="9" xfId="1" applyNumberFormat="1" applyFont="1" applyFill="1" applyBorder="1" applyAlignment="1" applyProtection="1">
      <alignment horizontal="center" vertical="center"/>
      <protection hidden="1"/>
    </xf>
    <xf numFmtId="1" fontId="6" fillId="0" borderId="0" xfId="0" applyNumberFormat="1" applyFont="1" applyFill="1" applyBorder="1" applyAlignment="1" applyProtection="1">
      <alignment horizontal="right"/>
      <protection hidden="1"/>
    </xf>
    <xf numFmtId="3" fontId="11" fillId="3" borderId="3" xfId="0" applyNumberFormat="1" applyFont="1" applyFill="1" applyBorder="1" applyAlignment="1" applyProtection="1">
      <alignment horizontal="center"/>
      <protection hidden="1"/>
    </xf>
    <xf numFmtId="3" fontId="11" fillId="3" borderId="4" xfId="0" applyNumberFormat="1" applyFont="1" applyFill="1" applyBorder="1" applyAlignment="1" applyProtection="1">
      <alignment horizontal="center"/>
      <protection hidden="1"/>
    </xf>
    <xf numFmtId="3" fontId="11" fillId="3" borderId="5" xfId="0" applyNumberFormat="1" applyFont="1" applyFill="1" applyBorder="1" applyAlignment="1" applyProtection="1">
      <alignment horizontal="center"/>
      <protection hidden="1"/>
    </xf>
    <xf numFmtId="3" fontId="11" fillId="2" borderId="12" xfId="0" applyNumberFormat="1" applyFont="1" applyFill="1" applyBorder="1" applyAlignment="1" applyProtection="1">
      <alignment horizontal="right"/>
      <protection hidden="1"/>
    </xf>
    <xf numFmtId="38" fontId="6" fillId="0" borderId="13" xfId="1" applyNumberFormat="1" applyFont="1" applyFill="1" applyBorder="1" applyAlignment="1" applyProtection="1">
      <alignment horizontal="center" vertical="center"/>
      <protection hidden="1"/>
    </xf>
    <xf numFmtId="165" fontId="7" fillId="0" borderId="0" xfId="0" applyNumberFormat="1" applyFont="1" applyFill="1" applyBorder="1" applyAlignment="1" applyProtection="1">
      <alignment horizontal="right"/>
      <protection hidden="1"/>
    </xf>
    <xf numFmtId="167" fontId="7" fillId="0" borderId="14" xfId="0" applyNumberFormat="1" applyFont="1" applyFill="1" applyBorder="1" applyAlignment="1" applyProtection="1">
      <alignment horizontal="center"/>
      <protection hidden="1"/>
    </xf>
    <xf numFmtId="167" fontId="7" fillId="0" borderId="15" xfId="0" applyNumberFormat="1" applyFont="1" applyFill="1" applyBorder="1" applyAlignment="1" applyProtection="1">
      <alignment horizontal="center"/>
      <protection hidden="1"/>
    </xf>
    <xf numFmtId="3" fontId="7" fillId="0" borderId="0" xfId="1" applyNumberFormat="1" applyFont="1" applyFill="1" applyBorder="1" applyAlignment="1" applyProtection="1">
      <alignment horizontal="center" vertical="center"/>
      <protection hidden="1"/>
    </xf>
    <xf numFmtId="9" fontId="6" fillId="0" borderId="6" xfId="1" applyNumberFormat="1" applyFont="1" applyFill="1" applyBorder="1" applyAlignment="1" applyProtection="1">
      <alignment horizontal="center" vertical="center"/>
      <protection hidden="1"/>
    </xf>
    <xf numFmtId="9" fontId="6" fillId="0" borderId="7" xfId="1" applyNumberFormat="1" applyFont="1" applyFill="1" applyBorder="1" applyAlignment="1" applyProtection="1">
      <alignment horizontal="center" vertical="center"/>
      <protection hidden="1"/>
    </xf>
    <xf numFmtId="9" fontId="6" fillId="0" borderId="8" xfId="1" applyNumberFormat="1" applyFont="1" applyFill="1" applyBorder="1" applyAlignment="1" applyProtection="1">
      <alignment horizontal="center" vertical="center"/>
      <protection hidden="1"/>
    </xf>
    <xf numFmtId="9" fontId="6" fillId="4" borderId="9" xfId="1" applyNumberFormat="1" applyFont="1" applyFill="1" applyBorder="1" applyAlignment="1" applyProtection="1">
      <alignment horizontal="center" vertical="center"/>
      <protection hidden="1"/>
    </xf>
    <xf numFmtId="9" fontId="6" fillId="4" borderId="10" xfId="1" applyNumberFormat="1" applyFont="1" applyFill="1" applyBorder="1" applyAlignment="1" applyProtection="1">
      <alignment horizontal="center" vertical="center"/>
      <protection hidden="1"/>
    </xf>
    <xf numFmtId="9" fontId="6" fillId="4" borderId="11" xfId="1" applyNumberFormat="1" applyFont="1" applyFill="1" applyBorder="1" applyAlignment="1" applyProtection="1">
      <alignment horizontal="center" vertical="center"/>
      <protection hidden="1"/>
    </xf>
    <xf numFmtId="9" fontId="6" fillId="0" borderId="9" xfId="1" applyNumberFormat="1" applyFont="1" applyFill="1" applyBorder="1" applyAlignment="1" applyProtection="1">
      <alignment horizontal="center" vertical="center"/>
      <protection hidden="1"/>
    </xf>
    <xf numFmtId="9" fontId="6" fillId="0" borderId="10" xfId="1" applyNumberFormat="1" applyFont="1" applyFill="1" applyBorder="1" applyAlignment="1" applyProtection="1">
      <alignment horizontal="center" vertical="center"/>
      <protection hidden="1"/>
    </xf>
    <xf numFmtId="9" fontId="6" fillId="0" borderId="11" xfId="1" applyNumberFormat="1" applyFont="1" applyFill="1" applyBorder="1" applyAlignment="1" applyProtection="1">
      <alignment horizontal="center" vertical="center"/>
      <protection hidden="1"/>
    </xf>
    <xf numFmtId="9" fontId="6" fillId="0" borderId="13" xfId="1" applyNumberFormat="1" applyFont="1" applyFill="1" applyBorder="1" applyAlignment="1" applyProtection="1">
      <alignment horizontal="center" vertical="center"/>
      <protection hidden="1"/>
    </xf>
    <xf numFmtId="9" fontId="6" fillId="0" borderId="16" xfId="1" applyNumberFormat="1" applyFont="1" applyFill="1" applyBorder="1" applyAlignment="1" applyProtection="1">
      <alignment horizontal="center" vertical="center"/>
      <protection hidden="1"/>
    </xf>
    <xf numFmtId="9" fontId="6" fillId="0" borderId="17" xfId="1" applyNumberFormat="1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horizontal="right"/>
      <protection hidden="1"/>
    </xf>
    <xf numFmtId="3" fontId="12" fillId="3" borderId="0" xfId="0" applyNumberFormat="1" applyFont="1" applyFill="1" applyBorder="1" applyAlignment="1" applyProtection="1">
      <alignment horizontal="center"/>
      <protection hidden="1"/>
    </xf>
    <xf numFmtId="38" fontId="6" fillId="0" borderId="7" xfId="1" applyNumberFormat="1" applyFont="1" applyFill="1" applyBorder="1" applyAlignment="1" applyProtection="1">
      <alignment horizontal="center" vertical="center"/>
      <protection hidden="1"/>
    </xf>
    <xf numFmtId="38" fontId="6" fillId="0" borderId="8" xfId="1" applyNumberFormat="1" applyFont="1" applyFill="1" applyBorder="1" applyAlignment="1" applyProtection="1">
      <alignment horizontal="center" vertical="center"/>
      <protection hidden="1"/>
    </xf>
    <xf numFmtId="38" fontId="6" fillId="0" borderId="10" xfId="1" applyNumberFormat="1" applyFont="1" applyFill="1" applyBorder="1" applyAlignment="1" applyProtection="1">
      <alignment horizontal="center" vertical="center"/>
      <protection hidden="1"/>
    </xf>
    <xf numFmtId="38" fontId="6" fillId="0" borderId="11" xfId="1" applyNumberFormat="1" applyFont="1" applyFill="1" applyBorder="1" applyAlignment="1" applyProtection="1">
      <alignment horizontal="center" vertical="center"/>
      <protection hidden="1"/>
    </xf>
    <xf numFmtId="38" fontId="6" fillId="0" borderId="16" xfId="1" applyNumberFormat="1" applyFont="1" applyFill="1" applyBorder="1" applyAlignment="1" applyProtection="1">
      <alignment horizontal="center" vertical="center"/>
      <protection hidden="1"/>
    </xf>
    <xf numFmtId="38" fontId="6" fillId="0" borderId="17" xfId="1" applyNumberFormat="1" applyFont="1" applyFill="1" applyBorder="1" applyAlignment="1" applyProtection="1">
      <alignment horizontal="center" vertical="center"/>
      <protection hidden="1"/>
    </xf>
    <xf numFmtId="38" fontId="11" fillId="3" borderId="4" xfId="0" applyNumberFormat="1" applyFont="1" applyFill="1" applyBorder="1" applyAlignment="1" applyProtection="1">
      <alignment horizontal="center"/>
      <protection hidden="1"/>
    </xf>
    <xf numFmtId="165" fontId="13" fillId="0" borderId="0" xfId="0" applyNumberFormat="1" applyFont="1" applyProtection="1">
      <protection hidden="1"/>
    </xf>
    <xf numFmtId="165" fontId="13" fillId="0" borderId="0" xfId="0" applyNumberFormat="1" applyFont="1" applyAlignment="1" applyProtection="1">
      <alignment horizontal="center"/>
      <protection hidden="1"/>
    </xf>
    <xf numFmtId="165" fontId="13" fillId="0" borderId="18" xfId="0" applyNumberFormat="1" applyFont="1" applyFill="1" applyBorder="1" applyAlignment="1" applyProtection="1">
      <alignment horizontal="right" vertical="top" wrapText="1"/>
      <protection hidden="1"/>
    </xf>
    <xf numFmtId="0" fontId="13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164" fontId="13" fillId="0" borderId="0" xfId="0" applyNumberFormat="1" applyFont="1" applyAlignment="1" applyProtection="1">
      <alignment horizontal="center"/>
      <protection hidden="1"/>
    </xf>
    <xf numFmtId="164" fontId="14" fillId="5" borderId="18" xfId="0" applyNumberFormat="1" applyFont="1" applyFill="1" applyBorder="1" applyAlignment="1" applyProtection="1">
      <alignment horizontal="center"/>
      <protection hidden="1"/>
    </xf>
    <xf numFmtId="164" fontId="15" fillId="0" borderId="0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Fill="1" applyBorder="1" applyAlignment="1" applyProtection="1">
      <alignment horizontal="right" vertical="top" wrapText="1"/>
      <protection hidden="1"/>
    </xf>
    <xf numFmtId="0" fontId="13" fillId="0" borderId="10" xfId="0" applyFont="1" applyBorder="1" applyAlignment="1" applyProtection="1">
      <alignment horizontal="center"/>
      <protection hidden="1"/>
    </xf>
    <xf numFmtId="0" fontId="3" fillId="0" borderId="0" xfId="0" applyFont="1" applyBorder="1" applyProtection="1">
      <protection hidden="1"/>
    </xf>
    <xf numFmtId="0" fontId="3" fillId="0" borderId="0" xfId="0" applyFont="1" applyBorder="1" applyAlignment="1" applyProtection="1">
      <alignment horizontal="right"/>
      <protection hidden="1"/>
    </xf>
    <xf numFmtId="0" fontId="3" fillId="0" borderId="0" xfId="0" applyFont="1" applyFill="1" applyBorder="1" applyProtection="1">
      <protection hidden="1"/>
    </xf>
    <xf numFmtId="0" fontId="5" fillId="0" borderId="0" xfId="0" applyFont="1" applyFill="1" applyBorder="1" applyProtection="1">
      <protection hidden="1"/>
    </xf>
    <xf numFmtId="0" fontId="5" fillId="0" borderId="0" xfId="0" applyFont="1" applyBorder="1" applyProtection="1">
      <protection hidden="1"/>
    </xf>
    <xf numFmtId="1" fontId="5" fillId="0" borderId="0" xfId="0" applyNumberFormat="1" applyFont="1" applyFill="1" applyBorder="1" applyProtection="1">
      <protection hidden="1"/>
    </xf>
    <xf numFmtId="3" fontId="6" fillId="0" borderId="19" xfId="1" applyNumberFormat="1" applyFont="1" applyFill="1" applyBorder="1" applyAlignment="1" applyProtection="1">
      <alignment horizontal="center" vertical="center"/>
      <protection hidden="1"/>
    </xf>
    <xf numFmtId="3" fontId="6" fillId="0" borderId="20" xfId="1" applyNumberFormat="1" applyFont="1" applyFill="1" applyBorder="1" applyAlignment="1" applyProtection="1">
      <alignment horizontal="center" vertical="center"/>
      <protection hidden="1"/>
    </xf>
    <xf numFmtId="3" fontId="11" fillId="3" borderId="21" xfId="0" applyNumberFormat="1" applyFont="1" applyFill="1" applyBorder="1" applyAlignment="1" applyProtection="1">
      <alignment horizontal="center"/>
      <protection hidden="1"/>
    </xf>
    <xf numFmtId="3" fontId="6" fillId="0" borderId="22" xfId="1" applyNumberFormat="1" applyFont="1" applyFill="1" applyBorder="1" applyAlignment="1" applyProtection="1">
      <alignment horizontal="center" vertical="center"/>
      <protection hidden="1"/>
    </xf>
    <xf numFmtId="3" fontId="6" fillId="0" borderId="23" xfId="1" applyNumberFormat="1" applyFont="1" applyFill="1" applyBorder="1" applyAlignment="1" applyProtection="1">
      <alignment horizontal="center" vertical="center"/>
      <protection hidden="1"/>
    </xf>
    <xf numFmtId="3" fontId="11" fillId="3" borderId="24" xfId="0" applyNumberFormat="1" applyFont="1" applyFill="1" applyBorder="1" applyAlignment="1" applyProtection="1">
      <alignment horizontal="center"/>
      <protection hidden="1"/>
    </xf>
    <xf numFmtId="9" fontId="6" fillId="0" borderId="19" xfId="1" applyNumberFormat="1" applyFont="1" applyFill="1" applyBorder="1" applyAlignment="1" applyProtection="1">
      <alignment horizontal="center" vertical="center"/>
      <protection hidden="1"/>
    </xf>
    <xf numFmtId="9" fontId="6" fillId="4" borderId="20" xfId="1" applyNumberFormat="1" applyFont="1" applyFill="1" applyBorder="1" applyAlignment="1" applyProtection="1">
      <alignment horizontal="center" vertical="center"/>
      <protection hidden="1"/>
    </xf>
    <xf numFmtId="9" fontId="6" fillId="0" borderId="20" xfId="1" applyNumberFormat="1" applyFont="1" applyFill="1" applyBorder="1" applyAlignment="1" applyProtection="1">
      <alignment horizontal="center" vertical="center"/>
      <protection hidden="1"/>
    </xf>
    <xf numFmtId="9" fontId="6" fillId="0" borderId="25" xfId="1" applyNumberFormat="1" applyFont="1" applyFill="1" applyBorder="1" applyAlignment="1" applyProtection="1">
      <alignment horizontal="center" vertical="center"/>
      <protection hidden="1"/>
    </xf>
    <xf numFmtId="9" fontId="6" fillId="0" borderId="22" xfId="1" applyNumberFormat="1" applyFont="1" applyFill="1" applyBorder="1" applyAlignment="1" applyProtection="1">
      <alignment horizontal="center" vertical="center"/>
      <protection hidden="1"/>
    </xf>
    <xf numFmtId="9" fontId="6" fillId="4" borderId="23" xfId="1" applyNumberFormat="1" applyFont="1" applyFill="1" applyBorder="1" applyAlignment="1" applyProtection="1">
      <alignment horizontal="center" vertical="center"/>
      <protection hidden="1"/>
    </xf>
    <xf numFmtId="9" fontId="6" fillId="0" borderId="23" xfId="1" applyNumberFormat="1" applyFont="1" applyFill="1" applyBorder="1" applyAlignment="1" applyProtection="1">
      <alignment horizontal="center" vertical="center"/>
      <protection hidden="1"/>
    </xf>
    <xf numFmtId="9" fontId="6" fillId="0" borderId="26" xfId="1" applyNumberFormat="1" applyFont="1" applyFill="1" applyBorder="1" applyAlignment="1" applyProtection="1">
      <alignment horizontal="center" vertical="center"/>
      <protection hidden="1"/>
    </xf>
    <xf numFmtId="165" fontId="17" fillId="0" borderId="0" xfId="0" applyNumberFormat="1" applyFont="1" applyFill="1" applyBorder="1" applyAlignment="1" applyProtection="1">
      <alignment horizontal="right"/>
      <protection hidden="1"/>
    </xf>
    <xf numFmtId="1" fontId="9" fillId="0" borderId="0" xfId="0" applyNumberFormat="1" applyFont="1" applyFill="1" applyBorder="1" applyAlignment="1" applyProtection="1">
      <alignment horizontal="center"/>
      <protection hidden="1"/>
    </xf>
    <xf numFmtId="3" fontId="15" fillId="4" borderId="27" xfId="2" applyNumberFormat="1" applyFont="1" applyFill="1" applyBorder="1" applyAlignment="1" applyProtection="1">
      <alignment horizontal="center" vertical="center"/>
      <protection hidden="1"/>
    </xf>
    <xf numFmtId="3" fontId="15" fillId="4" borderId="28" xfId="2" applyNumberFormat="1" applyFont="1" applyFill="1" applyBorder="1" applyAlignment="1" applyProtection="1">
      <alignment horizontal="center" vertical="center"/>
      <protection hidden="1"/>
    </xf>
    <xf numFmtId="3" fontId="13" fillId="4" borderId="29" xfId="0" applyNumberFormat="1" applyFont="1" applyFill="1" applyBorder="1" applyAlignment="1" applyProtection="1">
      <alignment horizontal="center"/>
      <protection hidden="1"/>
    </xf>
    <xf numFmtId="3" fontId="13" fillId="4" borderId="30" xfId="0" applyNumberFormat="1" applyFont="1" applyFill="1" applyBorder="1" applyAlignment="1" applyProtection="1">
      <alignment horizontal="center"/>
      <protection hidden="1"/>
    </xf>
    <xf numFmtId="0" fontId="15" fillId="2" borderId="0" xfId="0" applyFont="1" applyFill="1" applyProtection="1">
      <protection hidden="1"/>
    </xf>
    <xf numFmtId="0" fontId="15" fillId="2" borderId="0" xfId="0" applyFont="1" applyFill="1" applyAlignment="1" applyProtection="1">
      <alignment horizontal="center"/>
      <protection hidden="1"/>
    </xf>
    <xf numFmtId="3" fontId="15" fillId="2" borderId="31" xfId="0" applyNumberFormat="1" applyFont="1" applyFill="1" applyBorder="1" applyAlignment="1" applyProtection="1">
      <alignment horizontal="center"/>
      <protection hidden="1"/>
    </xf>
    <xf numFmtId="3" fontId="15" fillId="6" borderId="27" xfId="2" applyNumberFormat="1" applyFont="1" applyFill="1" applyBorder="1" applyAlignment="1" applyProtection="1">
      <alignment horizontal="center" vertical="center"/>
      <protection hidden="1"/>
    </xf>
    <xf numFmtId="3" fontId="13" fillId="0" borderId="1" xfId="0" applyNumberFormat="1" applyFont="1" applyFill="1" applyBorder="1" applyAlignment="1" applyProtection="1">
      <alignment horizontal="center" vertical="top" wrapText="1"/>
      <protection hidden="1"/>
    </xf>
    <xf numFmtId="0" fontId="13" fillId="0" borderId="32" xfId="0" applyFont="1" applyBorder="1" applyAlignment="1" applyProtection="1">
      <alignment horizontal="center"/>
      <protection hidden="1"/>
    </xf>
    <xf numFmtId="0" fontId="13" fillId="0" borderId="0" xfId="0" applyNumberFormat="1" applyFont="1" applyFill="1" applyBorder="1" applyAlignment="1" applyProtection="1">
      <alignment horizontal="center" vertical="top" wrapText="1"/>
      <protection hidden="1"/>
    </xf>
    <xf numFmtId="0" fontId="13" fillId="0" borderId="0" xfId="0" applyFont="1" applyBorder="1" applyAlignment="1" applyProtection="1">
      <alignment horizontal="center"/>
      <protection hidden="1"/>
    </xf>
    <xf numFmtId="3" fontId="13" fillId="4" borderId="33" xfId="0" applyNumberFormat="1" applyFont="1" applyFill="1" applyBorder="1" applyAlignment="1" applyProtection="1">
      <alignment horizontal="center"/>
      <protection hidden="1"/>
    </xf>
    <xf numFmtId="3" fontId="6" fillId="0" borderId="34" xfId="1" applyNumberFormat="1" applyFont="1" applyFill="1" applyBorder="1" applyAlignment="1" applyProtection="1">
      <alignment horizontal="center" vertical="center"/>
      <protection hidden="1"/>
    </xf>
    <xf numFmtId="3" fontId="6" fillId="0" borderId="35" xfId="1" applyNumberFormat="1" applyFont="1" applyFill="1" applyBorder="1" applyAlignment="1" applyProtection="1">
      <alignment horizontal="center" vertical="center"/>
      <protection hidden="1"/>
    </xf>
    <xf numFmtId="3" fontId="6" fillId="0" borderId="36" xfId="1" applyNumberFormat="1" applyFont="1" applyFill="1" applyBorder="1" applyAlignment="1" applyProtection="1">
      <alignment horizontal="center" vertical="center"/>
      <protection hidden="1"/>
    </xf>
    <xf numFmtId="3" fontId="6" fillId="0" borderId="37" xfId="1" applyNumberFormat="1" applyFont="1" applyFill="1" applyBorder="1" applyAlignment="1" applyProtection="1">
      <alignment horizontal="center" vertical="center"/>
      <protection hidden="1"/>
    </xf>
    <xf numFmtId="3" fontId="6" fillId="0" borderId="38" xfId="1" applyNumberFormat="1" applyFont="1" applyFill="1" applyBorder="1" applyAlignment="1" applyProtection="1">
      <alignment horizontal="center" vertical="center"/>
      <protection hidden="1"/>
    </xf>
    <xf numFmtId="3" fontId="11" fillId="3" borderId="39" xfId="0" applyNumberFormat="1" applyFont="1" applyFill="1" applyBorder="1" applyAlignment="1" applyProtection="1">
      <alignment horizontal="center"/>
      <protection hidden="1"/>
    </xf>
    <xf numFmtId="3" fontId="11" fillId="3" borderId="40" xfId="0" applyNumberFormat="1" applyFont="1" applyFill="1" applyBorder="1" applyAlignment="1" applyProtection="1">
      <alignment horizontal="center"/>
      <protection hidden="1"/>
    </xf>
    <xf numFmtId="3" fontId="11" fillId="3" borderId="41" xfId="0" applyNumberFormat="1" applyFont="1" applyFill="1" applyBorder="1" applyAlignment="1" applyProtection="1">
      <alignment horizontal="center"/>
      <protection hidden="1"/>
    </xf>
    <xf numFmtId="3" fontId="11" fillId="3" borderId="42" xfId="0" applyNumberFormat="1" applyFont="1" applyFill="1" applyBorder="1" applyAlignment="1" applyProtection="1">
      <alignment horizontal="center"/>
      <protection hidden="1"/>
    </xf>
    <xf numFmtId="3" fontId="11" fillId="3" borderId="43" xfId="0" applyNumberFormat="1" applyFont="1" applyFill="1" applyBorder="1" applyAlignment="1" applyProtection="1">
      <alignment horizontal="center"/>
      <protection hidden="1"/>
    </xf>
    <xf numFmtId="38" fontId="6" fillId="0" borderId="22" xfId="1" applyNumberFormat="1" applyFont="1" applyFill="1" applyBorder="1" applyAlignment="1" applyProtection="1">
      <alignment horizontal="center" vertical="center"/>
      <protection hidden="1"/>
    </xf>
    <xf numFmtId="38" fontId="6" fillId="0" borderId="23" xfId="1" applyNumberFormat="1" applyFont="1" applyFill="1" applyBorder="1" applyAlignment="1" applyProtection="1">
      <alignment horizontal="center" vertical="center"/>
      <protection hidden="1"/>
    </xf>
    <xf numFmtId="38" fontId="6" fillId="0" borderId="26" xfId="1" applyNumberFormat="1" applyFont="1" applyFill="1" applyBorder="1" applyAlignment="1" applyProtection="1">
      <alignment horizontal="center" vertical="center"/>
      <protection hidden="1"/>
    </xf>
    <xf numFmtId="167" fontId="7" fillId="0" borderId="44" xfId="0" applyNumberFormat="1" applyFont="1" applyFill="1" applyBorder="1" applyAlignment="1" applyProtection="1">
      <alignment horizontal="center"/>
      <protection hidden="1"/>
    </xf>
    <xf numFmtId="1" fontId="7" fillId="0" borderId="21" xfId="0" applyNumberFormat="1" applyFont="1" applyFill="1" applyBorder="1" applyAlignment="1" applyProtection="1">
      <alignment horizontal="center"/>
      <protection hidden="1"/>
    </xf>
    <xf numFmtId="167" fontId="7" fillId="0" borderId="45" xfId="0" applyNumberFormat="1" applyFont="1" applyFill="1" applyBorder="1" applyAlignment="1" applyProtection="1">
      <alignment horizontal="center"/>
      <protection hidden="1"/>
    </xf>
    <xf numFmtId="1" fontId="7" fillId="0" borderId="24" xfId="0" applyNumberFormat="1" applyFont="1" applyFill="1" applyBorder="1" applyAlignment="1" applyProtection="1">
      <alignment horizontal="center"/>
      <protection hidden="1"/>
    </xf>
    <xf numFmtId="3" fontId="6" fillId="0" borderId="46" xfId="1" applyNumberFormat="1" applyFont="1" applyFill="1" applyBorder="1" applyAlignment="1" applyProtection="1">
      <alignment horizontal="center" vertical="center"/>
      <protection hidden="1"/>
    </xf>
    <xf numFmtId="1" fontId="4" fillId="0" borderId="33" xfId="0" applyNumberFormat="1" applyFont="1" applyFill="1" applyBorder="1" applyAlignment="1" applyProtection="1">
      <alignment horizontal="center"/>
      <protection hidden="1"/>
    </xf>
    <xf numFmtId="1" fontId="16" fillId="0" borderId="33" xfId="0" applyNumberFormat="1" applyFont="1" applyFill="1" applyBorder="1" applyAlignment="1" applyProtection="1">
      <alignment horizontal="center"/>
      <protection hidden="1"/>
    </xf>
    <xf numFmtId="3" fontId="11" fillId="2" borderId="30" xfId="0" applyNumberFormat="1" applyFont="1" applyFill="1" applyBorder="1" applyAlignment="1" applyProtection="1">
      <alignment horizontal="right"/>
      <protection hidden="1"/>
    </xf>
    <xf numFmtId="1" fontId="11" fillId="0" borderId="47" xfId="0" applyNumberFormat="1" applyFont="1" applyFill="1" applyBorder="1" applyAlignment="1" applyProtection="1">
      <alignment horizontal="center"/>
      <protection hidden="1"/>
    </xf>
    <xf numFmtId="38" fontId="6" fillId="7" borderId="6" xfId="1" applyNumberFormat="1" applyFont="1" applyFill="1" applyBorder="1" applyAlignment="1" applyProtection="1">
      <alignment horizontal="center" vertical="center"/>
      <protection hidden="1"/>
    </xf>
    <xf numFmtId="38" fontId="6" fillId="7" borderId="7" xfId="1" applyNumberFormat="1" applyFont="1" applyFill="1" applyBorder="1" applyAlignment="1" applyProtection="1">
      <alignment horizontal="center" vertical="center"/>
      <protection hidden="1"/>
    </xf>
    <xf numFmtId="38" fontId="6" fillId="7" borderId="9" xfId="1" applyNumberFormat="1" applyFont="1" applyFill="1" applyBorder="1" applyAlignment="1" applyProtection="1">
      <alignment horizontal="center" vertical="center"/>
      <protection hidden="1"/>
    </xf>
    <xf numFmtId="38" fontId="6" fillId="7" borderId="10" xfId="1" applyNumberFormat="1" applyFont="1" applyFill="1" applyBorder="1" applyAlignment="1" applyProtection="1">
      <alignment horizontal="center" vertical="center"/>
      <protection hidden="1"/>
    </xf>
    <xf numFmtId="38" fontId="6" fillId="7" borderId="13" xfId="1" applyNumberFormat="1" applyFont="1" applyFill="1" applyBorder="1" applyAlignment="1" applyProtection="1">
      <alignment horizontal="center" vertical="center"/>
      <protection hidden="1"/>
    </xf>
    <xf numFmtId="38" fontId="6" fillId="7" borderId="16" xfId="1" applyNumberFormat="1" applyFont="1" applyFill="1" applyBorder="1" applyAlignment="1" applyProtection="1">
      <alignment horizontal="center" vertical="center"/>
      <protection hidden="1"/>
    </xf>
    <xf numFmtId="1" fontId="8" fillId="0" borderId="33" xfId="0" applyNumberFormat="1" applyFont="1" applyFill="1" applyBorder="1" applyAlignment="1" applyProtection="1">
      <alignment horizontal="center"/>
      <protection hidden="1"/>
    </xf>
    <xf numFmtId="1" fontId="7" fillId="0" borderId="48" xfId="0" applyNumberFormat="1" applyFont="1" applyFill="1" applyBorder="1" applyAlignment="1" applyProtection="1">
      <alignment horizontal="center"/>
      <protection hidden="1"/>
    </xf>
    <xf numFmtId="167" fontId="7" fillId="0" borderId="49" xfId="0" applyNumberFormat="1" applyFont="1" applyFill="1" applyBorder="1" applyAlignment="1" applyProtection="1">
      <alignment horizontal="center"/>
      <protection hidden="1"/>
    </xf>
    <xf numFmtId="167" fontId="7" fillId="0" borderId="50" xfId="0" applyNumberFormat="1" applyFont="1" applyFill="1" applyBorder="1" applyAlignment="1" applyProtection="1">
      <alignment horizontal="center"/>
      <protection hidden="1"/>
    </xf>
    <xf numFmtId="1" fontId="7" fillId="0" borderId="51" xfId="0" applyNumberFormat="1" applyFont="1" applyFill="1" applyBorder="1" applyAlignment="1" applyProtection="1">
      <alignment horizontal="center"/>
      <protection hidden="1"/>
    </xf>
    <xf numFmtId="167" fontId="7" fillId="0" borderId="52" xfId="0" applyNumberFormat="1" applyFont="1" applyFill="1" applyBorder="1" applyAlignment="1" applyProtection="1">
      <alignment horizontal="center"/>
      <protection hidden="1"/>
    </xf>
    <xf numFmtId="167" fontId="7" fillId="0" borderId="53" xfId="0" applyNumberFormat="1" applyFont="1" applyFill="1" applyBorder="1" applyAlignment="1" applyProtection="1">
      <alignment horizontal="center"/>
      <protection hidden="1"/>
    </xf>
    <xf numFmtId="1" fontId="7" fillId="0" borderId="54" xfId="0" applyNumberFormat="1" applyFont="1" applyFill="1" applyBorder="1" applyAlignment="1" applyProtection="1">
      <alignment horizontal="center"/>
      <protection hidden="1"/>
    </xf>
    <xf numFmtId="0" fontId="7" fillId="0" borderId="49" xfId="0" applyFont="1" applyFill="1" applyBorder="1" applyAlignment="1" applyProtection="1">
      <alignment horizontal="center"/>
      <protection hidden="1"/>
    </xf>
    <xf numFmtId="1" fontId="9" fillId="0" borderId="12" xfId="0" applyNumberFormat="1" applyFont="1" applyFill="1" applyBorder="1" applyAlignment="1" applyProtection="1">
      <alignment horizontal="center"/>
      <protection hidden="1"/>
    </xf>
    <xf numFmtId="1" fontId="6" fillId="0" borderId="55" xfId="0" applyNumberFormat="1" applyFont="1" applyFill="1" applyBorder="1" applyAlignment="1" applyProtection="1">
      <alignment horizontal="right"/>
      <protection hidden="1"/>
    </xf>
    <xf numFmtId="1" fontId="6" fillId="0" borderId="12" xfId="0" applyNumberFormat="1" applyFont="1" applyFill="1" applyBorder="1" applyAlignment="1" applyProtection="1">
      <alignment horizontal="right"/>
      <protection hidden="1"/>
    </xf>
    <xf numFmtId="38" fontId="11" fillId="3" borderId="24" xfId="0" applyNumberFormat="1" applyFont="1" applyFill="1" applyBorder="1" applyAlignment="1" applyProtection="1">
      <alignment horizontal="center"/>
      <protection hidden="1"/>
    </xf>
    <xf numFmtId="38" fontId="11" fillId="3" borderId="5" xfId="0" applyNumberFormat="1" applyFont="1" applyFill="1" applyBorder="1" applyAlignment="1" applyProtection="1">
      <alignment horizontal="center"/>
      <protection hidden="1"/>
    </xf>
    <xf numFmtId="38" fontId="6" fillId="7" borderId="19" xfId="1" applyNumberFormat="1" applyFont="1" applyFill="1" applyBorder="1" applyAlignment="1" applyProtection="1">
      <alignment horizontal="center" vertical="center"/>
      <protection hidden="1"/>
    </xf>
    <xf numFmtId="38" fontId="6" fillId="7" borderId="20" xfId="1" applyNumberFormat="1" applyFont="1" applyFill="1" applyBorder="1" applyAlignment="1" applyProtection="1">
      <alignment horizontal="center" vertical="center"/>
      <protection hidden="1"/>
    </xf>
    <xf numFmtId="38" fontId="6" fillId="7" borderId="25" xfId="1" applyNumberFormat="1" applyFont="1" applyFill="1" applyBorder="1" applyAlignment="1" applyProtection="1">
      <alignment horizontal="center" vertical="center"/>
      <protection hidden="1"/>
    </xf>
    <xf numFmtId="38" fontId="6" fillId="7" borderId="56" xfId="1" applyNumberFormat="1" applyFont="1" applyFill="1" applyBorder="1" applyAlignment="1" applyProtection="1">
      <alignment horizontal="center" vertical="center"/>
      <protection hidden="1"/>
    </xf>
    <xf numFmtId="38" fontId="6" fillId="7" borderId="57" xfId="1" applyNumberFormat="1" applyFont="1" applyFill="1" applyBorder="1" applyAlignment="1" applyProtection="1">
      <alignment horizontal="center" vertical="center"/>
      <protection hidden="1"/>
    </xf>
    <xf numFmtId="38" fontId="6" fillId="7" borderId="58" xfId="1" applyNumberFormat="1" applyFont="1" applyFill="1" applyBorder="1" applyAlignment="1" applyProtection="1">
      <alignment horizontal="center" vertical="center"/>
      <protection hidden="1"/>
    </xf>
    <xf numFmtId="38" fontId="6" fillId="7" borderId="59" xfId="1" applyNumberFormat="1" applyFont="1" applyFill="1" applyBorder="1" applyAlignment="1" applyProtection="1">
      <alignment horizontal="center" vertical="center"/>
      <protection hidden="1"/>
    </xf>
    <xf numFmtId="38" fontId="6" fillId="7" borderId="60" xfId="1" applyNumberFormat="1" applyFont="1" applyFill="1" applyBorder="1" applyAlignment="1" applyProtection="1">
      <alignment horizontal="center" vertical="center"/>
      <protection hidden="1"/>
    </xf>
    <xf numFmtId="38" fontId="6" fillId="7" borderId="61" xfId="1" applyNumberFormat="1" applyFont="1" applyFill="1" applyBorder="1" applyAlignment="1" applyProtection="1">
      <alignment horizontal="center" vertical="center"/>
      <protection hidden="1"/>
    </xf>
    <xf numFmtId="38" fontId="6" fillId="7" borderId="62" xfId="1" applyNumberFormat="1" applyFont="1" applyFill="1" applyBorder="1" applyAlignment="1" applyProtection="1">
      <alignment horizontal="center" vertical="center"/>
      <protection hidden="1"/>
    </xf>
    <xf numFmtId="38" fontId="6" fillId="7" borderId="63" xfId="1" applyNumberFormat="1" applyFont="1" applyFill="1" applyBorder="1" applyAlignment="1" applyProtection="1">
      <alignment horizontal="center" vertical="center"/>
      <protection hidden="1"/>
    </xf>
    <xf numFmtId="38" fontId="6" fillId="0" borderId="64" xfId="1" applyNumberFormat="1" applyFont="1" applyFill="1" applyBorder="1" applyAlignment="1" applyProtection="1">
      <alignment horizontal="center" vertical="center"/>
      <protection hidden="1"/>
    </xf>
    <xf numFmtId="38" fontId="6" fillId="0" borderId="62" xfId="1" applyNumberFormat="1" applyFont="1" applyFill="1" applyBorder="1" applyAlignment="1" applyProtection="1">
      <alignment horizontal="center" vertical="center"/>
      <protection hidden="1"/>
    </xf>
    <xf numFmtId="38" fontId="6" fillId="0" borderId="65" xfId="1" applyNumberFormat="1" applyFont="1" applyFill="1" applyBorder="1" applyAlignment="1" applyProtection="1">
      <alignment horizontal="center" vertical="center"/>
      <protection hidden="1"/>
    </xf>
    <xf numFmtId="38" fontId="6" fillId="0" borderId="66" xfId="1" applyNumberFormat="1" applyFont="1" applyFill="1" applyBorder="1" applyAlignment="1" applyProtection="1">
      <alignment horizontal="center" vertical="center"/>
      <protection hidden="1"/>
    </xf>
    <xf numFmtId="38" fontId="6" fillId="0" borderId="32" xfId="1" applyNumberFormat="1" applyFont="1" applyFill="1" applyBorder="1" applyAlignment="1" applyProtection="1">
      <alignment horizontal="center" vertical="center"/>
      <protection hidden="1"/>
    </xf>
    <xf numFmtId="38" fontId="6" fillId="0" borderId="46" xfId="1" applyNumberFormat="1" applyFont="1" applyFill="1" applyBorder="1" applyAlignment="1" applyProtection="1">
      <alignment horizontal="center" vertical="center"/>
      <protection hidden="1"/>
    </xf>
    <xf numFmtId="3" fontId="6" fillId="0" borderId="60" xfId="1" applyNumberFormat="1" applyFont="1" applyFill="1" applyBorder="1" applyAlignment="1" applyProtection="1">
      <alignment horizontal="center" vertical="center"/>
      <protection hidden="1"/>
    </xf>
    <xf numFmtId="3" fontId="6" fillId="0" borderId="67" xfId="1" applyNumberFormat="1" applyFont="1" applyFill="1" applyBorder="1" applyAlignment="1" applyProtection="1">
      <alignment horizontal="center" vertical="center"/>
      <protection hidden="1"/>
    </xf>
    <xf numFmtId="167" fontId="7" fillId="0" borderId="68" xfId="0" applyNumberFormat="1" applyFont="1" applyFill="1" applyBorder="1" applyAlignment="1" applyProtection="1">
      <alignment horizontal="center"/>
      <protection hidden="1"/>
    </xf>
    <xf numFmtId="1" fontId="8" fillId="0" borderId="49" xfId="0" applyNumberFormat="1" applyFont="1" applyFill="1" applyBorder="1" applyAlignment="1" applyProtection="1">
      <alignment horizontal="left"/>
      <protection hidden="1"/>
    </xf>
    <xf numFmtId="3" fontId="6" fillId="0" borderId="56" xfId="1" applyNumberFormat="1" applyFont="1" applyFill="1" applyBorder="1" applyAlignment="1" applyProtection="1">
      <alignment horizontal="center" vertical="center"/>
      <protection hidden="1"/>
    </xf>
    <xf numFmtId="3" fontId="6" fillId="0" borderId="57" xfId="1" applyNumberFormat="1" applyFont="1" applyFill="1" applyBorder="1" applyAlignment="1" applyProtection="1">
      <alignment horizontal="center" vertical="center"/>
      <protection hidden="1"/>
    </xf>
    <xf numFmtId="3" fontId="6" fillId="0" borderId="58" xfId="1" applyNumberFormat="1" applyFont="1" applyFill="1" applyBorder="1" applyAlignment="1" applyProtection="1">
      <alignment horizontal="center" vertical="center"/>
      <protection hidden="1"/>
    </xf>
    <xf numFmtId="3" fontId="6" fillId="0" borderId="69" xfId="1" applyNumberFormat="1" applyFont="1" applyFill="1" applyBorder="1" applyAlignment="1" applyProtection="1">
      <alignment horizontal="center" vertical="center"/>
      <protection hidden="1"/>
    </xf>
    <xf numFmtId="3" fontId="6" fillId="0" borderId="59" xfId="1" applyNumberFormat="1" applyFont="1" applyFill="1" applyBorder="1" applyAlignment="1" applyProtection="1">
      <alignment horizontal="center" vertical="center"/>
      <protection hidden="1"/>
    </xf>
    <xf numFmtId="3" fontId="6" fillId="0" borderId="70" xfId="1" applyNumberFormat="1" applyFont="1" applyFill="1" applyBorder="1" applyAlignment="1" applyProtection="1">
      <alignment horizontal="center" vertical="center"/>
      <protection hidden="1"/>
    </xf>
    <xf numFmtId="3" fontId="11" fillId="3" borderId="14" xfId="0" applyNumberFormat="1" applyFont="1" applyFill="1" applyBorder="1" applyAlignment="1" applyProtection="1">
      <alignment horizontal="center"/>
      <protection hidden="1"/>
    </xf>
    <xf numFmtId="3" fontId="11" fillId="3" borderId="45" xfId="0" applyNumberFormat="1" applyFont="1" applyFill="1" applyBorder="1" applyAlignment="1" applyProtection="1">
      <alignment horizontal="center"/>
      <protection hidden="1"/>
    </xf>
    <xf numFmtId="1" fontId="7" fillId="0" borderId="47" xfId="0" applyNumberFormat="1" applyFont="1" applyFill="1" applyBorder="1" applyAlignment="1" applyProtection="1">
      <alignment horizontal="center"/>
      <protection hidden="1"/>
    </xf>
    <xf numFmtId="1" fontId="7" fillId="0" borderId="71" xfId="0" applyNumberFormat="1" applyFont="1" applyFill="1" applyBorder="1" applyAlignment="1" applyProtection="1">
      <alignment horizontal="center"/>
      <protection hidden="1"/>
    </xf>
    <xf numFmtId="1" fontId="7" fillId="0" borderId="72" xfId="0" applyNumberFormat="1" applyFont="1" applyFill="1" applyBorder="1" applyAlignment="1" applyProtection="1">
      <alignment horizontal="center"/>
      <protection hidden="1"/>
    </xf>
    <xf numFmtId="3" fontId="6" fillId="0" borderId="73" xfId="1" applyNumberFormat="1" applyFont="1" applyFill="1" applyBorder="1" applyAlignment="1" applyProtection="1">
      <alignment horizontal="center" vertical="center"/>
      <protection hidden="1"/>
    </xf>
    <xf numFmtId="3" fontId="11" fillId="3" borderId="15" xfId="0" applyNumberFormat="1" applyFont="1" applyFill="1" applyBorder="1" applyAlignment="1" applyProtection="1">
      <alignment horizontal="center"/>
      <protection hidden="1"/>
    </xf>
    <xf numFmtId="1" fontId="9" fillId="0" borderId="47" xfId="0" applyNumberFormat="1" applyFont="1" applyFill="1" applyBorder="1" applyAlignment="1" applyProtection="1">
      <alignment horizontal="center"/>
      <protection hidden="1"/>
    </xf>
    <xf numFmtId="1" fontId="9" fillId="0" borderId="72" xfId="0" applyNumberFormat="1" applyFont="1" applyFill="1" applyBorder="1" applyAlignment="1" applyProtection="1">
      <alignment horizontal="center"/>
      <protection hidden="1"/>
    </xf>
    <xf numFmtId="1" fontId="11" fillId="0" borderId="72" xfId="0" applyNumberFormat="1" applyFont="1" applyFill="1" applyBorder="1" applyAlignment="1" applyProtection="1">
      <alignment horizontal="center"/>
      <protection hidden="1"/>
    </xf>
    <xf numFmtId="1" fontId="7" fillId="0" borderId="31" xfId="0" applyNumberFormat="1" applyFont="1" applyFill="1" applyBorder="1" applyAlignment="1" applyProtection="1">
      <alignment horizontal="center"/>
      <protection hidden="1"/>
    </xf>
    <xf numFmtId="167" fontId="7" fillId="0" borderId="74" xfId="0" applyNumberFormat="1" applyFont="1" applyFill="1" applyBorder="1" applyAlignment="1" applyProtection="1">
      <alignment horizontal="center"/>
      <protection hidden="1"/>
    </xf>
    <xf numFmtId="3" fontId="15" fillId="2" borderId="0" xfId="0" applyNumberFormat="1" applyFont="1" applyFill="1" applyAlignment="1" applyProtection="1">
      <alignment horizontal="center"/>
      <protection hidden="1"/>
    </xf>
    <xf numFmtId="167" fontId="8" fillId="0" borderId="49" xfId="0" applyNumberFormat="1" applyFont="1" applyFill="1" applyBorder="1" applyAlignment="1" applyProtection="1">
      <alignment horizontal="center"/>
      <protection hidden="1"/>
    </xf>
    <xf numFmtId="3" fontId="13" fillId="0" borderId="0" xfId="0" applyNumberFormat="1" applyFont="1" applyAlignment="1" applyProtection="1">
      <alignment horizontal="center"/>
      <protection hidden="1"/>
    </xf>
    <xf numFmtId="165" fontId="13" fillId="0" borderId="18" xfId="0" applyNumberFormat="1" applyFont="1" applyFill="1" applyBorder="1" applyAlignment="1" applyProtection="1">
      <alignment horizontal="center" vertical="top" wrapText="1"/>
      <protection hidden="1"/>
    </xf>
    <xf numFmtId="3" fontId="13" fillId="4" borderId="75" xfId="0" applyNumberFormat="1" applyFont="1" applyFill="1" applyBorder="1" applyAlignment="1" applyProtection="1">
      <alignment horizontal="center"/>
      <protection hidden="1"/>
    </xf>
    <xf numFmtId="3" fontId="21" fillId="6" borderId="56" xfId="1" applyNumberFormat="1" applyFont="1" applyFill="1" applyBorder="1" applyAlignment="1" applyProtection="1">
      <alignment horizontal="center" vertical="center"/>
      <protection locked="0"/>
    </xf>
    <xf numFmtId="3" fontId="21" fillId="6" borderId="32" xfId="1" applyNumberFormat="1" applyFont="1" applyFill="1" applyBorder="1" applyAlignment="1" applyProtection="1">
      <alignment horizontal="center" vertical="center"/>
      <protection locked="0"/>
    </xf>
    <xf numFmtId="3" fontId="21" fillId="6" borderId="46" xfId="1" applyNumberFormat="1" applyFont="1" applyFill="1" applyBorder="1" applyAlignment="1" applyProtection="1">
      <alignment horizontal="center" vertical="center"/>
      <protection locked="0"/>
    </xf>
    <xf numFmtId="3" fontId="21" fillId="6" borderId="59" xfId="1" applyNumberFormat="1" applyFont="1" applyFill="1" applyBorder="1" applyAlignment="1" applyProtection="1">
      <alignment horizontal="center" vertical="center"/>
      <protection locked="0"/>
    </xf>
    <xf numFmtId="3" fontId="21" fillId="6" borderId="10" xfId="1" applyNumberFormat="1" applyFont="1" applyFill="1" applyBorder="1" applyAlignment="1" applyProtection="1">
      <alignment horizontal="center" vertical="center"/>
      <protection locked="0"/>
    </xf>
    <xf numFmtId="3" fontId="21" fillId="6" borderId="11" xfId="1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Border="1"/>
    <xf numFmtId="0" fontId="21" fillId="0" borderId="12" xfId="0" applyFont="1" applyBorder="1"/>
    <xf numFmtId="3" fontId="22" fillId="3" borderId="40" xfId="0" applyNumberFormat="1" applyFont="1" applyFill="1" applyBorder="1" applyAlignment="1" applyProtection="1">
      <alignment horizontal="center"/>
      <protection hidden="1"/>
    </xf>
    <xf numFmtId="3" fontId="22" fillId="3" borderId="43" xfId="0" applyNumberFormat="1" applyFont="1" applyFill="1" applyBorder="1" applyAlignment="1" applyProtection="1">
      <alignment horizontal="center"/>
      <protection hidden="1"/>
    </xf>
    <xf numFmtId="3" fontId="22" fillId="3" borderId="42" xfId="0" applyNumberFormat="1" applyFont="1" applyFill="1" applyBorder="1" applyAlignment="1" applyProtection="1">
      <alignment horizontal="center"/>
      <protection hidden="1"/>
    </xf>
    <xf numFmtId="3" fontId="21" fillId="0" borderId="56" xfId="1" applyNumberFormat="1" applyFont="1" applyFill="1" applyBorder="1" applyAlignment="1" applyProtection="1">
      <alignment horizontal="center" vertical="center"/>
      <protection hidden="1"/>
    </xf>
    <xf numFmtId="3" fontId="21" fillId="0" borderId="57" xfId="1" applyNumberFormat="1" applyFont="1" applyFill="1" applyBorder="1" applyAlignment="1" applyProtection="1">
      <alignment horizontal="center" vertical="center"/>
      <protection hidden="1"/>
    </xf>
    <xf numFmtId="3" fontId="21" fillId="0" borderId="58" xfId="1" applyNumberFormat="1" applyFont="1" applyFill="1" applyBorder="1" applyAlignment="1" applyProtection="1">
      <alignment horizontal="center" vertical="center"/>
      <protection hidden="1"/>
    </xf>
    <xf numFmtId="3" fontId="21" fillId="6" borderId="57" xfId="1" applyNumberFormat="1" applyFont="1" applyFill="1" applyBorder="1" applyAlignment="1" applyProtection="1">
      <alignment horizontal="center" vertical="center"/>
      <protection locked="0"/>
    </xf>
    <xf numFmtId="3" fontId="21" fillId="0" borderId="59" xfId="1" applyNumberFormat="1" applyFont="1" applyFill="1" applyBorder="1" applyAlignment="1" applyProtection="1">
      <alignment horizontal="center" vertical="center"/>
      <protection hidden="1"/>
    </xf>
    <xf numFmtId="3" fontId="21" fillId="0" borderId="10" xfId="1" applyNumberFormat="1" applyFont="1" applyFill="1" applyBorder="1" applyAlignment="1" applyProtection="1">
      <alignment horizontal="center" vertical="center"/>
      <protection hidden="1"/>
    </xf>
    <xf numFmtId="3" fontId="21" fillId="0" borderId="60" xfId="1" applyNumberFormat="1" applyFont="1" applyFill="1" applyBorder="1" applyAlignment="1" applyProtection="1">
      <alignment horizontal="center" vertical="center"/>
      <protection hidden="1"/>
    </xf>
    <xf numFmtId="3" fontId="21" fillId="0" borderId="70" xfId="1" applyNumberFormat="1" applyFont="1" applyFill="1" applyBorder="1" applyAlignment="1" applyProtection="1">
      <alignment horizontal="center" vertical="center"/>
      <protection hidden="1"/>
    </xf>
    <xf numFmtId="3" fontId="21" fillId="0" borderId="35" xfId="1" applyNumberFormat="1" applyFont="1" applyFill="1" applyBorder="1" applyAlignment="1" applyProtection="1">
      <alignment horizontal="center" vertical="center"/>
      <protection hidden="1"/>
    </xf>
    <xf numFmtId="3" fontId="21" fillId="0" borderId="67" xfId="1" applyNumberFormat="1" applyFont="1" applyFill="1" applyBorder="1" applyAlignment="1" applyProtection="1">
      <alignment horizontal="center" vertical="center"/>
      <protection hidden="1"/>
    </xf>
    <xf numFmtId="3" fontId="21" fillId="6" borderId="61" xfId="1" applyNumberFormat="1" applyFont="1" applyFill="1" applyBorder="1" applyAlignment="1" applyProtection="1">
      <alignment horizontal="center" vertical="center"/>
      <protection locked="0"/>
    </xf>
    <xf numFmtId="3" fontId="21" fillId="6" borderId="62" xfId="1" applyNumberFormat="1" applyFont="1" applyFill="1" applyBorder="1" applyAlignment="1" applyProtection="1">
      <alignment horizontal="center" vertical="center"/>
      <protection locked="0"/>
    </xf>
    <xf numFmtId="3" fontId="21" fillId="6" borderId="65" xfId="1" applyNumberFormat="1" applyFont="1" applyFill="1" applyBorder="1" applyAlignment="1" applyProtection="1">
      <alignment horizontal="center" vertical="center"/>
      <protection locked="0"/>
    </xf>
    <xf numFmtId="3" fontId="22" fillId="3" borderId="14" xfId="0" applyNumberFormat="1" applyFont="1" applyFill="1" applyBorder="1" applyAlignment="1" applyProtection="1">
      <alignment horizontal="center"/>
      <protection hidden="1"/>
    </xf>
    <xf numFmtId="3" fontId="22" fillId="3" borderId="4" xfId="0" applyNumberFormat="1" applyFont="1" applyFill="1" applyBorder="1" applyAlignment="1" applyProtection="1">
      <alignment horizontal="center"/>
      <protection hidden="1"/>
    </xf>
    <xf numFmtId="3" fontId="22" fillId="3" borderId="21" xfId="0" applyNumberFormat="1" applyFont="1" applyFill="1" applyBorder="1" applyAlignment="1" applyProtection="1">
      <alignment horizontal="center"/>
      <protection hidden="1"/>
    </xf>
    <xf numFmtId="3" fontId="22" fillId="3" borderId="3" xfId="0" applyNumberFormat="1" applyFont="1" applyFill="1" applyBorder="1" applyAlignment="1" applyProtection="1">
      <alignment horizontal="center"/>
      <protection hidden="1"/>
    </xf>
    <xf numFmtId="3" fontId="22" fillId="3" borderId="5" xfId="0" applyNumberFormat="1" applyFont="1" applyFill="1" applyBorder="1" applyAlignment="1" applyProtection="1">
      <alignment horizontal="center"/>
      <protection hidden="1"/>
    </xf>
    <xf numFmtId="3" fontId="21" fillId="6" borderId="58" xfId="1" applyNumberFormat="1" applyFont="1" applyFill="1" applyBorder="1" applyAlignment="1" applyProtection="1">
      <alignment horizontal="center" vertical="center"/>
      <protection locked="0"/>
    </xf>
    <xf numFmtId="3" fontId="21" fillId="6" borderId="60" xfId="1" applyNumberFormat="1" applyFont="1" applyFill="1" applyBorder="1" applyAlignment="1" applyProtection="1">
      <alignment horizontal="center" vertical="center"/>
      <protection locked="0"/>
    </xf>
    <xf numFmtId="3" fontId="21" fillId="6" borderId="63" xfId="1" applyNumberFormat="1" applyFont="1" applyFill="1" applyBorder="1" applyAlignment="1" applyProtection="1">
      <alignment horizontal="center" vertical="center"/>
      <protection locked="0"/>
    </xf>
    <xf numFmtId="0" fontId="21" fillId="0" borderId="55" xfId="0" applyFont="1" applyBorder="1"/>
    <xf numFmtId="0" fontId="21" fillId="0" borderId="0" xfId="0" applyFont="1" applyBorder="1" applyAlignment="1">
      <alignment horizontal="right"/>
    </xf>
    <xf numFmtId="0" fontId="21" fillId="0" borderId="0" xfId="0" applyFont="1" applyFill="1" applyBorder="1"/>
    <xf numFmtId="0" fontId="21" fillId="0" borderId="47" xfId="0" applyFont="1" applyBorder="1"/>
    <xf numFmtId="0" fontId="21" fillId="0" borderId="47" xfId="0" applyFont="1" applyFill="1" applyBorder="1"/>
    <xf numFmtId="0" fontId="21" fillId="0" borderId="76" xfId="0" applyFont="1" applyBorder="1" applyAlignment="1">
      <alignment horizontal="right"/>
    </xf>
    <xf numFmtId="0" fontId="21" fillId="0" borderId="33" xfId="0" applyFont="1" applyBorder="1" applyAlignment="1">
      <alignment horizontal="right"/>
    </xf>
    <xf numFmtId="0" fontId="21" fillId="0" borderId="33" xfId="0" applyFont="1" applyFill="1" applyBorder="1"/>
    <xf numFmtId="0" fontId="25" fillId="0" borderId="33" xfId="0" applyFont="1" applyFill="1" applyBorder="1" applyAlignment="1" applyProtection="1">
      <alignment horizontal="center"/>
      <protection hidden="1"/>
    </xf>
    <xf numFmtId="0" fontId="21" fillId="0" borderId="33" xfId="0" applyFont="1" applyBorder="1"/>
    <xf numFmtId="0" fontId="21" fillId="0" borderId="75" xfId="0" applyFont="1" applyBorder="1"/>
    <xf numFmtId="0" fontId="21" fillId="0" borderId="75" xfId="0" applyFont="1" applyFill="1" applyBorder="1"/>
    <xf numFmtId="0" fontId="21" fillId="0" borderId="30" xfId="0" applyFont="1" applyBorder="1" applyAlignment="1">
      <alignment horizontal="right"/>
    </xf>
    <xf numFmtId="0" fontId="21" fillId="0" borderId="77" xfId="0" applyFont="1" applyBorder="1" applyAlignment="1">
      <alignment horizontal="right"/>
    </xf>
    <xf numFmtId="0" fontId="25" fillId="0" borderId="49" xfId="0" applyFont="1" applyFill="1" applyBorder="1" applyAlignment="1" applyProtection="1">
      <alignment horizontal="center"/>
      <protection hidden="1"/>
    </xf>
    <xf numFmtId="167" fontId="25" fillId="0" borderId="74" xfId="0" applyNumberFormat="1" applyFont="1" applyFill="1" applyBorder="1" applyAlignment="1" applyProtection="1">
      <alignment horizontal="center"/>
      <protection hidden="1"/>
    </xf>
    <xf numFmtId="167" fontId="25" fillId="0" borderId="49" xfId="0" applyNumberFormat="1" applyFont="1" applyFill="1" applyBorder="1" applyAlignment="1" applyProtection="1">
      <alignment horizontal="center"/>
      <protection hidden="1"/>
    </xf>
    <xf numFmtId="167" fontId="25" fillId="0" borderId="50" xfId="0" applyNumberFormat="1" applyFont="1" applyFill="1" applyBorder="1" applyAlignment="1" applyProtection="1">
      <alignment horizontal="center"/>
      <protection hidden="1"/>
    </xf>
    <xf numFmtId="167" fontId="25" fillId="0" borderId="0" xfId="0" applyNumberFormat="1" applyFont="1" applyFill="1" applyBorder="1" applyAlignment="1" applyProtection="1">
      <alignment horizontal="center"/>
      <protection hidden="1"/>
    </xf>
    <xf numFmtId="1" fontId="16" fillId="0" borderId="78" xfId="0" applyNumberFormat="1" applyFont="1" applyFill="1" applyBorder="1" applyAlignment="1">
      <alignment horizontal="left"/>
    </xf>
    <xf numFmtId="0" fontId="16" fillId="0" borderId="45" xfId="0" applyFont="1" applyBorder="1" applyAlignment="1">
      <alignment horizontal="right"/>
    </xf>
    <xf numFmtId="167" fontId="25" fillId="0" borderId="68" xfId="0" applyNumberFormat="1" applyFont="1" applyFill="1" applyBorder="1" applyAlignment="1" applyProtection="1">
      <alignment horizontal="center"/>
      <protection hidden="1"/>
    </xf>
    <xf numFmtId="1" fontId="16" fillId="0" borderId="78" xfId="0" applyNumberFormat="1" applyFont="1" applyFill="1" applyBorder="1" applyAlignment="1">
      <alignment horizontal="right"/>
    </xf>
    <xf numFmtId="0" fontId="16" fillId="0" borderId="45" xfId="0" applyFont="1" applyBorder="1" applyAlignment="1">
      <alignment horizontal="left"/>
    </xf>
    <xf numFmtId="0" fontId="21" fillId="0" borderId="49" xfId="0" applyFont="1" applyBorder="1"/>
    <xf numFmtId="167" fontId="16" fillId="0" borderId="49" xfId="0" applyNumberFormat="1" applyFont="1" applyFill="1" applyBorder="1" applyAlignment="1" applyProtection="1">
      <alignment horizontal="center"/>
      <protection hidden="1"/>
    </xf>
    <xf numFmtId="167" fontId="25" fillId="0" borderId="77" xfId="0" applyNumberFormat="1" applyFont="1" applyFill="1" applyBorder="1" applyAlignment="1" applyProtection="1">
      <alignment horizontal="center"/>
      <protection hidden="1"/>
    </xf>
    <xf numFmtId="1" fontId="16" fillId="0" borderId="49" xfId="0" applyNumberFormat="1" applyFont="1" applyFill="1" applyBorder="1" applyAlignment="1" applyProtection="1">
      <alignment horizontal="center"/>
      <protection hidden="1"/>
    </xf>
    <xf numFmtId="0" fontId="21" fillId="0" borderId="29" xfId="0" applyFont="1" applyBorder="1"/>
    <xf numFmtId="0" fontId="24" fillId="0" borderId="30" xfId="0" applyFont="1" applyBorder="1" applyAlignment="1">
      <alignment horizontal="right"/>
    </xf>
    <xf numFmtId="166" fontId="22" fillId="2" borderId="55" xfId="0" applyNumberFormat="1" applyFont="1" applyFill="1" applyBorder="1" applyAlignment="1">
      <alignment horizontal="right" vertical="top"/>
    </xf>
    <xf numFmtId="165" fontId="21" fillId="0" borderId="0" xfId="0" applyNumberFormat="1" applyFont="1" applyFill="1" applyBorder="1" applyAlignment="1" applyProtection="1">
      <alignment horizontal="right"/>
      <protection hidden="1"/>
    </xf>
    <xf numFmtId="1" fontId="25" fillId="0" borderId="31" xfId="0" applyNumberFormat="1" applyFont="1" applyFill="1" applyBorder="1" applyAlignment="1" applyProtection="1">
      <alignment horizontal="center"/>
      <protection hidden="1"/>
    </xf>
    <xf numFmtId="1" fontId="25" fillId="0" borderId="47" xfId="0" applyNumberFormat="1" applyFont="1" applyFill="1" applyBorder="1" applyAlignment="1" applyProtection="1">
      <alignment horizontal="center"/>
      <protection hidden="1"/>
    </xf>
    <xf numFmtId="1" fontId="25" fillId="0" borderId="72" xfId="0" applyNumberFormat="1" applyFont="1" applyFill="1" applyBorder="1" applyAlignment="1" applyProtection="1">
      <alignment horizontal="center"/>
      <protection hidden="1"/>
    </xf>
    <xf numFmtId="1" fontId="25" fillId="0" borderId="0" xfId="0" applyNumberFormat="1" applyFont="1" applyFill="1" applyBorder="1" applyAlignment="1" applyProtection="1">
      <alignment horizontal="center"/>
      <protection hidden="1"/>
    </xf>
    <xf numFmtId="1" fontId="25" fillId="0" borderId="79" xfId="0" applyNumberFormat="1" applyFont="1" applyFill="1" applyBorder="1" applyAlignment="1">
      <alignment horizontal="center"/>
    </xf>
    <xf numFmtId="0" fontId="25" fillId="0" borderId="71" xfId="0" applyFont="1" applyBorder="1" applyAlignment="1">
      <alignment horizontal="center"/>
    </xf>
    <xf numFmtId="3" fontId="25" fillId="0" borderId="0" xfId="1" applyNumberFormat="1" applyFont="1" applyFill="1" applyBorder="1" applyAlignment="1" applyProtection="1">
      <alignment horizontal="center" vertical="center"/>
      <protection hidden="1"/>
    </xf>
    <xf numFmtId="1" fontId="25" fillId="0" borderId="71" xfId="0" applyNumberFormat="1" applyFont="1" applyFill="1" applyBorder="1" applyAlignment="1" applyProtection="1">
      <alignment horizontal="center"/>
      <protection hidden="1"/>
    </xf>
    <xf numFmtId="1" fontId="25" fillId="0" borderId="79" xfId="0" applyNumberFormat="1" applyFont="1" applyFill="1" applyBorder="1" applyAlignment="1">
      <alignment horizontal="right"/>
    </xf>
    <xf numFmtId="0" fontId="25" fillId="0" borderId="71" xfId="0" applyFont="1" applyBorder="1" applyAlignment="1">
      <alignment horizontal="right"/>
    </xf>
    <xf numFmtId="1" fontId="25" fillId="0" borderId="79" xfId="0" applyNumberFormat="1" applyFont="1" applyFill="1" applyBorder="1" applyAlignment="1" applyProtection="1">
      <alignment horizontal="center"/>
      <protection hidden="1"/>
    </xf>
    <xf numFmtId="0" fontId="26" fillId="0" borderId="0" xfId="0" applyFont="1" applyBorder="1"/>
    <xf numFmtId="0" fontId="26" fillId="0" borderId="30" xfId="0" applyFont="1" applyBorder="1"/>
    <xf numFmtId="0" fontId="26" fillId="0" borderId="79" xfId="0" applyFont="1" applyBorder="1" applyAlignment="1">
      <alignment horizontal="right"/>
    </xf>
    <xf numFmtId="165" fontId="26" fillId="0" borderId="0" xfId="0" applyNumberFormat="1" applyFont="1" applyFill="1" applyBorder="1" applyAlignment="1" applyProtection="1">
      <alignment horizontal="right"/>
      <protection hidden="1"/>
    </xf>
    <xf numFmtId="1" fontId="24" fillId="0" borderId="0" xfId="0" applyNumberFormat="1" applyFont="1" applyFill="1" applyBorder="1" applyAlignment="1" applyProtection="1">
      <alignment horizontal="center"/>
      <protection hidden="1"/>
    </xf>
    <xf numFmtId="1" fontId="24" fillId="0" borderId="47" xfId="0" applyNumberFormat="1" applyFont="1" applyFill="1" applyBorder="1" applyAlignment="1" applyProtection="1">
      <alignment horizontal="center"/>
      <protection hidden="1"/>
    </xf>
    <xf numFmtId="1" fontId="24" fillId="0" borderId="72" xfId="0" applyNumberFormat="1" applyFont="1" applyFill="1" applyBorder="1" applyAlignment="1" applyProtection="1">
      <alignment horizontal="center"/>
      <protection hidden="1"/>
    </xf>
    <xf numFmtId="1" fontId="21" fillId="0" borderId="80" xfId="0" applyNumberFormat="1" applyFont="1" applyFill="1" applyBorder="1" applyAlignment="1">
      <alignment horizontal="right"/>
    </xf>
    <xf numFmtId="0" fontId="21" fillId="0" borderId="81" xfId="0" applyFont="1" applyBorder="1" applyAlignment="1">
      <alignment horizontal="right"/>
    </xf>
    <xf numFmtId="1" fontId="16" fillId="0" borderId="0" xfId="0" applyNumberFormat="1" applyFont="1" applyFill="1" applyBorder="1" applyAlignment="1" applyProtection="1">
      <alignment horizontal="center"/>
      <protection hidden="1"/>
    </xf>
    <xf numFmtId="1" fontId="22" fillId="0" borderId="0" xfId="0" applyNumberFormat="1" applyFont="1" applyFill="1" applyBorder="1" applyAlignment="1" applyProtection="1">
      <alignment horizontal="center"/>
      <protection hidden="1"/>
    </xf>
    <xf numFmtId="1" fontId="21" fillId="0" borderId="55" xfId="0" applyNumberFormat="1" applyFont="1" applyFill="1" applyBorder="1" applyAlignment="1" applyProtection="1">
      <alignment horizontal="right"/>
      <protection hidden="1"/>
    </xf>
    <xf numFmtId="1" fontId="21" fillId="0" borderId="0" xfId="0" applyNumberFormat="1" applyFont="1" applyFill="1" applyBorder="1" applyAlignment="1" applyProtection="1">
      <alignment horizontal="right"/>
      <protection hidden="1"/>
    </xf>
    <xf numFmtId="1" fontId="22" fillId="0" borderId="55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 applyProtection="1">
      <alignment horizontal="center"/>
      <protection hidden="1"/>
    </xf>
    <xf numFmtId="3" fontId="22" fillId="2" borderId="30" xfId="0" applyNumberFormat="1" applyFont="1" applyFill="1" applyBorder="1" applyAlignment="1" applyProtection="1">
      <alignment horizontal="right"/>
      <protection hidden="1"/>
    </xf>
    <xf numFmtId="165" fontId="21" fillId="0" borderId="29" xfId="0" applyNumberFormat="1" applyFont="1" applyFill="1" applyBorder="1" applyAlignment="1" applyProtection="1">
      <alignment horizontal="right" vertical="top" wrapText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Border="1"/>
    <xf numFmtId="0" fontId="21" fillId="0" borderId="55" xfId="0" applyFont="1" applyBorder="1" applyAlignment="1">
      <alignment horizontal="right"/>
    </xf>
    <xf numFmtId="0" fontId="23" fillId="0" borderId="30" xfId="0" applyFont="1" applyBorder="1" applyAlignment="1">
      <alignment horizontal="right"/>
    </xf>
    <xf numFmtId="38" fontId="22" fillId="3" borderId="3" xfId="0" applyNumberFormat="1" applyFont="1" applyFill="1" applyBorder="1" applyAlignment="1" applyProtection="1">
      <alignment horizontal="center"/>
      <protection hidden="1"/>
    </xf>
    <xf numFmtId="38" fontId="22" fillId="3" borderId="4" xfId="0" applyNumberFormat="1" applyFont="1" applyFill="1" applyBorder="1" applyAlignment="1" applyProtection="1">
      <alignment horizontal="center"/>
      <protection hidden="1"/>
    </xf>
    <xf numFmtId="38" fontId="22" fillId="3" borderId="5" xfId="0" applyNumberFormat="1" applyFont="1" applyFill="1" applyBorder="1" applyAlignment="1" applyProtection="1">
      <alignment horizontal="center"/>
      <protection hidden="1"/>
    </xf>
    <xf numFmtId="3" fontId="23" fillId="0" borderId="30" xfId="0" applyNumberFormat="1" applyFont="1" applyBorder="1" applyAlignment="1">
      <alignment horizontal="right"/>
    </xf>
    <xf numFmtId="3" fontId="25" fillId="0" borderId="0" xfId="0" applyNumberFormat="1" applyFont="1" applyBorder="1" applyAlignment="1">
      <alignment horizontal="center"/>
    </xf>
    <xf numFmtId="0" fontId="21" fillId="0" borderId="82" xfId="0" applyFont="1" applyBorder="1" applyAlignment="1">
      <alignment horizontal="right"/>
    </xf>
    <xf numFmtId="0" fontId="21" fillId="0" borderId="54" xfId="0" applyFont="1" applyBorder="1"/>
    <xf numFmtId="0" fontId="21" fillId="0" borderId="83" xfId="0" applyFont="1" applyBorder="1"/>
    <xf numFmtId="0" fontId="21" fillId="0" borderId="82" xfId="0" applyFont="1" applyBorder="1"/>
    <xf numFmtId="0" fontId="21" fillId="0" borderId="30" xfId="0" applyFont="1" applyBorder="1"/>
    <xf numFmtId="0" fontId="25" fillId="0" borderId="0" xfId="0" applyFont="1" applyBorder="1" applyAlignment="1">
      <alignment horizontal="right"/>
    </xf>
    <xf numFmtId="165" fontId="25" fillId="0" borderId="0" xfId="0" applyNumberFormat="1" applyFont="1" applyFill="1" applyBorder="1" applyAlignment="1" applyProtection="1">
      <alignment horizontal="right"/>
      <protection hidden="1"/>
    </xf>
    <xf numFmtId="0" fontId="21" fillId="0" borderId="31" xfId="0" applyFont="1" applyBorder="1"/>
    <xf numFmtId="0" fontId="21" fillId="0" borderId="71" xfId="0" applyFont="1" applyBorder="1"/>
    <xf numFmtId="38" fontId="21" fillId="2" borderId="84" xfId="1" applyNumberFormat="1" applyFont="1" applyFill="1" applyBorder="1" applyAlignment="1" applyProtection="1">
      <alignment horizontal="center" vertical="center"/>
      <protection hidden="1"/>
    </xf>
    <xf numFmtId="38" fontId="21" fillId="2" borderId="57" xfId="1" applyNumberFormat="1" applyFont="1" applyFill="1" applyBorder="1" applyAlignment="1" applyProtection="1">
      <alignment horizontal="center" vertical="center"/>
      <protection hidden="1"/>
    </xf>
    <xf numFmtId="38" fontId="21" fillId="2" borderId="73" xfId="1" applyNumberFormat="1" applyFont="1" applyFill="1" applyBorder="1" applyAlignment="1" applyProtection="1">
      <alignment horizontal="center" vertical="center"/>
      <protection hidden="1"/>
    </xf>
    <xf numFmtId="38" fontId="21" fillId="2" borderId="9" xfId="1" applyNumberFormat="1" applyFont="1" applyFill="1" applyBorder="1" applyAlignment="1" applyProtection="1">
      <alignment horizontal="center" vertical="center"/>
      <protection hidden="1"/>
    </xf>
    <xf numFmtId="38" fontId="21" fillId="2" borderId="10" xfId="1" applyNumberFormat="1" applyFont="1" applyFill="1" applyBorder="1" applyAlignment="1" applyProtection="1">
      <alignment horizontal="center" vertical="center"/>
      <protection hidden="1"/>
    </xf>
    <xf numFmtId="38" fontId="21" fillId="2" borderId="11" xfId="1" applyNumberFormat="1" applyFont="1" applyFill="1" applyBorder="1" applyAlignment="1" applyProtection="1">
      <alignment horizontal="center" vertical="center"/>
      <protection hidden="1"/>
    </xf>
    <xf numFmtId="38" fontId="21" fillId="2" borderId="85" xfId="1" applyNumberFormat="1" applyFont="1" applyFill="1" applyBorder="1" applyAlignment="1" applyProtection="1">
      <alignment horizontal="center" vertical="center"/>
      <protection hidden="1"/>
    </xf>
    <xf numFmtId="38" fontId="21" fillId="2" borderId="62" xfId="1" applyNumberFormat="1" applyFont="1" applyFill="1" applyBorder="1" applyAlignment="1" applyProtection="1">
      <alignment horizontal="center" vertical="center"/>
      <protection hidden="1"/>
    </xf>
    <xf numFmtId="38" fontId="21" fillId="2" borderId="65" xfId="1" applyNumberFormat="1" applyFont="1" applyFill="1" applyBorder="1" applyAlignment="1" applyProtection="1">
      <alignment horizontal="center" vertical="center"/>
      <protection hidden="1"/>
    </xf>
    <xf numFmtId="3" fontId="22" fillId="2" borderId="0" xfId="0" applyNumberFormat="1" applyFont="1" applyFill="1" applyBorder="1" applyAlignment="1" applyProtection="1">
      <alignment horizontal="right"/>
      <protection hidden="1"/>
    </xf>
    <xf numFmtId="38" fontId="21" fillId="0" borderId="11" xfId="1" applyNumberFormat="1" applyFont="1" applyFill="1" applyBorder="1" applyAlignment="1" applyProtection="1">
      <alignment horizontal="center" vertical="center"/>
      <protection hidden="1"/>
    </xf>
    <xf numFmtId="9" fontId="21" fillId="0" borderId="0" xfId="1" applyFont="1" applyBorder="1"/>
    <xf numFmtId="3" fontId="22" fillId="2" borderId="12" xfId="0" applyNumberFormat="1" applyFont="1" applyFill="1" applyBorder="1" applyAlignment="1" applyProtection="1">
      <alignment horizontal="right"/>
      <protection hidden="1"/>
    </xf>
    <xf numFmtId="0" fontId="23" fillId="0" borderId="0" xfId="0" applyFont="1" applyBorder="1" applyAlignment="1">
      <alignment horizontal="right"/>
    </xf>
    <xf numFmtId="0" fontId="21" fillId="0" borderId="0" xfId="0" applyFont="1" applyBorder="1" applyProtection="1">
      <protection hidden="1"/>
    </xf>
    <xf numFmtId="0" fontId="21" fillId="0" borderId="0" xfId="0" applyFont="1" applyBorder="1" applyAlignment="1" applyProtection="1">
      <alignment horizontal="right"/>
      <protection hidden="1"/>
    </xf>
    <xf numFmtId="0" fontId="21" fillId="0" borderId="0" xfId="0" applyFont="1" applyFill="1" applyBorder="1" applyProtection="1">
      <protection hidden="1"/>
    </xf>
    <xf numFmtId="165" fontId="20" fillId="0" borderId="86" xfId="0" applyNumberFormat="1" applyFont="1" applyFill="1" applyBorder="1" applyAlignment="1" applyProtection="1">
      <alignment horizontal="right" vertical="top" wrapText="1"/>
    </xf>
    <xf numFmtId="165" fontId="20" fillId="0" borderId="87" xfId="0" applyNumberFormat="1" applyFont="1" applyFill="1" applyBorder="1" applyAlignment="1" applyProtection="1">
      <alignment horizontal="right" vertical="top" wrapText="1"/>
    </xf>
    <xf numFmtId="1" fontId="20" fillId="0" borderId="80" xfId="0" applyNumberFormat="1" applyFont="1" applyFill="1" applyBorder="1" applyAlignment="1">
      <alignment horizontal="right"/>
    </xf>
    <xf numFmtId="165" fontId="20" fillId="0" borderId="18" xfId="0" applyNumberFormat="1" applyFont="1" applyFill="1" applyBorder="1" applyAlignment="1" applyProtection="1">
      <alignment horizontal="right" vertical="top" wrapText="1"/>
    </xf>
    <xf numFmtId="0" fontId="5" fillId="0" borderId="47" xfId="0" applyFont="1" applyBorder="1" applyProtection="1">
      <protection hidden="1"/>
    </xf>
    <xf numFmtId="0" fontId="5" fillId="0" borderId="47" xfId="0" applyFont="1" applyFill="1" applyBorder="1" applyProtection="1">
      <protection hidden="1"/>
    </xf>
    <xf numFmtId="0" fontId="3" fillId="0" borderId="76" xfId="0" applyFont="1" applyBorder="1" applyAlignment="1" applyProtection="1">
      <alignment horizontal="right"/>
      <protection hidden="1"/>
    </xf>
    <xf numFmtId="0" fontId="3" fillId="0" borderId="33" xfId="0" applyFont="1" applyBorder="1" applyAlignment="1" applyProtection="1">
      <alignment horizontal="right"/>
      <protection hidden="1"/>
    </xf>
    <xf numFmtId="0" fontId="3" fillId="0" borderId="33" xfId="0" applyFont="1" applyFill="1" applyBorder="1" applyProtection="1">
      <protection hidden="1"/>
    </xf>
    <xf numFmtId="0" fontId="5" fillId="0" borderId="33" xfId="0" applyFont="1" applyFill="1" applyBorder="1" applyProtection="1">
      <protection hidden="1"/>
    </xf>
    <xf numFmtId="0" fontId="5" fillId="0" borderId="33" xfId="0" applyFont="1" applyBorder="1" applyProtection="1">
      <protection hidden="1"/>
    </xf>
    <xf numFmtId="0" fontId="5" fillId="0" borderId="75" xfId="0" applyFont="1" applyFill="1" applyBorder="1" applyProtection="1">
      <protection hidden="1"/>
    </xf>
    <xf numFmtId="0" fontId="6" fillId="0" borderId="0" xfId="0" applyFont="1" applyBorder="1" applyProtection="1">
      <protection hidden="1"/>
    </xf>
    <xf numFmtId="0" fontId="6" fillId="0" borderId="30" xfId="0" applyFont="1" applyBorder="1" applyAlignment="1" applyProtection="1">
      <alignment horizontal="right"/>
      <protection hidden="1"/>
    </xf>
    <xf numFmtId="0" fontId="6" fillId="0" borderId="77" xfId="0" applyFont="1" applyBorder="1" applyAlignment="1" applyProtection="1">
      <alignment horizontal="right"/>
      <protection hidden="1"/>
    </xf>
    <xf numFmtId="1" fontId="8" fillId="0" borderId="78" xfId="0" applyNumberFormat="1" applyFont="1" applyFill="1" applyBorder="1" applyAlignment="1" applyProtection="1">
      <alignment horizontal="left"/>
      <protection hidden="1"/>
    </xf>
    <xf numFmtId="0" fontId="8" fillId="0" borderId="45" xfId="0" applyFont="1" applyBorder="1" applyAlignment="1" applyProtection="1">
      <alignment horizontal="right"/>
      <protection hidden="1"/>
    </xf>
    <xf numFmtId="0" fontId="5" fillId="0" borderId="29" xfId="0" applyFont="1" applyFill="1" applyBorder="1" applyProtection="1">
      <protection hidden="1"/>
    </xf>
    <xf numFmtId="0" fontId="9" fillId="0" borderId="30" xfId="0" applyFont="1" applyBorder="1" applyAlignment="1" applyProtection="1">
      <alignment horizontal="right"/>
      <protection hidden="1"/>
    </xf>
    <xf numFmtId="166" fontId="19" fillId="2" borderId="55" xfId="0" applyNumberFormat="1" applyFont="1" applyFill="1" applyBorder="1" applyAlignment="1" applyProtection="1">
      <alignment horizontal="right" vertical="top"/>
      <protection hidden="1"/>
    </xf>
    <xf numFmtId="1" fontId="7" fillId="0" borderId="79" xfId="0" applyNumberFormat="1" applyFont="1" applyFill="1" applyBorder="1" applyAlignment="1" applyProtection="1">
      <alignment horizontal="center"/>
      <protection hidden="1"/>
    </xf>
    <xf numFmtId="0" fontId="7" fillId="0" borderId="71" xfId="0" applyFont="1" applyBorder="1" applyAlignment="1" applyProtection="1">
      <alignment horizontal="center"/>
      <protection hidden="1"/>
    </xf>
    <xf numFmtId="0" fontId="17" fillId="0" borderId="0" xfId="0" applyFont="1" applyBorder="1" applyProtection="1">
      <protection hidden="1"/>
    </xf>
    <xf numFmtId="0" fontId="17" fillId="0" borderId="30" xfId="0" applyFont="1" applyBorder="1" applyProtection="1">
      <protection hidden="1"/>
    </xf>
    <xf numFmtId="0" fontId="17" fillId="0" borderId="79" xfId="0" applyFont="1" applyBorder="1" applyAlignment="1" applyProtection="1">
      <alignment horizontal="right"/>
      <protection hidden="1"/>
    </xf>
    <xf numFmtId="1" fontId="6" fillId="0" borderId="80" xfId="0" applyNumberFormat="1" applyFont="1" applyFill="1" applyBorder="1" applyAlignment="1" applyProtection="1">
      <alignment horizontal="right"/>
      <protection hidden="1"/>
    </xf>
    <xf numFmtId="0" fontId="6" fillId="0" borderId="81" xfId="0" applyFont="1" applyBorder="1" applyAlignment="1" applyProtection="1">
      <alignment horizontal="right"/>
      <protection hidden="1"/>
    </xf>
    <xf numFmtId="0" fontId="18" fillId="0" borderId="0" xfId="0" applyFont="1" applyFill="1" applyBorder="1" applyProtection="1">
      <protection hidden="1"/>
    </xf>
    <xf numFmtId="0" fontId="6" fillId="0" borderId="79" xfId="0" applyFont="1" applyBorder="1" applyAlignment="1" applyProtection="1">
      <alignment horizontal="right"/>
      <protection hidden="1"/>
    </xf>
    <xf numFmtId="0" fontId="18" fillId="0" borderId="29" xfId="0" applyFont="1" applyFill="1" applyBorder="1" applyProtection="1">
      <protection hidden="1"/>
    </xf>
    <xf numFmtId="165" fontId="6" fillId="0" borderId="86" xfId="0" applyNumberFormat="1" applyFont="1" applyFill="1" applyBorder="1" applyAlignment="1" applyProtection="1">
      <alignment horizontal="right" vertical="top" wrapText="1"/>
      <protection hidden="1"/>
    </xf>
    <xf numFmtId="165" fontId="6" fillId="0" borderId="29" xfId="0" applyNumberFormat="1" applyFont="1" applyFill="1" applyBorder="1" applyAlignment="1" applyProtection="1">
      <alignment horizontal="right" vertical="top" wrapText="1"/>
      <protection hidden="1"/>
    </xf>
    <xf numFmtId="3" fontId="11" fillId="2" borderId="22" xfId="1" applyNumberFormat="1" applyFont="1" applyFill="1" applyBorder="1" applyAlignment="1" applyProtection="1">
      <alignment horizontal="center" vertical="center"/>
      <protection hidden="1"/>
    </xf>
    <xf numFmtId="3" fontId="11" fillId="2" borderId="7" xfId="1" applyNumberFormat="1" applyFont="1" applyFill="1" applyBorder="1" applyAlignment="1" applyProtection="1">
      <alignment horizontal="center" vertical="center"/>
      <protection hidden="1"/>
    </xf>
    <xf numFmtId="3" fontId="7" fillId="6" borderId="7" xfId="1" applyNumberFormat="1" applyFont="1" applyFill="1" applyBorder="1" applyAlignment="1" applyProtection="1">
      <alignment horizontal="center" vertical="center"/>
      <protection hidden="1"/>
    </xf>
    <xf numFmtId="3" fontId="7" fillId="6" borderId="19" xfId="1" applyNumberFormat="1" applyFont="1" applyFill="1" applyBorder="1" applyAlignment="1" applyProtection="1">
      <alignment horizontal="center" vertical="center"/>
      <protection hidden="1"/>
    </xf>
    <xf numFmtId="3" fontId="6" fillId="6" borderId="56" xfId="1" applyNumberFormat="1" applyFont="1" applyFill="1" applyBorder="1" applyAlignment="1" applyProtection="1">
      <alignment horizontal="center" vertical="center"/>
      <protection hidden="1"/>
    </xf>
    <xf numFmtId="3" fontId="6" fillId="6" borderId="32" xfId="1" applyNumberFormat="1" applyFont="1" applyFill="1" applyBorder="1" applyAlignment="1" applyProtection="1">
      <alignment horizontal="center" vertical="center"/>
      <protection hidden="1"/>
    </xf>
    <xf numFmtId="3" fontId="6" fillId="6" borderId="46" xfId="1" applyNumberFormat="1" applyFont="1" applyFill="1" applyBorder="1" applyAlignment="1" applyProtection="1">
      <alignment horizontal="center" vertical="center"/>
      <protection hidden="1"/>
    </xf>
    <xf numFmtId="3" fontId="7" fillId="6" borderId="22" xfId="1" applyNumberFormat="1" applyFont="1" applyFill="1" applyBorder="1" applyAlignment="1" applyProtection="1">
      <alignment horizontal="center" vertical="center"/>
      <protection hidden="1"/>
    </xf>
    <xf numFmtId="3" fontId="7" fillId="2" borderId="7" xfId="1" applyNumberFormat="1" applyFont="1" applyFill="1" applyBorder="1" applyAlignment="1" applyProtection="1">
      <alignment horizontal="center" vertical="center"/>
      <protection hidden="1"/>
    </xf>
    <xf numFmtId="3" fontId="7" fillId="6" borderId="8" xfId="1" applyNumberFormat="1" applyFont="1" applyFill="1" applyBorder="1" applyAlignment="1" applyProtection="1">
      <alignment horizontal="center" vertical="center"/>
      <protection hidden="1"/>
    </xf>
    <xf numFmtId="165" fontId="6" fillId="0" borderId="88" xfId="0" applyNumberFormat="1" applyFont="1" applyFill="1" applyBorder="1" applyAlignment="1" applyProtection="1">
      <alignment horizontal="right" vertical="top" wrapText="1"/>
      <protection hidden="1"/>
    </xf>
    <xf numFmtId="3" fontId="10" fillId="0" borderId="0" xfId="0" applyNumberFormat="1" applyFont="1" applyBorder="1" applyProtection="1">
      <protection hidden="1"/>
    </xf>
    <xf numFmtId="165" fontId="6" fillId="0" borderId="0" xfId="0" applyNumberFormat="1" applyFont="1" applyFill="1" applyBorder="1" applyAlignment="1" applyProtection="1">
      <alignment horizontal="right" vertical="top" wrapText="1"/>
      <protection hidden="1"/>
    </xf>
    <xf numFmtId="165" fontId="6" fillId="0" borderId="87" xfId="0" applyNumberFormat="1" applyFont="1" applyFill="1" applyBorder="1" applyAlignment="1" applyProtection="1">
      <alignment horizontal="right" vertical="top" wrapText="1"/>
      <protection hidden="1"/>
    </xf>
    <xf numFmtId="3" fontId="11" fillId="2" borderId="23" xfId="1" applyNumberFormat="1" applyFont="1" applyFill="1" applyBorder="1" applyAlignment="1" applyProtection="1">
      <alignment horizontal="center" vertical="center"/>
      <protection hidden="1"/>
    </xf>
    <xf numFmtId="3" fontId="11" fillId="2" borderId="10" xfId="1" applyNumberFormat="1" applyFont="1" applyFill="1" applyBorder="1" applyAlignment="1" applyProtection="1">
      <alignment horizontal="center" vertical="center"/>
      <protection hidden="1"/>
    </xf>
    <xf numFmtId="3" fontId="7" fillId="6" borderId="10" xfId="1" applyNumberFormat="1" applyFont="1" applyFill="1" applyBorder="1" applyAlignment="1" applyProtection="1">
      <alignment horizontal="center" vertical="center"/>
      <protection hidden="1"/>
    </xf>
    <xf numFmtId="3" fontId="7" fillId="6" borderId="20" xfId="1" applyNumberFormat="1" applyFont="1" applyFill="1" applyBorder="1" applyAlignment="1" applyProtection="1">
      <alignment horizontal="center" vertical="center"/>
      <protection hidden="1"/>
    </xf>
    <xf numFmtId="3" fontId="6" fillId="6" borderId="59" xfId="1" applyNumberFormat="1" applyFont="1" applyFill="1" applyBorder="1" applyAlignment="1" applyProtection="1">
      <alignment horizontal="center" vertical="center"/>
      <protection hidden="1"/>
    </xf>
    <xf numFmtId="3" fontId="6" fillId="6" borderId="10" xfId="1" applyNumberFormat="1" applyFont="1" applyFill="1" applyBorder="1" applyAlignment="1" applyProtection="1">
      <alignment horizontal="center" vertical="center"/>
      <protection hidden="1"/>
    </xf>
    <xf numFmtId="3" fontId="6" fillId="6" borderId="11" xfId="1" applyNumberFormat="1" applyFont="1" applyFill="1" applyBorder="1" applyAlignment="1" applyProtection="1">
      <alignment horizontal="center" vertical="center"/>
      <protection hidden="1"/>
    </xf>
    <xf numFmtId="3" fontId="7" fillId="6" borderId="23" xfId="1" applyNumberFormat="1" applyFont="1" applyFill="1" applyBorder="1" applyAlignment="1" applyProtection="1">
      <alignment horizontal="center" vertical="center"/>
      <protection hidden="1"/>
    </xf>
    <xf numFmtId="3" fontId="7" fillId="2" borderId="10" xfId="1" applyNumberFormat="1" applyFont="1" applyFill="1" applyBorder="1" applyAlignment="1" applyProtection="1">
      <alignment horizontal="center" vertical="center"/>
      <protection hidden="1"/>
    </xf>
    <xf numFmtId="3" fontId="7" fillId="6" borderId="11" xfId="1" applyNumberFormat="1" applyFont="1" applyFill="1" applyBorder="1" applyAlignment="1" applyProtection="1">
      <alignment horizontal="center" vertical="center"/>
      <protection hidden="1"/>
    </xf>
    <xf numFmtId="165" fontId="6" fillId="0" borderId="18" xfId="0" applyNumberFormat="1" applyFont="1" applyFill="1" applyBorder="1" applyAlignment="1" applyProtection="1">
      <alignment horizontal="right" vertical="top" wrapText="1"/>
      <protection hidden="1"/>
    </xf>
    <xf numFmtId="1" fontId="8" fillId="0" borderId="80" xfId="0" applyNumberFormat="1" applyFont="1" applyFill="1" applyBorder="1" applyAlignment="1" applyProtection="1">
      <alignment horizontal="right"/>
      <protection hidden="1"/>
    </xf>
    <xf numFmtId="0" fontId="8" fillId="0" borderId="81" xfId="0" applyFont="1" applyBorder="1" applyAlignment="1" applyProtection="1">
      <alignment horizontal="left"/>
      <protection hidden="1"/>
    </xf>
    <xf numFmtId="1" fontId="7" fillId="0" borderId="79" xfId="0" applyNumberFormat="1" applyFont="1" applyFill="1" applyBorder="1" applyAlignment="1" applyProtection="1">
      <alignment horizontal="right"/>
      <protection hidden="1"/>
    </xf>
    <xf numFmtId="0" fontId="7" fillId="0" borderId="71" xfId="0" applyFont="1" applyBorder="1" applyAlignment="1" applyProtection="1">
      <alignment horizontal="right"/>
      <protection hidden="1"/>
    </xf>
    <xf numFmtId="0" fontId="6" fillId="0" borderId="12" xfId="0" applyFont="1" applyBorder="1" applyProtection="1">
      <protection hidden="1"/>
    </xf>
    <xf numFmtId="3" fontId="7" fillId="6" borderId="56" xfId="1" applyNumberFormat="1" applyFont="1" applyFill="1" applyBorder="1" applyAlignment="1" applyProtection="1">
      <alignment horizontal="center" vertical="center"/>
      <protection hidden="1"/>
    </xf>
    <xf numFmtId="3" fontId="7" fillId="6" borderId="57" xfId="1" applyNumberFormat="1" applyFont="1" applyFill="1" applyBorder="1" applyAlignment="1" applyProtection="1">
      <alignment horizontal="center" vertical="center"/>
      <protection hidden="1"/>
    </xf>
    <xf numFmtId="3" fontId="7" fillId="6" borderId="84" xfId="1" applyNumberFormat="1" applyFont="1" applyFill="1" applyBorder="1" applyAlignment="1" applyProtection="1">
      <alignment horizontal="center" vertical="center"/>
      <protection hidden="1"/>
    </xf>
    <xf numFmtId="3" fontId="7" fillId="6" borderId="89" xfId="1" applyNumberFormat="1" applyFont="1" applyFill="1" applyBorder="1" applyAlignment="1" applyProtection="1">
      <alignment horizontal="center" vertical="center"/>
      <protection hidden="1"/>
    </xf>
    <xf numFmtId="3" fontId="6" fillId="6" borderId="57" xfId="1" applyNumberFormat="1" applyFont="1" applyFill="1" applyBorder="1" applyAlignment="1" applyProtection="1">
      <alignment horizontal="center" vertical="center"/>
      <protection hidden="1"/>
    </xf>
    <xf numFmtId="3" fontId="6" fillId="6" borderId="58" xfId="1" applyNumberFormat="1" applyFont="1" applyFill="1" applyBorder="1" applyAlignment="1" applyProtection="1">
      <alignment horizontal="center" vertical="center"/>
      <protection hidden="1"/>
    </xf>
    <xf numFmtId="3" fontId="6" fillId="6" borderId="69" xfId="1" applyNumberFormat="1" applyFont="1" applyFill="1" applyBorder="1" applyAlignment="1" applyProtection="1">
      <alignment horizontal="center" vertical="center"/>
      <protection hidden="1"/>
    </xf>
    <xf numFmtId="3" fontId="6" fillId="6" borderId="73" xfId="1" applyNumberFormat="1" applyFont="1" applyFill="1" applyBorder="1" applyAlignment="1" applyProtection="1">
      <alignment horizontal="center" vertical="center"/>
      <protection hidden="1"/>
    </xf>
    <xf numFmtId="3" fontId="7" fillId="6" borderId="59" xfId="1" applyNumberFormat="1" applyFont="1" applyFill="1" applyBorder="1" applyAlignment="1" applyProtection="1">
      <alignment horizontal="center" vertical="center"/>
      <protection hidden="1"/>
    </xf>
    <xf numFmtId="3" fontId="7" fillId="6" borderId="9" xfId="1" applyNumberFormat="1" applyFont="1" applyFill="1" applyBorder="1" applyAlignment="1" applyProtection="1">
      <alignment horizontal="center" vertical="center"/>
      <protection hidden="1"/>
    </xf>
    <xf numFmtId="3" fontId="6" fillId="6" borderId="60" xfId="1" applyNumberFormat="1" applyFont="1" applyFill="1" applyBorder="1" applyAlignment="1" applyProtection="1">
      <alignment horizontal="center" vertical="center"/>
      <protection hidden="1"/>
    </xf>
    <xf numFmtId="3" fontId="6" fillId="6" borderId="23" xfId="1" applyNumberFormat="1" applyFont="1" applyFill="1" applyBorder="1" applyAlignment="1" applyProtection="1">
      <alignment horizontal="center" vertical="center"/>
      <protection hidden="1"/>
    </xf>
    <xf numFmtId="3" fontId="6" fillId="6" borderId="70" xfId="1" applyNumberFormat="1" applyFont="1" applyFill="1" applyBorder="1" applyAlignment="1" applyProtection="1">
      <alignment horizontal="center" vertical="center"/>
      <protection hidden="1"/>
    </xf>
    <xf numFmtId="3" fontId="6" fillId="6" borderId="35" xfId="1" applyNumberFormat="1" applyFont="1" applyFill="1" applyBorder="1" applyAlignment="1" applyProtection="1">
      <alignment horizontal="center" vertical="center"/>
      <protection hidden="1"/>
    </xf>
    <xf numFmtId="3" fontId="6" fillId="6" borderId="37" xfId="1" applyNumberFormat="1" applyFont="1" applyFill="1" applyBorder="1" applyAlignment="1" applyProtection="1">
      <alignment horizontal="center" vertical="center"/>
      <protection hidden="1"/>
    </xf>
    <xf numFmtId="3" fontId="11" fillId="2" borderId="26" xfId="1" applyNumberFormat="1" applyFont="1" applyFill="1" applyBorder="1" applyAlignment="1" applyProtection="1">
      <alignment horizontal="center" vertical="center"/>
      <protection hidden="1"/>
    </xf>
    <xf numFmtId="3" fontId="11" fillId="2" borderId="16" xfId="1" applyNumberFormat="1" applyFont="1" applyFill="1" applyBorder="1" applyAlignment="1" applyProtection="1">
      <alignment horizontal="center" vertical="center"/>
      <protection hidden="1"/>
    </xf>
    <xf numFmtId="3" fontId="7" fillId="6" borderId="16" xfId="1" applyNumberFormat="1" applyFont="1" applyFill="1" applyBorder="1" applyAlignment="1" applyProtection="1">
      <alignment horizontal="center" vertical="center"/>
      <protection hidden="1"/>
    </xf>
    <xf numFmtId="3" fontId="7" fillId="6" borderId="25" xfId="1" applyNumberFormat="1" applyFont="1" applyFill="1" applyBorder="1" applyAlignment="1" applyProtection="1">
      <alignment horizontal="center" vertical="center"/>
      <protection hidden="1"/>
    </xf>
    <xf numFmtId="3" fontId="6" fillId="6" borderId="90" xfId="1" applyNumberFormat="1" applyFont="1" applyFill="1" applyBorder="1" applyAlignment="1" applyProtection="1">
      <alignment horizontal="center" vertical="center"/>
      <protection hidden="1"/>
    </xf>
    <xf numFmtId="3" fontId="6" fillId="6" borderId="91" xfId="1" applyNumberFormat="1" applyFont="1" applyFill="1" applyBorder="1" applyAlignment="1" applyProtection="1">
      <alignment horizontal="center" vertical="center"/>
      <protection hidden="1"/>
    </xf>
    <xf numFmtId="3" fontId="6" fillId="6" borderId="92" xfId="1" applyNumberFormat="1" applyFont="1" applyFill="1" applyBorder="1" applyAlignment="1" applyProtection="1">
      <alignment horizontal="center" vertical="center"/>
      <protection hidden="1"/>
    </xf>
    <xf numFmtId="3" fontId="7" fillId="6" borderId="26" xfId="1" applyNumberFormat="1" applyFont="1" applyFill="1" applyBorder="1" applyAlignment="1" applyProtection="1">
      <alignment horizontal="center" vertical="center"/>
      <protection hidden="1"/>
    </xf>
    <xf numFmtId="3" fontId="7" fillId="2" borderId="16" xfId="1" applyNumberFormat="1" applyFont="1" applyFill="1" applyBorder="1" applyAlignment="1" applyProtection="1">
      <alignment horizontal="center" vertical="center"/>
      <protection hidden="1"/>
    </xf>
    <xf numFmtId="3" fontId="7" fillId="6" borderId="17" xfId="1" applyNumberFormat="1" applyFont="1" applyFill="1" applyBorder="1" applyAlignment="1" applyProtection="1">
      <alignment horizontal="center" vertical="center"/>
      <protection hidden="1"/>
    </xf>
    <xf numFmtId="0" fontId="10" fillId="0" borderId="30" xfId="0" applyFont="1" applyBorder="1" applyAlignment="1" applyProtection="1">
      <alignment horizontal="right"/>
      <protection hidden="1"/>
    </xf>
    <xf numFmtId="0" fontId="6" fillId="0" borderId="55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6" fillId="0" borderId="12" xfId="0" applyFont="1" applyFill="1" applyBorder="1" applyProtection="1">
      <protection hidden="1"/>
    </xf>
    <xf numFmtId="3" fontId="7" fillId="6" borderId="61" xfId="1" applyNumberFormat="1" applyFont="1" applyFill="1" applyBorder="1" applyAlignment="1" applyProtection="1">
      <alignment horizontal="center" vertical="center"/>
      <protection hidden="1"/>
    </xf>
    <xf numFmtId="3" fontId="7" fillId="6" borderId="62" xfId="1" applyNumberFormat="1" applyFont="1" applyFill="1" applyBorder="1" applyAlignment="1" applyProtection="1">
      <alignment horizontal="center" vertical="center"/>
      <protection hidden="1"/>
    </xf>
    <xf numFmtId="3" fontId="7" fillId="6" borderId="85" xfId="1" applyNumberFormat="1" applyFont="1" applyFill="1" applyBorder="1" applyAlignment="1" applyProtection="1">
      <alignment horizontal="center" vertical="center"/>
      <protection hidden="1"/>
    </xf>
    <xf numFmtId="3" fontId="7" fillId="6" borderId="93" xfId="1" applyNumberFormat="1" applyFont="1" applyFill="1" applyBorder="1" applyAlignment="1" applyProtection="1">
      <alignment horizontal="center" vertical="center"/>
      <protection hidden="1"/>
    </xf>
    <xf numFmtId="3" fontId="6" fillId="6" borderId="61" xfId="1" applyNumberFormat="1" applyFont="1" applyFill="1" applyBorder="1" applyAlignment="1" applyProtection="1">
      <alignment horizontal="center" vertical="center"/>
      <protection hidden="1"/>
    </xf>
    <xf numFmtId="3" fontId="6" fillId="6" borderId="62" xfId="1" applyNumberFormat="1" applyFont="1" applyFill="1" applyBorder="1" applyAlignment="1" applyProtection="1">
      <alignment horizontal="center" vertical="center"/>
      <protection hidden="1"/>
    </xf>
    <xf numFmtId="3" fontId="6" fillId="6" borderId="63" xfId="1" applyNumberFormat="1" applyFont="1" applyFill="1" applyBorder="1" applyAlignment="1" applyProtection="1">
      <alignment horizontal="center" vertical="center"/>
      <protection hidden="1"/>
    </xf>
    <xf numFmtId="3" fontId="6" fillId="6" borderId="64" xfId="1" applyNumberFormat="1" applyFont="1" applyFill="1" applyBorder="1" applyAlignment="1" applyProtection="1">
      <alignment horizontal="center" vertical="center"/>
      <protection hidden="1"/>
    </xf>
    <xf numFmtId="3" fontId="6" fillId="6" borderId="65" xfId="1" applyNumberFormat="1" applyFont="1" applyFill="1" applyBorder="1" applyAlignment="1" applyProtection="1">
      <alignment horizontal="center" vertical="center"/>
      <protection hidden="1"/>
    </xf>
    <xf numFmtId="3" fontId="10" fillId="0" borderId="30" xfId="0" applyNumberFormat="1" applyFont="1" applyBorder="1" applyAlignment="1" applyProtection="1">
      <alignment horizontal="right"/>
      <protection hidden="1"/>
    </xf>
    <xf numFmtId="3" fontId="7" fillId="0" borderId="0" xfId="0" applyNumberFormat="1" applyFont="1" applyBorder="1" applyAlignment="1" applyProtection="1">
      <alignment horizontal="center"/>
      <protection hidden="1"/>
    </xf>
    <xf numFmtId="0" fontId="6" fillId="0" borderId="55" xfId="0" applyFont="1" applyBorder="1" applyAlignment="1" applyProtection="1">
      <alignment horizontal="right"/>
      <protection hidden="1"/>
    </xf>
    <xf numFmtId="0" fontId="6" fillId="0" borderId="0" xfId="0" applyFont="1" applyBorder="1" applyAlignment="1" applyProtection="1">
      <alignment horizontal="right"/>
      <protection hidden="1"/>
    </xf>
    <xf numFmtId="0" fontId="6" fillId="0" borderId="29" xfId="0" applyFont="1" applyBorder="1" applyProtection="1">
      <protection hidden="1"/>
    </xf>
    <xf numFmtId="0" fontId="6" fillId="0" borderId="82" xfId="0" applyFont="1" applyBorder="1" applyAlignment="1" applyProtection="1">
      <alignment horizontal="right"/>
      <protection hidden="1"/>
    </xf>
    <xf numFmtId="0" fontId="6" fillId="0" borderId="54" xfId="0" applyFont="1" applyBorder="1" applyProtection="1">
      <protection hidden="1"/>
    </xf>
    <xf numFmtId="0" fontId="6" fillId="0" borderId="82" xfId="0" applyFont="1" applyBorder="1" applyProtection="1">
      <protection hidden="1"/>
    </xf>
    <xf numFmtId="0" fontId="5" fillId="0" borderId="54" xfId="0" applyFont="1" applyFill="1" applyBorder="1" applyProtection="1">
      <protection hidden="1"/>
    </xf>
    <xf numFmtId="0" fontId="6" fillId="0" borderId="30" xfId="0" applyFont="1" applyBorder="1" applyProtection="1">
      <protection hidden="1"/>
    </xf>
    <xf numFmtId="1" fontId="6" fillId="0" borderId="0" xfId="0" applyNumberFormat="1" applyFont="1" applyFill="1" applyBorder="1" applyProtection="1">
      <protection hidden="1"/>
    </xf>
    <xf numFmtId="0" fontId="7" fillId="0" borderId="0" xfId="0" applyFont="1" applyBorder="1" applyAlignment="1" applyProtection="1">
      <alignment horizontal="right"/>
      <protection hidden="1"/>
    </xf>
    <xf numFmtId="0" fontId="6" fillId="0" borderId="31" xfId="0" applyFont="1" applyBorder="1" applyProtection="1">
      <protection hidden="1"/>
    </xf>
    <xf numFmtId="0" fontId="6" fillId="0" borderId="47" xfId="0" applyFont="1" applyBorder="1" applyProtection="1">
      <protection hidden="1"/>
    </xf>
    <xf numFmtId="0" fontId="6" fillId="0" borderId="47" xfId="0" applyFont="1" applyFill="1" applyBorder="1" applyProtection="1">
      <protection hidden="1"/>
    </xf>
    <xf numFmtId="1" fontId="6" fillId="0" borderId="47" xfId="0" applyNumberFormat="1" applyFont="1" applyFill="1" applyBorder="1" applyProtection="1">
      <protection hidden="1"/>
    </xf>
    <xf numFmtId="0" fontId="6" fillId="0" borderId="71" xfId="0" applyFont="1" applyBorder="1" applyProtection="1">
      <protection hidden="1"/>
    </xf>
    <xf numFmtId="3" fontId="6" fillId="0" borderId="0" xfId="0" applyNumberFormat="1" applyFont="1" applyBorder="1" applyAlignment="1" applyProtection="1">
      <alignment horizontal="center"/>
      <protection hidden="1"/>
    </xf>
    <xf numFmtId="0" fontId="6" fillId="0" borderId="55" xfId="0" applyFont="1" applyFill="1" applyBorder="1" applyProtection="1">
      <protection hidden="1"/>
    </xf>
    <xf numFmtId="1" fontId="8" fillId="0" borderId="78" xfId="0" applyNumberFormat="1" applyFont="1" applyFill="1" applyBorder="1" applyAlignment="1" applyProtection="1">
      <alignment horizontal="right"/>
      <protection hidden="1"/>
    </xf>
    <xf numFmtId="0" fontId="8" fillId="0" borderId="94" xfId="0" applyFont="1" applyBorder="1" applyAlignment="1" applyProtection="1">
      <alignment horizontal="right"/>
      <protection hidden="1"/>
    </xf>
    <xf numFmtId="1" fontId="7" fillId="0" borderId="82" xfId="0" applyNumberFormat="1" applyFont="1" applyFill="1" applyBorder="1" applyAlignment="1" applyProtection="1">
      <alignment horizontal="right"/>
      <protection hidden="1"/>
    </xf>
    <xf numFmtId="0" fontId="7" fillId="0" borderId="83" xfId="0" applyFont="1" applyBorder="1" applyAlignment="1" applyProtection="1">
      <alignment horizontal="right"/>
      <protection hidden="1"/>
    </xf>
    <xf numFmtId="165" fontId="6" fillId="0" borderId="2" xfId="0" applyNumberFormat="1" applyFont="1" applyFill="1" applyBorder="1" applyAlignment="1" applyProtection="1">
      <alignment horizontal="right" vertical="top" wrapText="1"/>
      <protection hidden="1"/>
    </xf>
    <xf numFmtId="165" fontId="6" fillId="0" borderId="15" xfId="0" applyNumberFormat="1" applyFont="1" applyFill="1" applyBorder="1" applyAlignment="1" applyProtection="1">
      <alignment horizontal="right" vertical="top" wrapText="1"/>
      <protection hidden="1"/>
    </xf>
    <xf numFmtId="165" fontId="6" fillId="0" borderId="95" xfId="0" applyNumberFormat="1" applyFont="1" applyFill="1" applyBorder="1" applyAlignment="1" applyProtection="1">
      <alignment horizontal="right" vertical="top" wrapText="1"/>
      <protection hidden="1"/>
    </xf>
    <xf numFmtId="165" fontId="6" fillId="0" borderId="3" xfId="0" applyNumberFormat="1" applyFont="1" applyFill="1" applyBorder="1" applyAlignment="1" applyProtection="1">
      <alignment horizontal="right" vertical="top" wrapText="1"/>
      <protection hidden="1"/>
    </xf>
    <xf numFmtId="165" fontId="6" fillId="0" borderId="5" xfId="0" applyNumberFormat="1" applyFont="1" applyFill="1" applyBorder="1" applyAlignment="1" applyProtection="1">
      <alignment horizontal="right" vertical="top" wrapText="1"/>
      <protection hidden="1"/>
    </xf>
    <xf numFmtId="1" fontId="3" fillId="0" borderId="0" xfId="0" applyNumberFormat="1" applyFont="1" applyFill="1" applyBorder="1" applyProtection="1">
      <protection hidden="1"/>
    </xf>
    <xf numFmtId="0" fontId="9" fillId="0" borderId="0" xfId="0" applyFont="1" applyBorder="1" applyAlignment="1" applyProtection="1">
      <alignment horizontal="right"/>
      <protection hidden="1"/>
    </xf>
    <xf numFmtId="0" fontId="10" fillId="0" borderId="0" xfId="0" applyFont="1" applyBorder="1" applyAlignment="1" applyProtection="1">
      <alignment horizontal="right"/>
      <protection hidden="1"/>
    </xf>
    <xf numFmtId="9" fontId="6" fillId="0" borderId="0" xfId="1" applyFont="1" applyBorder="1" applyProtection="1">
      <protection hidden="1"/>
    </xf>
    <xf numFmtId="0" fontId="20" fillId="0" borderId="0" xfId="0" applyFont="1" applyBorder="1"/>
    <xf numFmtId="1" fontId="27" fillId="0" borderId="0" xfId="0" applyNumberFormat="1" applyFont="1" applyFill="1" applyBorder="1" applyAlignment="1" applyProtection="1">
      <alignment horizontal="center"/>
      <protection hidden="1"/>
    </xf>
    <xf numFmtId="0" fontId="20" fillId="0" borderId="12" xfId="0" applyFont="1" applyBorder="1"/>
    <xf numFmtId="0" fontId="28" fillId="0" borderId="0" xfId="0" applyFont="1" applyFill="1" applyBorder="1"/>
    <xf numFmtId="1" fontId="20" fillId="0" borderId="55" xfId="0" applyNumberFormat="1" applyFont="1" applyFill="1" applyBorder="1" applyAlignment="1" applyProtection="1">
      <alignment horizontal="right"/>
      <protection hidden="1"/>
    </xf>
    <xf numFmtId="1" fontId="20" fillId="0" borderId="0" xfId="0" applyNumberFormat="1" applyFont="1" applyFill="1" applyBorder="1" applyAlignment="1" applyProtection="1">
      <alignment horizontal="right"/>
      <protection hidden="1"/>
    </xf>
    <xf numFmtId="0" fontId="28" fillId="0" borderId="0" xfId="0" applyFont="1" applyBorder="1"/>
    <xf numFmtId="1" fontId="21" fillId="0" borderId="55" xfId="0" applyNumberFormat="1" applyFont="1" applyFill="1" applyBorder="1" applyAlignment="1" applyProtection="1">
      <alignment horizontal="right"/>
      <protection locked="0"/>
    </xf>
    <xf numFmtId="1" fontId="21" fillId="0" borderId="0" xfId="0" applyNumberFormat="1" applyFont="1" applyFill="1" applyBorder="1" applyAlignment="1" applyProtection="1">
      <alignment horizontal="right"/>
      <protection locked="0"/>
    </xf>
    <xf numFmtId="0" fontId="21" fillId="0" borderId="0" xfId="0" applyFont="1" applyBorder="1" applyProtection="1">
      <protection locked="0"/>
    </xf>
    <xf numFmtId="0" fontId="21" fillId="0" borderId="12" xfId="0" applyFont="1" applyBorder="1" applyProtection="1">
      <protection locked="0"/>
    </xf>
    <xf numFmtId="1" fontId="21" fillId="0" borderId="82" xfId="0" applyNumberFormat="1" applyFont="1" applyFill="1" applyBorder="1" applyAlignment="1" applyProtection="1">
      <alignment horizontal="right"/>
      <protection locked="0"/>
    </xf>
    <xf numFmtId="1" fontId="21" fillId="0" borderId="54" xfId="0" applyNumberFormat="1" applyFont="1" applyFill="1" applyBorder="1" applyAlignment="1" applyProtection="1">
      <alignment horizontal="right"/>
      <protection locked="0"/>
    </xf>
    <xf numFmtId="0" fontId="21" fillId="0" borderId="54" xfId="0" applyFont="1" applyBorder="1" applyProtection="1">
      <protection locked="0"/>
    </xf>
    <xf numFmtId="165" fontId="20" fillId="0" borderId="87" xfId="0" applyNumberFormat="1" applyFont="1" applyFill="1" applyBorder="1" applyAlignment="1" applyProtection="1">
      <alignment horizontal="right" vertical="top" wrapText="1"/>
      <protection locked="0"/>
    </xf>
    <xf numFmtId="165" fontId="20" fillId="0" borderId="18" xfId="0" applyNumberFormat="1" applyFont="1" applyFill="1" applyBorder="1" applyAlignment="1" applyProtection="1">
      <alignment horizontal="right" vertical="top" wrapText="1"/>
      <protection locked="0"/>
    </xf>
    <xf numFmtId="3" fontId="21" fillId="0" borderId="0" xfId="0" applyNumberFormat="1" applyFont="1" applyBorder="1" applyAlignment="1" applyProtection="1">
      <alignment horizontal="center"/>
      <protection locked="0"/>
    </xf>
    <xf numFmtId="0" fontId="21" fillId="0" borderId="55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82" xfId="0" applyFont="1" applyBorder="1" applyAlignment="1">
      <alignment horizontal="center"/>
    </xf>
    <xf numFmtId="0" fontId="21" fillId="0" borderId="54" xfId="0" applyFont="1" applyFill="1" applyBorder="1" applyAlignment="1">
      <alignment horizontal="center"/>
    </xf>
    <xf numFmtId="0" fontId="21" fillId="0" borderId="54" xfId="0" applyFont="1" applyBorder="1" applyAlignment="1">
      <alignment horizontal="center"/>
    </xf>
    <xf numFmtId="3" fontId="21" fillId="0" borderId="76" xfId="0" applyNumberFormat="1" applyFont="1" applyBorder="1" applyAlignment="1" applyProtection="1">
      <alignment horizontal="center"/>
      <protection locked="0"/>
    </xf>
    <xf numFmtId="3" fontId="21" fillId="0" borderId="33" xfId="0" applyNumberFormat="1" applyFont="1" applyBorder="1" applyAlignment="1" applyProtection="1">
      <alignment horizontal="center"/>
      <protection locked="0"/>
    </xf>
    <xf numFmtId="3" fontId="21" fillId="0" borderId="75" xfId="0" applyNumberFormat="1" applyFont="1" applyBorder="1" applyAlignment="1" applyProtection="1">
      <alignment horizontal="center"/>
      <protection locked="0"/>
    </xf>
    <xf numFmtId="3" fontId="21" fillId="0" borderId="30" xfId="0" applyNumberFormat="1" applyFont="1" applyBorder="1" applyAlignment="1" applyProtection="1">
      <alignment horizontal="center"/>
      <protection locked="0"/>
    </xf>
    <xf numFmtId="3" fontId="21" fillId="0" borderId="29" xfId="0" applyNumberFormat="1" applyFont="1" applyBorder="1" applyAlignment="1" applyProtection="1">
      <alignment horizontal="center"/>
      <protection locked="0"/>
    </xf>
    <xf numFmtId="3" fontId="21" fillId="0" borderId="31" xfId="0" applyNumberFormat="1" applyFont="1" applyBorder="1" applyAlignment="1" applyProtection="1">
      <alignment horizontal="center"/>
      <protection locked="0"/>
    </xf>
    <xf numFmtId="3" fontId="21" fillId="0" borderId="47" xfId="0" applyNumberFormat="1" applyFont="1" applyBorder="1" applyAlignment="1" applyProtection="1">
      <alignment horizontal="center"/>
      <protection locked="0"/>
    </xf>
    <xf numFmtId="3" fontId="21" fillId="0" borderId="71" xfId="0" applyNumberFormat="1" applyFont="1" applyBorder="1" applyAlignment="1" applyProtection="1">
      <alignment horizontal="center"/>
      <protection locked="0"/>
    </xf>
    <xf numFmtId="1" fontId="25" fillId="0" borderId="96" xfId="0" applyNumberFormat="1" applyFont="1" applyFill="1" applyBorder="1" applyAlignment="1" applyProtection="1">
      <alignment horizontal="center"/>
      <protection hidden="1"/>
    </xf>
    <xf numFmtId="1" fontId="25" fillId="0" borderId="97" xfId="0" applyNumberFormat="1" applyFont="1" applyFill="1" applyBorder="1" applyAlignment="1" applyProtection="1">
      <alignment horizontal="center"/>
      <protection hidden="1"/>
    </xf>
    <xf numFmtId="1" fontId="25" fillId="0" borderId="81" xfId="0" applyNumberFormat="1" applyFont="1" applyFill="1" applyBorder="1" applyAlignment="1" applyProtection="1">
      <alignment horizontal="center"/>
      <protection hidden="1"/>
    </xf>
    <xf numFmtId="3" fontId="22" fillId="3" borderId="15" xfId="0" applyNumberFormat="1" applyFont="1" applyFill="1" applyBorder="1" applyAlignment="1" applyProtection="1">
      <alignment horizontal="center"/>
      <protection hidden="1"/>
    </xf>
    <xf numFmtId="1" fontId="25" fillId="0" borderId="98" xfId="0" applyNumberFormat="1" applyFont="1" applyFill="1" applyBorder="1" applyAlignment="1" applyProtection="1">
      <alignment horizontal="center"/>
      <protection hidden="1"/>
    </xf>
    <xf numFmtId="9" fontId="21" fillId="0" borderId="0" xfId="1" applyFont="1" applyBorder="1" applyAlignment="1">
      <alignment horizontal="center"/>
    </xf>
    <xf numFmtId="9" fontId="21" fillId="0" borderId="12" xfId="1" applyFont="1" applyBorder="1" applyAlignment="1">
      <alignment horizontal="center"/>
    </xf>
    <xf numFmtId="9" fontId="21" fillId="0" borderId="76" xfId="1" applyFont="1" applyBorder="1" applyAlignment="1">
      <alignment horizontal="center"/>
    </xf>
    <xf numFmtId="9" fontId="21" fillId="0" borderId="33" xfId="1" applyFont="1" applyBorder="1" applyAlignment="1">
      <alignment horizontal="center"/>
    </xf>
    <xf numFmtId="9" fontId="21" fillId="0" borderId="30" xfId="1" applyFont="1" applyBorder="1" applyAlignment="1">
      <alignment horizontal="center"/>
    </xf>
    <xf numFmtId="9" fontId="21" fillId="0" borderId="31" xfId="1" applyFont="1" applyBorder="1" applyAlignment="1">
      <alignment horizontal="center"/>
    </xf>
    <xf numFmtId="9" fontId="21" fillId="0" borderId="47" xfId="1" applyFont="1" applyBorder="1" applyAlignment="1">
      <alignment horizontal="center"/>
    </xf>
    <xf numFmtId="9" fontId="21" fillId="0" borderId="72" xfId="1" applyFont="1" applyBorder="1" applyAlignment="1">
      <alignment horizontal="center"/>
    </xf>
    <xf numFmtId="3" fontId="21" fillId="0" borderId="99" xfId="0" applyNumberFormat="1" applyFont="1" applyBorder="1" applyAlignment="1" applyProtection="1">
      <alignment horizontal="center"/>
      <protection locked="0"/>
    </xf>
    <xf numFmtId="3" fontId="21" fillId="0" borderId="12" xfId="0" applyNumberFormat="1" applyFont="1" applyBorder="1" applyAlignment="1" applyProtection="1">
      <alignment horizontal="center"/>
      <protection locked="0"/>
    </xf>
    <xf numFmtId="3" fontId="21" fillId="0" borderId="72" xfId="0" applyNumberFormat="1" applyFont="1" applyBorder="1" applyAlignment="1" applyProtection="1">
      <alignment horizontal="center"/>
      <protection locked="0"/>
    </xf>
    <xf numFmtId="3" fontId="23" fillId="0" borderId="76" xfId="0" applyNumberFormat="1" applyFont="1" applyBorder="1" applyAlignment="1" applyProtection="1">
      <alignment horizontal="center"/>
      <protection locked="0"/>
    </xf>
    <xf numFmtId="3" fontId="23" fillId="0" borderId="33" xfId="0" applyNumberFormat="1" applyFont="1" applyBorder="1" applyAlignment="1" applyProtection="1">
      <alignment horizontal="center"/>
      <protection locked="0"/>
    </xf>
    <xf numFmtId="0" fontId="23" fillId="0" borderId="99" xfId="0" applyFont="1" applyBorder="1" applyAlignment="1" applyProtection="1">
      <alignment horizontal="center"/>
      <protection locked="0"/>
    </xf>
    <xf numFmtId="3" fontId="23" fillId="0" borderId="30" xfId="0" applyNumberFormat="1" applyFont="1" applyBorder="1" applyAlignment="1" applyProtection="1">
      <alignment horizontal="center"/>
      <protection locked="0"/>
    </xf>
    <xf numFmtId="3" fontId="23" fillId="0" borderId="0" xfId="0" applyNumberFormat="1" applyFont="1" applyBorder="1" applyAlignment="1" applyProtection="1">
      <alignment horizontal="center"/>
      <protection locked="0"/>
    </xf>
    <xf numFmtId="0" fontId="23" fillId="0" borderId="12" xfId="0" applyFont="1" applyBorder="1" applyAlignment="1" applyProtection="1">
      <alignment horizontal="center"/>
      <protection locked="0"/>
    </xf>
    <xf numFmtId="3" fontId="23" fillId="0" borderId="100" xfId="0" applyNumberFormat="1" applyFont="1" applyBorder="1" applyAlignment="1" applyProtection="1">
      <alignment horizontal="center"/>
      <protection locked="0"/>
    </xf>
    <xf numFmtId="3" fontId="23" fillId="0" borderId="54" xfId="0" applyNumberFormat="1" applyFont="1" applyBorder="1" applyAlignment="1" applyProtection="1">
      <alignment horizontal="center"/>
      <protection locked="0"/>
    </xf>
    <xf numFmtId="0" fontId="23" fillId="0" borderId="83" xfId="0" applyFont="1" applyBorder="1" applyAlignment="1" applyProtection="1">
      <alignment horizontal="center"/>
      <protection locked="0"/>
    </xf>
    <xf numFmtId="9" fontId="21" fillId="0" borderId="99" xfId="1" applyFont="1" applyBorder="1" applyAlignment="1">
      <alignment horizontal="center"/>
    </xf>
    <xf numFmtId="1" fontId="25" fillId="0" borderId="76" xfId="0" applyNumberFormat="1" applyFont="1" applyFill="1" applyBorder="1" applyAlignment="1" applyProtection="1">
      <alignment horizontal="center"/>
      <protection hidden="1"/>
    </xf>
    <xf numFmtId="1" fontId="25" fillId="0" borderId="33" xfId="0" applyNumberFormat="1" applyFont="1" applyFill="1" applyBorder="1" applyAlignment="1" applyProtection="1">
      <alignment horizontal="center"/>
      <protection hidden="1"/>
    </xf>
    <xf numFmtId="1" fontId="25" fillId="0" borderId="99" xfId="0" applyNumberFormat="1" applyFont="1" applyFill="1" applyBorder="1" applyAlignment="1" applyProtection="1">
      <alignment horizontal="center"/>
      <protection hidden="1"/>
    </xf>
    <xf numFmtId="1" fontId="21" fillId="0" borderId="33" xfId="0" applyNumberFormat="1" applyFont="1" applyFill="1" applyBorder="1" applyAlignment="1" applyProtection="1">
      <alignment horizontal="right"/>
      <protection locked="0"/>
    </xf>
    <xf numFmtId="0" fontId="16" fillId="0" borderId="47" xfId="0" applyFont="1" applyBorder="1" applyAlignment="1">
      <alignment horizontal="right"/>
    </xf>
    <xf numFmtId="38" fontId="21" fillId="0" borderId="84" xfId="1" applyNumberFormat="1" applyFont="1" applyFill="1" applyBorder="1" applyAlignment="1" applyProtection="1">
      <alignment horizontal="center" vertical="center"/>
      <protection hidden="1"/>
    </xf>
    <xf numFmtId="38" fontId="21" fillId="0" borderId="57" xfId="1" applyNumberFormat="1" applyFont="1" applyFill="1" applyBorder="1" applyAlignment="1" applyProtection="1">
      <alignment horizontal="center" vertical="center"/>
      <protection hidden="1"/>
    </xf>
    <xf numFmtId="38" fontId="21" fillId="0" borderId="73" xfId="1" applyNumberFormat="1" applyFont="1" applyFill="1" applyBorder="1" applyAlignment="1" applyProtection="1">
      <alignment horizontal="center" vertical="center"/>
      <protection hidden="1"/>
    </xf>
    <xf numFmtId="38" fontId="21" fillId="0" borderId="9" xfId="1" applyNumberFormat="1" applyFont="1" applyFill="1" applyBorder="1" applyAlignment="1" applyProtection="1">
      <alignment horizontal="center" vertical="center"/>
      <protection hidden="1"/>
    </xf>
    <xf numFmtId="38" fontId="21" fillId="0" borderId="10" xfId="1" applyNumberFormat="1" applyFont="1" applyFill="1" applyBorder="1" applyAlignment="1" applyProtection="1">
      <alignment horizontal="center" vertical="center"/>
      <protection hidden="1"/>
    </xf>
    <xf numFmtId="38" fontId="21" fillId="0" borderId="85" xfId="1" applyNumberFormat="1" applyFont="1" applyFill="1" applyBorder="1" applyAlignment="1" applyProtection="1">
      <alignment horizontal="center" vertical="center"/>
      <protection hidden="1"/>
    </xf>
    <xf numFmtId="38" fontId="21" fillId="0" borderId="62" xfId="1" applyNumberFormat="1" applyFont="1" applyFill="1" applyBorder="1" applyAlignment="1" applyProtection="1">
      <alignment horizontal="center" vertical="center"/>
      <protection hidden="1"/>
    </xf>
    <xf numFmtId="38" fontId="21" fillId="0" borderId="65" xfId="1" applyNumberFormat="1" applyFont="1" applyFill="1" applyBorder="1" applyAlignment="1" applyProtection="1">
      <alignment horizontal="center" vertical="center"/>
      <protection hidden="1"/>
    </xf>
    <xf numFmtId="0" fontId="23" fillId="0" borderId="49" xfId="0" applyFont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center"/>
      <protection locked="0"/>
    </xf>
    <xf numFmtId="0" fontId="23" fillId="0" borderId="54" xfId="0" applyFont="1" applyBorder="1" applyAlignment="1" applyProtection="1">
      <alignment horizontal="center"/>
      <protection locked="0"/>
    </xf>
    <xf numFmtId="1" fontId="27" fillId="0" borderId="0" xfId="0" applyNumberFormat="1" applyFont="1" applyFill="1" applyBorder="1" applyAlignment="1" applyProtection="1">
      <alignment horizontal="center"/>
      <protection locked="0" hidden="1"/>
    </xf>
    <xf numFmtId="0" fontId="21" fillId="0" borderId="97" xfId="0" applyFont="1" applyBorder="1" applyAlignment="1">
      <alignment horizontal="right"/>
    </xf>
    <xf numFmtId="1" fontId="16" fillId="0" borderId="49" xfId="0" applyNumberFormat="1" applyFont="1" applyFill="1" applyBorder="1" applyAlignment="1" applyProtection="1">
      <alignment horizontal="right"/>
      <protection hidden="1"/>
    </xf>
    <xf numFmtId="0" fontId="21" fillId="0" borderId="72" xfId="0" applyFont="1" applyBorder="1"/>
    <xf numFmtId="3" fontId="21" fillId="6" borderId="69" xfId="1" applyNumberFormat="1" applyFont="1" applyFill="1" applyBorder="1" applyAlignment="1" applyProtection="1">
      <alignment horizontal="center" vertical="center"/>
      <protection locked="0"/>
    </xf>
    <xf numFmtId="3" fontId="21" fillId="6" borderId="23" xfId="1" applyNumberFormat="1" applyFont="1" applyFill="1" applyBorder="1" applyAlignment="1" applyProtection="1">
      <alignment horizontal="center" vertical="center"/>
      <protection locked="0"/>
    </xf>
    <xf numFmtId="3" fontId="21" fillId="6" borderId="64" xfId="1" applyNumberFormat="1" applyFont="1" applyFill="1" applyBorder="1" applyAlignment="1" applyProtection="1">
      <alignment horizontal="center" vertical="center"/>
      <protection locked="0"/>
    </xf>
    <xf numFmtId="3" fontId="21" fillId="6" borderId="101" xfId="1" applyNumberFormat="1" applyFont="1" applyFill="1" applyBorder="1" applyAlignment="1" applyProtection="1">
      <alignment horizontal="center" vertical="center"/>
      <protection locked="0"/>
    </xf>
    <xf numFmtId="1" fontId="27" fillId="0" borderId="0" xfId="0" applyNumberFormat="1" applyFont="1" applyFill="1" applyBorder="1" applyAlignment="1" applyProtection="1">
      <alignment horizontal="right"/>
      <protection hidden="1"/>
    </xf>
    <xf numFmtId="1" fontId="27" fillId="0" borderId="0" xfId="0" applyNumberFormat="1" applyFont="1" applyFill="1" applyBorder="1" applyAlignment="1" applyProtection="1">
      <alignment horizontal="left"/>
      <protection hidden="1"/>
    </xf>
    <xf numFmtId="0" fontId="8" fillId="0" borderId="0" xfId="0" applyFont="1" applyBorder="1" applyAlignment="1">
      <alignment horizontal="center"/>
    </xf>
    <xf numFmtId="0" fontId="8" fillId="0" borderId="75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9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3" fontId="21" fillId="6" borderId="20" xfId="1" applyNumberFormat="1" applyFont="1" applyFill="1" applyBorder="1" applyAlignment="1" applyProtection="1">
      <alignment horizontal="center" vertical="center"/>
      <protection locked="0"/>
    </xf>
    <xf numFmtId="3" fontId="23" fillId="0" borderId="31" xfId="0" applyNumberFormat="1" applyFont="1" applyBorder="1" applyAlignment="1" applyProtection="1">
      <alignment horizontal="center"/>
      <protection locked="0"/>
    </xf>
    <xf numFmtId="0" fontId="23" fillId="0" borderId="72" xfId="0" applyFont="1" applyBorder="1" applyAlignment="1" applyProtection="1">
      <alignment horizontal="center"/>
      <protection locked="0"/>
    </xf>
    <xf numFmtId="3" fontId="21" fillId="6" borderId="102" xfId="1" applyNumberFormat="1" applyFont="1" applyFill="1" applyBorder="1" applyAlignment="1" applyProtection="1">
      <alignment horizontal="center" vertical="center"/>
      <protection locked="0"/>
    </xf>
    <xf numFmtId="166" fontId="4" fillId="2" borderId="55" xfId="0" applyNumberFormat="1" applyFont="1" applyFill="1" applyBorder="1" applyAlignment="1">
      <alignment horizontal="right" vertical="top"/>
    </xf>
    <xf numFmtId="166" fontId="4" fillId="2" borderId="77" xfId="0" applyNumberFormat="1" applyFont="1" applyFill="1" applyBorder="1" applyAlignment="1">
      <alignment horizontal="right" vertical="top"/>
    </xf>
    <xf numFmtId="0" fontId="0" fillId="0" borderId="77" xfId="0" applyBorder="1"/>
    <xf numFmtId="0" fontId="0" fillId="0" borderId="49" xfId="0" applyBorder="1"/>
    <xf numFmtId="0" fontId="0" fillId="0" borderId="50" xfId="0" applyBorder="1"/>
    <xf numFmtId="1" fontId="24" fillId="0" borderId="79" xfId="0" applyNumberFormat="1" applyFont="1" applyFill="1" applyBorder="1" applyAlignment="1" applyProtection="1">
      <alignment horizontal="center"/>
      <protection hidden="1"/>
    </xf>
    <xf numFmtId="3" fontId="21" fillId="6" borderId="84" xfId="1" applyNumberFormat="1" applyFont="1" applyFill="1" applyBorder="1" applyAlignment="1" applyProtection="1">
      <alignment horizontal="center" vertical="center"/>
      <protection locked="0"/>
    </xf>
    <xf numFmtId="3" fontId="21" fillId="6" borderId="9" xfId="1" applyNumberFormat="1" applyFont="1" applyFill="1" applyBorder="1" applyAlignment="1" applyProtection="1">
      <alignment horizontal="center" vertical="center"/>
      <protection locked="0"/>
    </xf>
    <xf numFmtId="3" fontId="22" fillId="3" borderId="39" xfId="0" applyNumberFormat="1" applyFont="1" applyFill="1" applyBorder="1" applyAlignment="1" applyProtection="1">
      <alignment horizontal="center"/>
      <protection hidden="1"/>
    </xf>
    <xf numFmtId="166" fontId="4" fillId="2" borderId="49" xfId="0" applyNumberFormat="1" applyFont="1" applyFill="1" applyBorder="1" applyAlignment="1">
      <alignment horizontal="right" vertical="top"/>
    </xf>
    <xf numFmtId="3" fontId="21" fillId="8" borderId="10" xfId="1" applyNumberFormat="1" applyFont="1" applyFill="1" applyBorder="1" applyAlignment="1" applyProtection="1">
      <alignment horizontal="center" vertical="center"/>
      <protection locked="0"/>
    </xf>
    <xf numFmtId="3" fontId="21" fillId="8" borderId="56" xfId="1" applyNumberFormat="1" applyFont="1" applyFill="1" applyBorder="1" applyAlignment="1" applyProtection="1">
      <alignment horizontal="center" vertical="center"/>
      <protection hidden="1"/>
    </xf>
    <xf numFmtId="3" fontId="21" fillId="8" borderId="57" xfId="1" applyNumberFormat="1" applyFont="1" applyFill="1" applyBorder="1" applyAlignment="1" applyProtection="1">
      <alignment horizontal="center" vertical="center"/>
      <protection hidden="1"/>
    </xf>
    <xf numFmtId="3" fontId="21" fillId="8" borderId="59" xfId="1" applyNumberFormat="1" applyFont="1" applyFill="1" applyBorder="1" applyAlignment="1" applyProtection="1">
      <alignment horizontal="center" vertical="center"/>
      <protection hidden="1"/>
    </xf>
    <xf numFmtId="3" fontId="21" fillId="8" borderId="10" xfId="1" applyNumberFormat="1" applyFont="1" applyFill="1" applyBorder="1" applyAlignment="1" applyProtection="1">
      <alignment horizontal="center" vertical="center"/>
      <protection hidden="1"/>
    </xf>
    <xf numFmtId="3" fontId="21" fillId="8" borderId="70" xfId="1" applyNumberFormat="1" applyFont="1" applyFill="1" applyBorder="1" applyAlignment="1" applyProtection="1">
      <alignment horizontal="center" vertical="center"/>
      <protection hidden="1"/>
    </xf>
    <xf numFmtId="3" fontId="21" fillId="8" borderId="35" xfId="1" applyNumberFormat="1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Percent" xfId="1" builtinId="5"/>
    <cellStyle name="Percent_SCHEDULES" xfId="2"/>
  </cellStyles>
  <dxfs count="44"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43"/>
      </font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43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43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43"/>
      </font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43"/>
      </font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ndense val="0"/>
        <extend val="0"/>
        <color indexed="43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6/relationships/vbaProject" Target="vb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2:AA37"/>
  <sheetViews>
    <sheetView showGridLines="0" zoomScale="50" workbookViewId="0">
      <selection activeCell="E35" sqref="E35"/>
    </sheetView>
  </sheetViews>
  <sheetFormatPr defaultRowHeight="12.75" x14ac:dyDescent="0.2"/>
  <cols>
    <col min="3" max="3" width="15.28515625" bestFit="1" customWidth="1"/>
    <col min="5" max="11" width="9.28515625" bestFit="1" customWidth="1"/>
    <col min="13" max="19" width="9.28515625" bestFit="1" customWidth="1"/>
    <col min="21" max="27" width="9.28515625" bestFit="1" customWidth="1"/>
  </cols>
  <sheetData>
    <row r="2" spans="3:27" ht="13.5" thickBot="1" x14ac:dyDescent="0.25"/>
    <row r="3" spans="3:27" ht="18.75" x14ac:dyDescent="0.2">
      <c r="C3" s="535"/>
      <c r="D3" s="536"/>
      <c r="E3" s="536"/>
      <c r="F3" s="536"/>
      <c r="G3" s="536"/>
      <c r="H3" s="534" t="s">
        <v>46</v>
      </c>
      <c r="I3" s="536"/>
      <c r="J3" s="536"/>
      <c r="K3" s="537"/>
      <c r="M3" s="535"/>
      <c r="N3" s="536"/>
      <c r="O3" s="536"/>
      <c r="P3" s="534" t="s">
        <v>47</v>
      </c>
      <c r="Q3" s="536"/>
      <c r="R3" s="536"/>
      <c r="S3" s="537"/>
      <c r="U3" s="535"/>
      <c r="V3" s="536"/>
      <c r="W3" s="536"/>
      <c r="X3" s="542" t="s">
        <v>48</v>
      </c>
      <c r="Y3" s="536"/>
      <c r="Z3" s="536"/>
      <c r="AA3" s="537"/>
    </row>
    <row r="4" spans="3:27" ht="26.25" x14ac:dyDescent="0.4">
      <c r="C4" s="533"/>
      <c r="D4" s="246"/>
      <c r="E4" s="247" t="s">
        <v>23</v>
      </c>
      <c r="F4" s="248" t="s">
        <v>24</v>
      </c>
      <c r="G4" s="248" t="s">
        <v>25</v>
      </c>
      <c r="H4" s="248" t="s">
        <v>26</v>
      </c>
      <c r="I4" s="248" t="s">
        <v>27</v>
      </c>
      <c r="J4" s="248" t="s">
        <v>28</v>
      </c>
      <c r="K4" s="249" t="s">
        <v>29</v>
      </c>
      <c r="M4" s="257" t="s">
        <v>23</v>
      </c>
      <c r="N4" s="248" t="s">
        <v>24</v>
      </c>
      <c r="O4" s="248" t="s">
        <v>25</v>
      </c>
      <c r="P4" s="248" t="s">
        <v>26</v>
      </c>
      <c r="Q4" s="248" t="s">
        <v>27</v>
      </c>
      <c r="R4" s="248" t="s">
        <v>28</v>
      </c>
      <c r="S4" s="249" t="s">
        <v>29</v>
      </c>
      <c r="U4" s="257" t="s">
        <v>23</v>
      </c>
      <c r="V4" s="248" t="s">
        <v>24</v>
      </c>
      <c r="W4" s="248" t="s">
        <v>25</v>
      </c>
      <c r="X4" s="248" t="s">
        <v>26</v>
      </c>
      <c r="Y4" s="248" t="s">
        <v>27</v>
      </c>
      <c r="Z4" s="248" t="s">
        <v>28</v>
      </c>
      <c r="AA4" s="249" t="s">
        <v>29</v>
      </c>
    </row>
    <row r="5" spans="3:27" ht="26.25" x14ac:dyDescent="0.4">
      <c r="C5" s="260" t="s">
        <v>4</v>
      </c>
      <c r="D5" s="261"/>
      <c r="E5" s="263">
        <f t="shared" ref="E5:K5" si="0">MAX(E6:E35)</f>
        <v>0</v>
      </c>
      <c r="F5" s="263">
        <f t="shared" si="0"/>
        <v>0</v>
      </c>
      <c r="G5" s="263">
        <f t="shared" si="0"/>
        <v>0</v>
      </c>
      <c r="H5" s="263">
        <f t="shared" si="0"/>
        <v>0</v>
      </c>
      <c r="I5" s="263">
        <f t="shared" si="0"/>
        <v>0</v>
      </c>
      <c r="J5" s="263">
        <f t="shared" si="0"/>
        <v>0</v>
      </c>
      <c r="K5" s="264">
        <f t="shared" si="0"/>
        <v>0</v>
      </c>
      <c r="M5" s="538">
        <f t="shared" ref="M5:S5" si="1">MAX(M6:M35)</f>
        <v>0</v>
      </c>
      <c r="N5" s="263">
        <f t="shared" si="1"/>
        <v>0</v>
      </c>
      <c r="O5" s="263">
        <f t="shared" si="1"/>
        <v>0</v>
      </c>
      <c r="P5" s="263">
        <f t="shared" si="1"/>
        <v>0</v>
      </c>
      <c r="Q5" s="263">
        <f t="shared" si="1"/>
        <v>0</v>
      </c>
      <c r="R5" s="263">
        <f t="shared" si="1"/>
        <v>0</v>
      </c>
      <c r="S5" s="264">
        <f t="shared" si="1"/>
        <v>0</v>
      </c>
      <c r="U5" s="538">
        <f t="shared" ref="U5:AA5" si="2">MAX(U6:U35)</f>
        <v>0</v>
      </c>
      <c r="V5" s="263">
        <f t="shared" si="2"/>
        <v>0</v>
      </c>
      <c r="W5" s="263">
        <f t="shared" si="2"/>
        <v>0</v>
      </c>
      <c r="X5" s="263">
        <f t="shared" si="2"/>
        <v>0</v>
      </c>
      <c r="Y5" s="263">
        <f t="shared" si="2"/>
        <v>0</v>
      </c>
      <c r="Z5" s="263">
        <f t="shared" si="2"/>
        <v>0</v>
      </c>
      <c r="AA5" s="264">
        <f t="shared" si="2"/>
        <v>0</v>
      </c>
    </row>
    <row r="6" spans="3:27" ht="26.25" x14ac:dyDescent="0.2">
      <c r="C6" s="310">
        <v>0.33333333333333331</v>
      </c>
      <c r="D6" s="274"/>
      <c r="E6" s="183"/>
      <c r="F6" s="184"/>
      <c r="G6" s="184"/>
      <c r="H6" s="184"/>
      <c r="I6" s="184"/>
      <c r="J6" s="184"/>
      <c r="K6" s="185"/>
      <c r="M6" s="539"/>
      <c r="N6" s="184"/>
      <c r="O6" s="184"/>
      <c r="P6" s="184"/>
      <c r="Q6" s="184"/>
      <c r="R6" s="184"/>
      <c r="S6" s="185"/>
      <c r="U6" s="539">
        <f>E6+M6</f>
        <v>0</v>
      </c>
      <c r="V6" s="184">
        <f t="shared" ref="V6:V35" si="3">F6+N6</f>
        <v>0</v>
      </c>
      <c r="W6" s="184">
        <f t="shared" ref="W6:W35" si="4">G6+O6</f>
        <v>0</v>
      </c>
      <c r="X6" s="184">
        <f t="shared" ref="X6:X35" si="5">H6+P6</f>
        <v>0</v>
      </c>
      <c r="Y6" s="184">
        <f t="shared" ref="Y6:Y35" si="6">I6+Q6</f>
        <v>0</v>
      </c>
      <c r="Z6" s="184"/>
      <c r="AA6" s="185"/>
    </row>
    <row r="7" spans="3:27" ht="26.25" x14ac:dyDescent="0.2">
      <c r="C7" s="311">
        <v>0.35416666666666669</v>
      </c>
      <c r="D7" s="274"/>
      <c r="E7" s="186"/>
      <c r="F7" s="187"/>
      <c r="G7" s="187"/>
      <c r="H7" s="187"/>
      <c r="I7" s="187"/>
      <c r="J7" s="187"/>
      <c r="K7" s="188"/>
      <c r="M7" s="540"/>
      <c r="N7" s="187"/>
      <c r="O7" s="187"/>
      <c r="P7" s="187"/>
      <c r="Q7" s="187"/>
      <c r="R7" s="187"/>
      <c r="S7" s="188"/>
      <c r="U7" s="540">
        <f t="shared" ref="U7:U35" si="7">E7+M7</f>
        <v>0</v>
      </c>
      <c r="V7" s="187">
        <f t="shared" si="3"/>
        <v>0</v>
      </c>
      <c r="W7" s="187">
        <f t="shared" si="4"/>
        <v>0</v>
      </c>
      <c r="X7" s="187">
        <f t="shared" si="5"/>
        <v>0</v>
      </c>
      <c r="Y7" s="187">
        <f t="shared" si="6"/>
        <v>0</v>
      </c>
      <c r="Z7" s="187"/>
      <c r="AA7" s="188"/>
    </row>
    <row r="8" spans="3:27" ht="26.25" x14ac:dyDescent="0.2">
      <c r="C8" s="311">
        <v>0.375</v>
      </c>
      <c r="D8" s="274"/>
      <c r="E8" s="186"/>
      <c r="F8" s="187"/>
      <c r="G8" s="187"/>
      <c r="H8" s="187"/>
      <c r="I8" s="187"/>
      <c r="J8" s="187"/>
      <c r="K8" s="188"/>
      <c r="M8" s="540"/>
      <c r="N8" s="187"/>
      <c r="O8" s="187"/>
      <c r="P8" s="187"/>
      <c r="Q8" s="187"/>
      <c r="R8" s="187"/>
      <c r="S8" s="188"/>
      <c r="U8" s="540">
        <f t="shared" si="7"/>
        <v>0</v>
      </c>
      <c r="V8" s="187">
        <f t="shared" si="3"/>
        <v>0</v>
      </c>
      <c r="W8" s="187">
        <f t="shared" si="4"/>
        <v>0</v>
      </c>
      <c r="X8" s="187">
        <f t="shared" si="5"/>
        <v>0</v>
      </c>
      <c r="Y8" s="187">
        <f t="shared" si="6"/>
        <v>0</v>
      </c>
      <c r="Z8" s="187">
        <f t="shared" ref="Z8:Z25" si="8">J8+R8</f>
        <v>0</v>
      </c>
      <c r="AA8" s="188">
        <f t="shared" ref="AA8:AA25" si="9">K8+S8</f>
        <v>0</v>
      </c>
    </row>
    <row r="9" spans="3:27" ht="26.25" x14ac:dyDescent="0.2">
      <c r="C9" s="311">
        <v>0.39583333333333331</v>
      </c>
      <c r="D9" s="274"/>
      <c r="E9" s="186"/>
      <c r="F9" s="187"/>
      <c r="G9" s="187"/>
      <c r="H9" s="187"/>
      <c r="I9" s="187"/>
      <c r="J9" s="187"/>
      <c r="K9" s="188"/>
      <c r="M9" s="540"/>
      <c r="N9" s="187"/>
      <c r="O9" s="187"/>
      <c r="P9" s="187"/>
      <c r="Q9" s="187"/>
      <c r="R9" s="187"/>
      <c r="S9" s="188"/>
      <c r="U9" s="540">
        <f t="shared" si="7"/>
        <v>0</v>
      </c>
      <c r="V9" s="187">
        <f t="shared" si="3"/>
        <v>0</v>
      </c>
      <c r="W9" s="187">
        <f t="shared" si="4"/>
        <v>0</v>
      </c>
      <c r="X9" s="187">
        <f t="shared" si="5"/>
        <v>0</v>
      </c>
      <c r="Y9" s="187">
        <f t="shared" si="6"/>
        <v>0</v>
      </c>
      <c r="Z9" s="187">
        <f t="shared" si="8"/>
        <v>0</v>
      </c>
      <c r="AA9" s="188">
        <f t="shared" si="9"/>
        <v>0</v>
      </c>
    </row>
    <row r="10" spans="3:27" ht="26.25" x14ac:dyDescent="0.2">
      <c r="C10" s="311">
        <v>0.41666666666666669</v>
      </c>
      <c r="D10" s="274"/>
      <c r="E10" s="186"/>
      <c r="F10" s="187"/>
      <c r="G10" s="187"/>
      <c r="H10" s="187"/>
      <c r="I10" s="187"/>
      <c r="J10" s="187"/>
      <c r="K10" s="188"/>
      <c r="M10" s="540"/>
      <c r="N10" s="187"/>
      <c r="O10" s="187"/>
      <c r="P10" s="187"/>
      <c r="Q10" s="187"/>
      <c r="R10" s="187"/>
      <c r="S10" s="188"/>
      <c r="U10" s="540">
        <f t="shared" si="7"/>
        <v>0</v>
      </c>
      <c r="V10" s="187">
        <f t="shared" si="3"/>
        <v>0</v>
      </c>
      <c r="W10" s="187">
        <f t="shared" si="4"/>
        <v>0</v>
      </c>
      <c r="X10" s="187">
        <f t="shared" si="5"/>
        <v>0</v>
      </c>
      <c r="Y10" s="187">
        <f t="shared" si="6"/>
        <v>0</v>
      </c>
      <c r="Z10" s="187">
        <f t="shared" si="8"/>
        <v>0</v>
      </c>
      <c r="AA10" s="188">
        <f t="shared" si="9"/>
        <v>0</v>
      </c>
    </row>
    <row r="11" spans="3:27" ht="26.25" x14ac:dyDescent="0.2">
      <c r="C11" s="311">
        <v>0.4375</v>
      </c>
      <c r="D11" s="274"/>
      <c r="E11" s="186"/>
      <c r="F11" s="187"/>
      <c r="G11" s="187"/>
      <c r="H11" s="187"/>
      <c r="I11" s="187"/>
      <c r="J11" s="187"/>
      <c r="K11" s="188"/>
      <c r="M11" s="540"/>
      <c r="N11" s="187"/>
      <c r="O11" s="187"/>
      <c r="P11" s="187"/>
      <c r="Q11" s="187"/>
      <c r="R11" s="187"/>
      <c r="S11" s="188"/>
      <c r="U11" s="540">
        <f t="shared" si="7"/>
        <v>0</v>
      </c>
      <c r="V11" s="187">
        <f t="shared" si="3"/>
        <v>0</v>
      </c>
      <c r="W11" s="187">
        <f t="shared" si="4"/>
        <v>0</v>
      </c>
      <c r="X11" s="187">
        <f t="shared" si="5"/>
        <v>0</v>
      </c>
      <c r="Y11" s="187">
        <f t="shared" si="6"/>
        <v>0</v>
      </c>
      <c r="Z11" s="187">
        <f t="shared" si="8"/>
        <v>0</v>
      </c>
      <c r="AA11" s="188">
        <f t="shared" si="9"/>
        <v>0</v>
      </c>
    </row>
    <row r="12" spans="3:27" ht="26.25" x14ac:dyDescent="0.2">
      <c r="C12" s="311">
        <v>0.45833333333333331</v>
      </c>
      <c r="D12" s="274"/>
      <c r="E12" s="186"/>
      <c r="F12" s="187"/>
      <c r="G12" s="187"/>
      <c r="H12" s="187"/>
      <c r="I12" s="187"/>
      <c r="J12" s="187"/>
      <c r="K12" s="188"/>
      <c r="M12" s="540"/>
      <c r="N12" s="187"/>
      <c r="O12" s="187"/>
      <c r="P12" s="187"/>
      <c r="Q12" s="187"/>
      <c r="R12" s="187"/>
      <c r="S12" s="188"/>
      <c r="U12" s="540">
        <f t="shared" si="7"/>
        <v>0</v>
      </c>
      <c r="V12" s="187">
        <f t="shared" si="3"/>
        <v>0</v>
      </c>
      <c r="W12" s="187">
        <f t="shared" si="4"/>
        <v>0</v>
      </c>
      <c r="X12" s="187">
        <f t="shared" si="5"/>
        <v>0</v>
      </c>
      <c r="Y12" s="187">
        <f t="shared" si="6"/>
        <v>0</v>
      </c>
      <c r="Z12" s="187">
        <f t="shared" si="8"/>
        <v>0</v>
      </c>
      <c r="AA12" s="188">
        <f t="shared" si="9"/>
        <v>0</v>
      </c>
    </row>
    <row r="13" spans="3:27" ht="26.25" x14ac:dyDescent="0.2">
      <c r="C13" s="311">
        <v>0.47916666666666669</v>
      </c>
      <c r="D13" s="274"/>
      <c r="E13" s="186"/>
      <c r="F13" s="187"/>
      <c r="G13" s="187"/>
      <c r="H13" s="187"/>
      <c r="I13" s="187"/>
      <c r="J13" s="187"/>
      <c r="K13" s="188"/>
      <c r="M13" s="540"/>
      <c r="N13" s="187"/>
      <c r="O13" s="187"/>
      <c r="P13" s="187"/>
      <c r="Q13" s="187"/>
      <c r="R13" s="187"/>
      <c r="S13" s="188"/>
      <c r="U13" s="540">
        <f t="shared" si="7"/>
        <v>0</v>
      </c>
      <c r="V13" s="187">
        <f t="shared" si="3"/>
        <v>0</v>
      </c>
      <c r="W13" s="187">
        <f t="shared" si="4"/>
        <v>0</v>
      </c>
      <c r="X13" s="187">
        <f t="shared" si="5"/>
        <v>0</v>
      </c>
      <c r="Y13" s="187">
        <f t="shared" si="6"/>
        <v>0</v>
      </c>
      <c r="Z13" s="187">
        <f t="shared" si="8"/>
        <v>0</v>
      </c>
      <c r="AA13" s="188">
        <f t="shared" si="9"/>
        <v>0</v>
      </c>
    </row>
    <row r="14" spans="3:27" ht="26.25" x14ac:dyDescent="0.2">
      <c r="C14" s="311">
        <v>0.5</v>
      </c>
      <c r="D14" s="274"/>
      <c r="E14" s="186"/>
      <c r="F14" s="187"/>
      <c r="G14" s="187"/>
      <c r="H14" s="187"/>
      <c r="I14" s="187"/>
      <c r="J14" s="187"/>
      <c r="K14" s="188"/>
      <c r="M14" s="540"/>
      <c r="N14" s="187"/>
      <c r="O14" s="187"/>
      <c r="P14" s="187"/>
      <c r="Q14" s="187"/>
      <c r="R14" s="187"/>
      <c r="S14" s="188"/>
      <c r="U14" s="540">
        <f t="shared" si="7"/>
        <v>0</v>
      </c>
      <c r="V14" s="187">
        <f t="shared" si="3"/>
        <v>0</v>
      </c>
      <c r="W14" s="187">
        <f t="shared" si="4"/>
        <v>0</v>
      </c>
      <c r="X14" s="187">
        <f t="shared" si="5"/>
        <v>0</v>
      </c>
      <c r="Y14" s="187">
        <f t="shared" si="6"/>
        <v>0</v>
      </c>
      <c r="Z14" s="187">
        <f t="shared" si="8"/>
        <v>0</v>
      </c>
      <c r="AA14" s="188">
        <f t="shared" si="9"/>
        <v>0</v>
      </c>
    </row>
    <row r="15" spans="3:27" ht="26.25" x14ac:dyDescent="0.2">
      <c r="C15" s="311">
        <v>0.52083333333333337</v>
      </c>
      <c r="D15" s="274"/>
      <c r="E15" s="186"/>
      <c r="F15" s="187"/>
      <c r="G15" s="187"/>
      <c r="H15" s="187"/>
      <c r="I15" s="187"/>
      <c r="J15" s="187"/>
      <c r="K15" s="188"/>
      <c r="M15" s="540"/>
      <c r="N15" s="187"/>
      <c r="O15" s="187"/>
      <c r="P15" s="187"/>
      <c r="Q15" s="187"/>
      <c r="R15" s="187"/>
      <c r="S15" s="188"/>
      <c r="U15" s="540">
        <f t="shared" si="7"/>
        <v>0</v>
      </c>
      <c r="V15" s="187">
        <f t="shared" si="3"/>
        <v>0</v>
      </c>
      <c r="W15" s="187">
        <f t="shared" si="4"/>
        <v>0</v>
      </c>
      <c r="X15" s="187">
        <f t="shared" si="5"/>
        <v>0</v>
      </c>
      <c r="Y15" s="187">
        <f t="shared" si="6"/>
        <v>0</v>
      </c>
      <c r="Z15" s="187">
        <f t="shared" si="8"/>
        <v>0</v>
      </c>
      <c r="AA15" s="188">
        <f t="shared" si="9"/>
        <v>0</v>
      </c>
    </row>
    <row r="16" spans="3:27" ht="26.25" x14ac:dyDescent="0.2">
      <c r="C16" s="311">
        <v>0.54166666666666663</v>
      </c>
      <c r="D16" s="274"/>
      <c r="E16" s="186"/>
      <c r="F16" s="187"/>
      <c r="G16" s="187"/>
      <c r="H16" s="187"/>
      <c r="I16" s="187"/>
      <c r="J16" s="187"/>
      <c r="K16" s="188"/>
      <c r="M16" s="540"/>
      <c r="N16" s="187"/>
      <c r="O16" s="187"/>
      <c r="P16" s="187"/>
      <c r="Q16" s="187"/>
      <c r="R16" s="187"/>
      <c r="S16" s="188"/>
      <c r="U16" s="540">
        <f t="shared" si="7"/>
        <v>0</v>
      </c>
      <c r="V16" s="187">
        <f t="shared" si="3"/>
        <v>0</v>
      </c>
      <c r="W16" s="187">
        <f t="shared" si="4"/>
        <v>0</v>
      </c>
      <c r="X16" s="187">
        <f t="shared" si="5"/>
        <v>0</v>
      </c>
      <c r="Y16" s="187">
        <f t="shared" si="6"/>
        <v>0</v>
      </c>
      <c r="Z16" s="187">
        <f t="shared" si="8"/>
        <v>0</v>
      </c>
      <c r="AA16" s="188">
        <f t="shared" si="9"/>
        <v>0</v>
      </c>
    </row>
    <row r="17" spans="3:27" ht="26.25" x14ac:dyDescent="0.2">
      <c r="C17" s="311">
        <v>0.5625</v>
      </c>
      <c r="D17" s="274"/>
      <c r="E17" s="186"/>
      <c r="F17" s="187"/>
      <c r="G17" s="187"/>
      <c r="H17" s="187"/>
      <c r="I17" s="187"/>
      <c r="J17" s="187"/>
      <c r="K17" s="188"/>
      <c r="M17" s="540"/>
      <c r="N17" s="187"/>
      <c r="O17" s="187"/>
      <c r="P17" s="187"/>
      <c r="Q17" s="187"/>
      <c r="R17" s="187"/>
      <c r="S17" s="188"/>
      <c r="U17" s="540">
        <f t="shared" si="7"/>
        <v>0</v>
      </c>
      <c r="V17" s="187">
        <f t="shared" si="3"/>
        <v>0</v>
      </c>
      <c r="W17" s="187">
        <f t="shared" si="4"/>
        <v>0</v>
      </c>
      <c r="X17" s="187">
        <f t="shared" si="5"/>
        <v>0</v>
      </c>
      <c r="Y17" s="187">
        <f t="shared" si="6"/>
        <v>0</v>
      </c>
      <c r="Z17" s="187">
        <f t="shared" si="8"/>
        <v>0</v>
      </c>
      <c r="AA17" s="188">
        <f t="shared" si="9"/>
        <v>0</v>
      </c>
    </row>
    <row r="18" spans="3:27" ht="26.25" x14ac:dyDescent="0.2">
      <c r="C18" s="311">
        <v>0.58333333333333337</v>
      </c>
      <c r="D18" s="274"/>
      <c r="E18" s="186"/>
      <c r="F18" s="187"/>
      <c r="G18" s="187"/>
      <c r="H18" s="187"/>
      <c r="I18" s="187"/>
      <c r="J18" s="187"/>
      <c r="K18" s="188"/>
      <c r="M18" s="540"/>
      <c r="N18" s="187"/>
      <c r="O18" s="187"/>
      <c r="P18" s="187"/>
      <c r="Q18" s="187"/>
      <c r="R18" s="187"/>
      <c r="S18" s="188"/>
      <c r="U18" s="540">
        <f t="shared" si="7"/>
        <v>0</v>
      </c>
      <c r="V18" s="187">
        <f t="shared" si="3"/>
        <v>0</v>
      </c>
      <c r="W18" s="187">
        <f t="shared" si="4"/>
        <v>0</v>
      </c>
      <c r="X18" s="187">
        <f t="shared" si="5"/>
        <v>0</v>
      </c>
      <c r="Y18" s="187">
        <f t="shared" si="6"/>
        <v>0</v>
      </c>
      <c r="Z18" s="187">
        <f t="shared" si="8"/>
        <v>0</v>
      </c>
      <c r="AA18" s="188">
        <f t="shared" si="9"/>
        <v>0</v>
      </c>
    </row>
    <row r="19" spans="3:27" ht="26.25" x14ac:dyDescent="0.2">
      <c r="C19" s="311">
        <v>0.60416666666666663</v>
      </c>
      <c r="D19" s="274"/>
      <c r="E19" s="186"/>
      <c r="F19" s="187"/>
      <c r="G19" s="187"/>
      <c r="H19" s="187"/>
      <c r="I19" s="187"/>
      <c r="J19" s="187"/>
      <c r="K19" s="188"/>
      <c r="M19" s="540"/>
      <c r="N19" s="187"/>
      <c r="O19" s="187"/>
      <c r="P19" s="187"/>
      <c r="Q19" s="187"/>
      <c r="R19" s="187"/>
      <c r="S19" s="188"/>
      <c r="U19" s="540">
        <f t="shared" si="7"/>
        <v>0</v>
      </c>
      <c r="V19" s="187">
        <f t="shared" si="3"/>
        <v>0</v>
      </c>
      <c r="W19" s="187">
        <f t="shared" si="4"/>
        <v>0</v>
      </c>
      <c r="X19" s="187">
        <f t="shared" si="5"/>
        <v>0</v>
      </c>
      <c r="Y19" s="187">
        <f t="shared" si="6"/>
        <v>0</v>
      </c>
      <c r="Z19" s="187">
        <f t="shared" si="8"/>
        <v>0</v>
      </c>
      <c r="AA19" s="188">
        <f t="shared" si="9"/>
        <v>0</v>
      </c>
    </row>
    <row r="20" spans="3:27" ht="26.25" x14ac:dyDescent="0.2">
      <c r="C20" s="311">
        <v>0.625</v>
      </c>
      <c r="D20" s="274"/>
      <c r="E20" s="186"/>
      <c r="F20" s="187"/>
      <c r="G20" s="187"/>
      <c r="H20" s="187"/>
      <c r="I20" s="187"/>
      <c r="J20" s="187"/>
      <c r="K20" s="188"/>
      <c r="M20" s="540"/>
      <c r="N20" s="187"/>
      <c r="O20" s="187"/>
      <c r="P20" s="187"/>
      <c r="Q20" s="187"/>
      <c r="R20" s="187"/>
      <c r="S20" s="188"/>
      <c r="U20" s="540">
        <f t="shared" si="7"/>
        <v>0</v>
      </c>
      <c r="V20" s="187">
        <f t="shared" si="3"/>
        <v>0</v>
      </c>
      <c r="W20" s="187">
        <f t="shared" si="4"/>
        <v>0</v>
      </c>
      <c r="X20" s="187">
        <f t="shared" si="5"/>
        <v>0</v>
      </c>
      <c r="Y20" s="187">
        <f t="shared" si="6"/>
        <v>0</v>
      </c>
      <c r="Z20" s="187">
        <f t="shared" si="8"/>
        <v>0</v>
      </c>
      <c r="AA20" s="188">
        <f t="shared" si="9"/>
        <v>0</v>
      </c>
    </row>
    <row r="21" spans="3:27" ht="26.25" x14ac:dyDescent="0.2">
      <c r="C21" s="311">
        <v>0.64583333333333337</v>
      </c>
      <c r="D21" s="274"/>
      <c r="E21" s="186"/>
      <c r="F21" s="187"/>
      <c r="G21" s="187"/>
      <c r="H21" s="187"/>
      <c r="I21" s="187"/>
      <c r="J21" s="187"/>
      <c r="K21" s="188"/>
      <c r="M21" s="540"/>
      <c r="N21" s="187"/>
      <c r="O21" s="187"/>
      <c r="P21" s="187"/>
      <c r="Q21" s="187"/>
      <c r="R21" s="187"/>
      <c r="S21" s="188"/>
      <c r="U21" s="540">
        <f t="shared" si="7"/>
        <v>0</v>
      </c>
      <c r="V21" s="187">
        <f t="shared" si="3"/>
        <v>0</v>
      </c>
      <c r="W21" s="187">
        <f t="shared" si="4"/>
        <v>0</v>
      </c>
      <c r="X21" s="187">
        <f t="shared" si="5"/>
        <v>0</v>
      </c>
      <c r="Y21" s="187">
        <f t="shared" si="6"/>
        <v>0</v>
      </c>
      <c r="Z21" s="187">
        <f t="shared" si="8"/>
        <v>0</v>
      </c>
      <c r="AA21" s="188">
        <f t="shared" si="9"/>
        <v>0</v>
      </c>
    </row>
    <row r="22" spans="3:27" ht="26.25" x14ac:dyDescent="0.2">
      <c r="C22" s="311">
        <v>0.66666666666666663</v>
      </c>
      <c r="D22" s="274"/>
      <c r="E22" s="186"/>
      <c r="F22" s="187"/>
      <c r="G22" s="187"/>
      <c r="H22" s="187"/>
      <c r="I22" s="187"/>
      <c r="J22" s="187"/>
      <c r="K22" s="188"/>
      <c r="M22" s="540"/>
      <c r="N22" s="187"/>
      <c r="O22" s="187"/>
      <c r="P22" s="187"/>
      <c r="Q22" s="187"/>
      <c r="R22" s="187"/>
      <c r="S22" s="188"/>
      <c r="U22" s="540">
        <f t="shared" si="7"/>
        <v>0</v>
      </c>
      <c r="V22" s="187">
        <f t="shared" si="3"/>
        <v>0</v>
      </c>
      <c r="W22" s="187">
        <f t="shared" si="4"/>
        <v>0</v>
      </c>
      <c r="X22" s="187">
        <f t="shared" si="5"/>
        <v>0</v>
      </c>
      <c r="Y22" s="187">
        <f t="shared" si="6"/>
        <v>0</v>
      </c>
      <c r="Z22" s="187">
        <f t="shared" si="8"/>
        <v>0</v>
      </c>
      <c r="AA22" s="188">
        <f t="shared" si="9"/>
        <v>0</v>
      </c>
    </row>
    <row r="23" spans="3:27" ht="26.25" x14ac:dyDescent="0.2">
      <c r="C23" s="311">
        <v>0.6875</v>
      </c>
      <c r="D23" s="274"/>
      <c r="E23" s="186"/>
      <c r="F23" s="187"/>
      <c r="G23" s="187"/>
      <c r="H23" s="187"/>
      <c r="I23" s="187"/>
      <c r="J23" s="187"/>
      <c r="K23" s="188"/>
      <c r="M23" s="540"/>
      <c r="N23" s="187"/>
      <c r="O23" s="187"/>
      <c r="P23" s="187"/>
      <c r="Q23" s="187"/>
      <c r="R23" s="187"/>
      <c r="S23" s="188"/>
      <c r="U23" s="540">
        <f t="shared" si="7"/>
        <v>0</v>
      </c>
      <c r="V23" s="187">
        <f t="shared" si="3"/>
        <v>0</v>
      </c>
      <c r="W23" s="187">
        <f t="shared" si="4"/>
        <v>0</v>
      </c>
      <c r="X23" s="187">
        <f t="shared" si="5"/>
        <v>0</v>
      </c>
      <c r="Y23" s="187">
        <f t="shared" si="6"/>
        <v>0</v>
      </c>
      <c r="Z23" s="187">
        <f t="shared" si="8"/>
        <v>0</v>
      </c>
      <c r="AA23" s="188">
        <f t="shared" si="9"/>
        <v>0</v>
      </c>
    </row>
    <row r="24" spans="3:27" ht="26.25" x14ac:dyDescent="0.2">
      <c r="C24" s="311">
        <v>0.70833333333333337</v>
      </c>
      <c r="D24" s="274"/>
      <c r="E24" s="186"/>
      <c r="F24" s="187"/>
      <c r="G24" s="187"/>
      <c r="H24" s="187"/>
      <c r="I24" s="187"/>
      <c r="J24" s="187"/>
      <c r="K24" s="188"/>
      <c r="M24" s="540"/>
      <c r="N24" s="187"/>
      <c r="O24" s="187"/>
      <c r="P24" s="187"/>
      <c r="Q24" s="187"/>
      <c r="R24" s="187"/>
      <c r="S24" s="188"/>
      <c r="U24" s="540">
        <f t="shared" si="7"/>
        <v>0</v>
      </c>
      <c r="V24" s="187">
        <f t="shared" si="3"/>
        <v>0</v>
      </c>
      <c r="W24" s="187">
        <f t="shared" si="4"/>
        <v>0</v>
      </c>
      <c r="X24" s="187">
        <f t="shared" si="5"/>
        <v>0</v>
      </c>
      <c r="Y24" s="187">
        <f t="shared" si="6"/>
        <v>0</v>
      </c>
      <c r="Z24" s="187">
        <f t="shared" si="8"/>
        <v>0</v>
      </c>
      <c r="AA24" s="188">
        <f t="shared" si="9"/>
        <v>0</v>
      </c>
    </row>
    <row r="25" spans="3:27" ht="26.25" x14ac:dyDescent="0.2">
      <c r="C25" s="311">
        <v>0.72916666666666663</v>
      </c>
      <c r="D25" s="274"/>
      <c r="E25" s="186"/>
      <c r="F25" s="187"/>
      <c r="G25" s="187"/>
      <c r="H25" s="187"/>
      <c r="I25" s="187"/>
      <c r="J25" s="187"/>
      <c r="K25" s="188"/>
      <c r="M25" s="540"/>
      <c r="N25" s="187"/>
      <c r="O25" s="187"/>
      <c r="P25" s="187"/>
      <c r="Q25" s="187"/>
      <c r="R25" s="187"/>
      <c r="S25" s="188"/>
      <c r="U25" s="540">
        <f t="shared" si="7"/>
        <v>0</v>
      </c>
      <c r="V25" s="187">
        <f t="shared" si="3"/>
        <v>0</v>
      </c>
      <c r="W25" s="187">
        <f t="shared" si="4"/>
        <v>0</v>
      </c>
      <c r="X25" s="187">
        <f t="shared" si="5"/>
        <v>0</v>
      </c>
      <c r="Y25" s="187">
        <f t="shared" si="6"/>
        <v>0</v>
      </c>
      <c r="Z25" s="187">
        <f t="shared" si="8"/>
        <v>0</v>
      </c>
      <c r="AA25" s="188">
        <f t="shared" si="9"/>
        <v>0</v>
      </c>
    </row>
    <row r="26" spans="3:27" ht="26.25" x14ac:dyDescent="0.2">
      <c r="C26" s="311">
        <v>0.75</v>
      </c>
      <c r="D26" s="274"/>
      <c r="E26" s="186"/>
      <c r="F26" s="187"/>
      <c r="G26" s="187"/>
      <c r="H26" s="187"/>
      <c r="I26" s="187"/>
      <c r="J26" s="187"/>
      <c r="K26" s="188"/>
      <c r="M26" s="540"/>
      <c r="N26" s="187"/>
      <c r="O26" s="187"/>
      <c r="P26" s="187"/>
      <c r="Q26" s="187"/>
      <c r="R26" s="187"/>
      <c r="S26" s="188"/>
      <c r="U26" s="540">
        <f t="shared" si="7"/>
        <v>0</v>
      </c>
      <c r="V26" s="187">
        <f t="shared" si="3"/>
        <v>0</v>
      </c>
      <c r="W26" s="187">
        <f t="shared" si="4"/>
        <v>0</v>
      </c>
      <c r="X26" s="187">
        <f t="shared" si="5"/>
        <v>0</v>
      </c>
      <c r="Y26" s="187">
        <f t="shared" si="6"/>
        <v>0</v>
      </c>
      <c r="Z26" s="187"/>
      <c r="AA26" s="188"/>
    </row>
    <row r="27" spans="3:27" ht="26.25" x14ac:dyDescent="0.2">
      <c r="C27" s="311">
        <v>0.77083333333333337</v>
      </c>
      <c r="D27" s="274"/>
      <c r="E27" s="186"/>
      <c r="F27" s="187"/>
      <c r="G27" s="187"/>
      <c r="H27" s="187"/>
      <c r="I27" s="187"/>
      <c r="J27" s="187"/>
      <c r="K27" s="188"/>
      <c r="M27" s="540"/>
      <c r="N27" s="187"/>
      <c r="O27" s="187"/>
      <c r="P27" s="187"/>
      <c r="Q27" s="187"/>
      <c r="R27" s="187"/>
      <c r="S27" s="188"/>
      <c r="U27" s="540">
        <f t="shared" si="7"/>
        <v>0</v>
      </c>
      <c r="V27" s="187">
        <f t="shared" si="3"/>
        <v>0</v>
      </c>
      <c r="W27" s="187">
        <f t="shared" si="4"/>
        <v>0</v>
      </c>
      <c r="X27" s="187">
        <f t="shared" si="5"/>
        <v>0</v>
      </c>
      <c r="Y27" s="187">
        <f t="shared" si="6"/>
        <v>0</v>
      </c>
      <c r="Z27" s="187"/>
      <c r="AA27" s="188"/>
    </row>
    <row r="28" spans="3:27" ht="26.25" x14ac:dyDescent="0.2">
      <c r="C28" s="311">
        <v>0.79166666666666663</v>
      </c>
      <c r="D28" s="274"/>
      <c r="E28" s="186"/>
      <c r="F28" s="187"/>
      <c r="G28" s="187"/>
      <c r="H28" s="187"/>
      <c r="I28" s="187"/>
      <c r="J28" s="187"/>
      <c r="K28" s="188"/>
      <c r="M28" s="540"/>
      <c r="N28" s="187"/>
      <c r="O28" s="187"/>
      <c r="P28" s="187"/>
      <c r="Q28" s="187"/>
      <c r="R28" s="187"/>
      <c r="S28" s="188"/>
      <c r="U28" s="540">
        <f t="shared" si="7"/>
        <v>0</v>
      </c>
      <c r="V28" s="187">
        <f t="shared" si="3"/>
        <v>0</v>
      </c>
      <c r="W28" s="187">
        <f t="shared" si="4"/>
        <v>0</v>
      </c>
      <c r="X28" s="187">
        <f t="shared" si="5"/>
        <v>0</v>
      </c>
      <c r="Y28" s="187">
        <f t="shared" si="6"/>
        <v>0</v>
      </c>
      <c r="Z28" s="187"/>
      <c r="AA28" s="188"/>
    </row>
    <row r="29" spans="3:27" ht="26.25" x14ac:dyDescent="0.2">
      <c r="C29" s="311">
        <v>0.8125</v>
      </c>
      <c r="D29" s="274"/>
      <c r="E29" s="186"/>
      <c r="F29" s="187"/>
      <c r="G29" s="187"/>
      <c r="H29" s="187"/>
      <c r="I29" s="187"/>
      <c r="J29" s="187"/>
      <c r="K29" s="188"/>
      <c r="M29" s="540"/>
      <c r="N29" s="187"/>
      <c r="O29" s="187"/>
      <c r="P29" s="187"/>
      <c r="Q29" s="187"/>
      <c r="R29" s="187"/>
      <c r="S29" s="188"/>
      <c r="U29" s="540">
        <f t="shared" si="7"/>
        <v>0</v>
      </c>
      <c r="V29" s="187">
        <f t="shared" si="3"/>
        <v>0</v>
      </c>
      <c r="W29" s="187">
        <f t="shared" si="4"/>
        <v>0</v>
      </c>
      <c r="X29" s="187">
        <f t="shared" si="5"/>
        <v>0</v>
      </c>
      <c r="Y29" s="187">
        <f t="shared" si="6"/>
        <v>0</v>
      </c>
      <c r="Z29" s="187"/>
      <c r="AA29" s="188"/>
    </row>
    <row r="30" spans="3:27" ht="26.25" x14ac:dyDescent="0.2">
      <c r="C30" s="311">
        <v>0.83333333333333337</v>
      </c>
      <c r="D30" s="274"/>
      <c r="E30" s="186"/>
      <c r="F30" s="187"/>
      <c r="G30" s="187"/>
      <c r="H30" s="187"/>
      <c r="I30" s="187"/>
      <c r="J30" s="187"/>
      <c r="K30" s="188"/>
      <c r="M30" s="540"/>
      <c r="N30" s="187"/>
      <c r="O30" s="187"/>
      <c r="P30" s="187"/>
      <c r="Q30" s="187"/>
      <c r="R30" s="187"/>
      <c r="S30" s="188"/>
      <c r="U30" s="540">
        <f t="shared" si="7"/>
        <v>0</v>
      </c>
      <c r="V30" s="187">
        <f t="shared" si="3"/>
        <v>0</v>
      </c>
      <c r="W30" s="187">
        <f t="shared" si="4"/>
        <v>0</v>
      </c>
      <c r="X30" s="187">
        <f t="shared" si="5"/>
        <v>0</v>
      </c>
      <c r="Y30" s="187">
        <f t="shared" si="6"/>
        <v>0</v>
      </c>
      <c r="Z30" s="187"/>
      <c r="AA30" s="188"/>
    </row>
    <row r="31" spans="3:27" ht="26.25" x14ac:dyDescent="0.2">
      <c r="C31" s="311">
        <v>0.85416666666666663</v>
      </c>
      <c r="D31" s="274"/>
      <c r="E31" s="186"/>
      <c r="F31" s="187"/>
      <c r="G31" s="187"/>
      <c r="H31" s="187"/>
      <c r="I31" s="187"/>
      <c r="J31" s="187"/>
      <c r="K31" s="188"/>
      <c r="M31" s="540"/>
      <c r="N31" s="187"/>
      <c r="O31" s="187"/>
      <c r="P31" s="187"/>
      <c r="Q31" s="187"/>
      <c r="R31" s="187"/>
      <c r="S31" s="188"/>
      <c r="U31" s="540">
        <f t="shared" si="7"/>
        <v>0</v>
      </c>
      <c r="V31" s="187">
        <f t="shared" si="3"/>
        <v>0</v>
      </c>
      <c r="W31" s="187">
        <f t="shared" si="4"/>
        <v>0</v>
      </c>
      <c r="X31" s="187">
        <f t="shared" si="5"/>
        <v>0</v>
      </c>
      <c r="Y31" s="187">
        <f t="shared" si="6"/>
        <v>0</v>
      </c>
      <c r="Z31" s="187"/>
      <c r="AA31" s="188"/>
    </row>
    <row r="32" spans="3:27" ht="26.25" x14ac:dyDescent="0.2">
      <c r="C32" s="311">
        <v>0.875</v>
      </c>
      <c r="D32" s="274"/>
      <c r="E32" s="186"/>
      <c r="F32" s="187"/>
      <c r="G32" s="187"/>
      <c r="H32" s="187"/>
      <c r="I32" s="187"/>
      <c r="J32" s="187"/>
      <c r="K32" s="188"/>
      <c r="M32" s="540"/>
      <c r="N32" s="187"/>
      <c r="O32" s="187"/>
      <c r="P32" s="187"/>
      <c r="Q32" s="187"/>
      <c r="R32" s="187"/>
      <c r="S32" s="188"/>
      <c r="U32" s="540">
        <f t="shared" si="7"/>
        <v>0</v>
      </c>
      <c r="V32" s="187">
        <f t="shared" si="3"/>
        <v>0</v>
      </c>
      <c r="W32" s="187">
        <f t="shared" si="4"/>
        <v>0</v>
      </c>
      <c r="X32" s="187">
        <f t="shared" si="5"/>
        <v>0</v>
      </c>
      <c r="Y32" s="187">
        <f t="shared" si="6"/>
        <v>0</v>
      </c>
      <c r="Z32" s="187"/>
      <c r="AA32" s="188"/>
    </row>
    <row r="33" spans="3:27" ht="26.25" x14ac:dyDescent="0.2">
      <c r="C33" s="311">
        <v>0.89583333333333337</v>
      </c>
      <c r="D33" s="274"/>
      <c r="E33" s="186"/>
      <c r="F33" s="187"/>
      <c r="G33" s="187"/>
      <c r="H33" s="187"/>
      <c r="I33" s="187"/>
      <c r="J33" s="187"/>
      <c r="K33" s="188"/>
      <c r="M33" s="540"/>
      <c r="N33" s="187"/>
      <c r="O33" s="187"/>
      <c r="P33" s="187"/>
      <c r="Q33" s="187"/>
      <c r="R33" s="187"/>
      <c r="S33" s="188"/>
      <c r="U33" s="540">
        <f t="shared" si="7"/>
        <v>0</v>
      </c>
      <c r="V33" s="187">
        <f t="shared" si="3"/>
        <v>0</v>
      </c>
      <c r="W33" s="187">
        <f t="shared" si="4"/>
        <v>0</v>
      </c>
      <c r="X33" s="187">
        <f t="shared" si="5"/>
        <v>0</v>
      </c>
      <c r="Y33" s="187">
        <f t="shared" si="6"/>
        <v>0</v>
      </c>
      <c r="Z33" s="187"/>
      <c r="AA33" s="188"/>
    </row>
    <row r="34" spans="3:27" ht="26.25" x14ac:dyDescent="0.2">
      <c r="C34" s="311">
        <v>0.91666666666666663</v>
      </c>
      <c r="D34" s="274"/>
      <c r="E34" s="186"/>
      <c r="F34" s="187"/>
      <c r="G34" s="187"/>
      <c r="H34" s="187"/>
      <c r="I34" s="187"/>
      <c r="J34" s="187"/>
      <c r="K34" s="188"/>
      <c r="M34" s="540"/>
      <c r="N34" s="187"/>
      <c r="O34" s="187"/>
      <c r="P34" s="187"/>
      <c r="Q34" s="187"/>
      <c r="R34" s="187"/>
      <c r="S34" s="188"/>
      <c r="U34" s="540">
        <f t="shared" si="7"/>
        <v>0</v>
      </c>
      <c r="V34" s="187">
        <f t="shared" si="3"/>
        <v>0</v>
      </c>
      <c r="W34" s="187">
        <f t="shared" si="4"/>
        <v>0</v>
      </c>
      <c r="X34" s="187">
        <f t="shared" si="5"/>
        <v>0</v>
      </c>
      <c r="Y34" s="187">
        <f t="shared" si="6"/>
        <v>0</v>
      </c>
      <c r="Z34" s="187"/>
      <c r="AA34" s="188"/>
    </row>
    <row r="35" spans="3:27" ht="26.25" x14ac:dyDescent="0.2">
      <c r="C35" s="311">
        <v>0.9375</v>
      </c>
      <c r="D35" s="274"/>
      <c r="E35" s="186"/>
      <c r="F35" s="187"/>
      <c r="G35" s="187"/>
      <c r="H35" s="187"/>
      <c r="I35" s="187"/>
      <c r="J35" s="187"/>
      <c r="K35" s="188"/>
      <c r="M35" s="540"/>
      <c r="N35" s="187"/>
      <c r="O35" s="187"/>
      <c r="P35" s="187"/>
      <c r="Q35" s="187"/>
      <c r="R35" s="187"/>
      <c r="S35" s="188"/>
      <c r="U35" s="540">
        <f t="shared" si="7"/>
        <v>0</v>
      </c>
      <c r="V35" s="187">
        <f t="shared" si="3"/>
        <v>0</v>
      </c>
      <c r="W35" s="187">
        <f t="shared" si="4"/>
        <v>0</v>
      </c>
      <c r="X35" s="187">
        <f t="shared" si="5"/>
        <v>0</v>
      </c>
      <c r="Y35" s="187">
        <f t="shared" si="6"/>
        <v>0</v>
      </c>
      <c r="Z35" s="187"/>
      <c r="AA35" s="188"/>
    </row>
    <row r="36" spans="3:27" ht="27" thickBot="1" x14ac:dyDescent="0.45">
      <c r="C36" s="215"/>
      <c r="D36" s="189"/>
      <c r="E36" s="189"/>
      <c r="F36" s="189"/>
      <c r="G36" s="189"/>
      <c r="H36" s="189"/>
      <c r="I36" s="189"/>
      <c r="J36" s="189"/>
      <c r="K36" s="190"/>
      <c r="M36" s="215"/>
      <c r="N36" s="189"/>
      <c r="O36" s="189"/>
      <c r="P36" s="189"/>
      <c r="Q36" s="189"/>
      <c r="R36" s="189"/>
      <c r="S36" s="190"/>
      <c r="U36" s="215"/>
      <c r="V36" s="189"/>
      <c r="W36" s="189"/>
      <c r="X36" s="189"/>
      <c r="Y36" s="189"/>
      <c r="Z36" s="189"/>
      <c r="AA36" s="190"/>
    </row>
    <row r="37" spans="3:27" ht="27" thickBot="1" x14ac:dyDescent="0.45">
      <c r="C37" s="287"/>
      <c r="D37" s="285"/>
      <c r="E37" s="191">
        <f t="shared" ref="E37:K37" si="10">SUM(E6:E35)/16</f>
        <v>0</v>
      </c>
      <c r="F37" s="191">
        <f t="shared" si="10"/>
        <v>0</v>
      </c>
      <c r="G37" s="191">
        <f t="shared" si="10"/>
        <v>0</v>
      </c>
      <c r="H37" s="191">
        <f t="shared" si="10"/>
        <v>0</v>
      </c>
      <c r="I37" s="192">
        <f t="shared" si="10"/>
        <v>0</v>
      </c>
      <c r="J37" s="191">
        <f t="shared" si="10"/>
        <v>0</v>
      </c>
      <c r="K37" s="193">
        <f t="shared" si="10"/>
        <v>0</v>
      </c>
      <c r="M37" s="541">
        <f t="shared" ref="M37:S37" si="11">SUM(M6:M35)/16</f>
        <v>0</v>
      </c>
      <c r="N37" s="191">
        <f t="shared" si="11"/>
        <v>0</v>
      </c>
      <c r="O37" s="191">
        <f t="shared" si="11"/>
        <v>0</v>
      </c>
      <c r="P37" s="191">
        <f t="shared" si="11"/>
        <v>0</v>
      </c>
      <c r="Q37" s="192">
        <f t="shared" si="11"/>
        <v>0</v>
      </c>
      <c r="R37" s="191">
        <f t="shared" si="11"/>
        <v>0</v>
      </c>
      <c r="S37" s="193">
        <f t="shared" si="11"/>
        <v>0</v>
      </c>
      <c r="U37" s="541">
        <f t="shared" ref="U37:AA37" si="12">SUM(U6:U35)/16</f>
        <v>0</v>
      </c>
      <c r="V37" s="191">
        <f t="shared" si="12"/>
        <v>0</v>
      </c>
      <c r="W37" s="191">
        <f t="shared" si="12"/>
        <v>0</v>
      </c>
      <c r="X37" s="191">
        <f t="shared" si="12"/>
        <v>0</v>
      </c>
      <c r="Y37" s="192">
        <f t="shared" si="12"/>
        <v>0</v>
      </c>
      <c r="Z37" s="191">
        <f t="shared" si="12"/>
        <v>0</v>
      </c>
      <c r="AA37" s="193">
        <f t="shared" si="12"/>
        <v>0</v>
      </c>
    </row>
  </sheetData>
  <phoneticPr fontId="2" type="noConversion"/>
  <conditionalFormatting sqref="E6:K35 M6:S35 U6:AA35">
    <cfRule type="cellIs" dxfId="43" priority="1" stopIfTrue="1" operator="lessThanOrEqual">
      <formula>0</formula>
    </cfRule>
  </conditionalFormatting>
  <conditionalFormatting sqref="E37:K37 M37:S37 U37:AA37">
    <cfRule type="cellIs" dxfId="42" priority="2" stopIfTrue="1" operator="equal">
      <formula>$B$37</formula>
    </cfRule>
  </conditionalFormatting>
  <pageMargins left="0.75" right="0.75" top="1" bottom="1" header="0.5" footer="0.5"/>
  <headerFooter alignWithMargins="0"/>
  <ignoredErrors>
    <ignoredError sqref="U6:AA3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BX471"/>
  <sheetViews>
    <sheetView showGridLines="0" tabSelected="1" zoomScale="50" zoomScaleNormal="50" zoomScaleSheetLayoutView="50" workbookViewId="0">
      <selection activeCell="K37" sqref="K37"/>
    </sheetView>
  </sheetViews>
  <sheetFormatPr defaultColWidth="11.7109375" defaultRowHeight="26.25" x14ac:dyDescent="0.4"/>
  <cols>
    <col min="1" max="1" width="2" style="189" customWidth="1"/>
    <col min="2" max="2" width="2" style="216" customWidth="1"/>
    <col min="3" max="3" width="16.140625" style="216" customWidth="1"/>
    <col min="4" max="4" width="2.28515625" style="217" customWidth="1"/>
    <col min="5" max="11" width="11.85546875" style="217" customWidth="1"/>
    <col min="12" max="12" width="4" style="217" customWidth="1"/>
    <col min="13" max="13" width="14.7109375" style="217" customWidth="1"/>
    <col min="14" max="14" width="15" style="189" bestFit="1" customWidth="1"/>
    <col min="15" max="15" width="3.7109375" style="189" customWidth="1"/>
    <col min="16" max="28" width="9.85546875" style="189" customWidth="1"/>
    <col min="29" max="29" width="10.7109375" style="189" customWidth="1"/>
    <col min="30" max="30" width="4.28515625" style="189" customWidth="1"/>
    <col min="31" max="32" width="15.28515625" style="189" hidden="1" customWidth="1"/>
    <col min="33" max="33" width="4.140625" style="189" hidden="1" customWidth="1"/>
    <col min="34" max="47" width="9.5703125" style="189" hidden="1" customWidth="1"/>
    <col min="48" max="48" width="3.85546875" style="189" hidden="1" customWidth="1"/>
    <col min="49" max="55" width="11" style="189" customWidth="1"/>
    <col min="56" max="56" width="2.140625" style="189" customWidth="1"/>
    <col min="57" max="57" width="15.85546875" style="189" customWidth="1"/>
    <col min="58" max="58" width="9.5703125" style="189" customWidth="1"/>
    <col min="59" max="62" width="12.7109375" style="189" customWidth="1"/>
    <col min="63" max="66" width="10.5703125" style="189" customWidth="1"/>
    <col min="67" max="16384" width="11.7109375" style="189"/>
  </cols>
  <sheetData>
    <row r="1" spans="2:76" ht="11.25" customHeight="1" x14ac:dyDescent="0.4">
      <c r="N1" s="218"/>
      <c r="O1" s="218"/>
    </row>
    <row r="2" spans="2:76" ht="24" customHeight="1" thickBot="1" x14ac:dyDescent="0.45">
      <c r="B2" s="220"/>
      <c r="C2" s="221"/>
      <c r="D2" s="222"/>
      <c r="E2" s="116"/>
      <c r="F2" s="116"/>
      <c r="G2" s="116"/>
      <c r="H2" s="116" t="s">
        <v>22</v>
      </c>
      <c r="I2" s="116"/>
      <c r="J2" s="116"/>
      <c r="K2" s="116"/>
      <c r="L2" s="222"/>
      <c r="M2" s="222"/>
      <c r="N2" s="222"/>
      <c r="O2" s="223"/>
      <c r="P2" s="222"/>
      <c r="Q2" s="222"/>
      <c r="R2" s="222"/>
      <c r="S2" s="116"/>
      <c r="T2" s="222"/>
      <c r="U2" s="222"/>
      <c r="V2" s="222"/>
      <c r="W2" s="222"/>
      <c r="X2" s="222"/>
      <c r="Y2" s="222"/>
      <c r="Z2" s="116"/>
      <c r="AA2" s="222"/>
      <c r="AB2" s="222"/>
      <c r="AC2" s="222"/>
      <c r="AD2" s="222"/>
      <c r="AE2" s="224"/>
      <c r="AF2" s="224"/>
      <c r="AG2" s="224"/>
      <c r="AH2" s="224"/>
      <c r="AI2" s="224"/>
      <c r="AJ2" s="224"/>
      <c r="AK2" s="224"/>
      <c r="AL2" s="116"/>
      <c r="AM2" s="224"/>
      <c r="AN2" s="224"/>
      <c r="AO2" s="224"/>
      <c r="AP2" s="224"/>
      <c r="AQ2" s="224"/>
      <c r="AR2" s="224"/>
      <c r="AS2" s="116"/>
      <c r="AT2" s="224"/>
      <c r="AU2" s="224"/>
      <c r="AV2" s="224"/>
      <c r="AW2" s="224"/>
      <c r="AX2" s="224"/>
      <c r="AY2" s="224"/>
      <c r="AZ2" s="116"/>
      <c r="BA2" s="224"/>
      <c r="BB2" s="224"/>
      <c r="BC2" s="224"/>
      <c r="BD2" s="225"/>
      <c r="BE2" s="224"/>
      <c r="BF2" s="224"/>
      <c r="BG2" s="224"/>
      <c r="BH2" s="224"/>
      <c r="BI2" s="224"/>
      <c r="BJ2" s="224"/>
      <c r="BK2" s="224"/>
      <c r="BL2" s="226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</row>
    <row r="3" spans="2:76" ht="23.25" customHeight="1" x14ac:dyDescent="0.4">
      <c r="B3" s="227"/>
      <c r="C3" s="228"/>
      <c r="D3" s="229"/>
      <c r="E3" s="230"/>
      <c r="F3" s="231"/>
      <c r="G3" s="231"/>
      <c r="H3" s="231"/>
      <c r="I3" s="231"/>
      <c r="J3" s="231"/>
      <c r="K3" s="232"/>
      <c r="L3" s="233"/>
      <c r="M3" s="234"/>
      <c r="N3" s="235"/>
      <c r="O3" s="229"/>
      <c r="P3" s="230"/>
      <c r="Q3" s="231"/>
      <c r="R3" s="231"/>
      <c r="S3" s="240" t="s">
        <v>10</v>
      </c>
      <c r="T3" s="231"/>
      <c r="U3" s="231"/>
      <c r="V3" s="236"/>
      <c r="W3" s="230"/>
      <c r="X3" s="231"/>
      <c r="Y3" s="231"/>
      <c r="Z3" s="240" t="s">
        <v>36</v>
      </c>
      <c r="AA3" s="231"/>
      <c r="AB3" s="231"/>
      <c r="AC3" s="232"/>
      <c r="AD3" s="217"/>
      <c r="AE3" s="237"/>
      <c r="AF3" s="238"/>
      <c r="AG3" s="239"/>
      <c r="AH3" s="230"/>
      <c r="AI3" s="231"/>
      <c r="AJ3" s="231"/>
      <c r="AK3" s="240" t="s">
        <v>33</v>
      </c>
      <c r="AL3" s="231"/>
      <c r="AM3" s="231"/>
      <c r="AN3" s="236"/>
      <c r="AO3" s="230"/>
      <c r="AP3" s="231"/>
      <c r="AQ3" s="231"/>
      <c r="AR3" s="240" t="s">
        <v>34</v>
      </c>
      <c r="AS3" s="231"/>
      <c r="AT3" s="231"/>
      <c r="AU3" s="232"/>
      <c r="AW3" s="241"/>
      <c r="AX3" s="231"/>
      <c r="AY3" s="231"/>
      <c r="AZ3" s="242" t="s">
        <v>35</v>
      </c>
      <c r="BA3" s="231"/>
      <c r="BB3" s="231"/>
      <c r="BC3" s="232"/>
      <c r="BD3" s="243"/>
    </row>
    <row r="4" spans="2:76" ht="23.25" customHeight="1" x14ac:dyDescent="0.4">
      <c r="B4" s="244"/>
      <c r="C4" s="245">
        <v>40299</v>
      </c>
      <c r="D4" s="246"/>
      <c r="E4" s="247" t="s">
        <v>23</v>
      </c>
      <c r="F4" s="248" t="s">
        <v>24</v>
      </c>
      <c r="G4" s="248" t="s">
        <v>25</v>
      </c>
      <c r="H4" s="248" t="s">
        <v>26</v>
      </c>
      <c r="I4" s="248" t="s">
        <v>27</v>
      </c>
      <c r="J4" s="248" t="s">
        <v>28</v>
      </c>
      <c r="K4" s="249" t="s">
        <v>29</v>
      </c>
      <c r="L4" s="250"/>
      <c r="M4" s="251" t="s">
        <v>2</v>
      </c>
      <c r="N4" s="252" t="s">
        <v>3</v>
      </c>
      <c r="O4" s="253"/>
      <c r="P4" s="247" t="s">
        <v>23</v>
      </c>
      <c r="Q4" s="248" t="s">
        <v>24</v>
      </c>
      <c r="R4" s="248" t="s">
        <v>25</v>
      </c>
      <c r="S4" s="248" t="s">
        <v>26</v>
      </c>
      <c r="T4" s="248" t="s">
        <v>27</v>
      </c>
      <c r="U4" s="248" t="s">
        <v>28</v>
      </c>
      <c r="V4" s="254" t="s">
        <v>29</v>
      </c>
      <c r="W4" s="247" t="s">
        <v>23</v>
      </c>
      <c r="X4" s="248" t="s">
        <v>24</v>
      </c>
      <c r="Y4" s="248" t="s">
        <v>25</v>
      </c>
      <c r="Z4" s="248" t="s">
        <v>26</v>
      </c>
      <c r="AA4" s="248" t="s">
        <v>27</v>
      </c>
      <c r="AB4" s="248" t="s">
        <v>28</v>
      </c>
      <c r="AC4" s="249" t="s">
        <v>29</v>
      </c>
      <c r="AD4" s="217"/>
      <c r="AE4" s="255" t="s">
        <v>2</v>
      </c>
      <c r="AF4" s="256" t="s">
        <v>3</v>
      </c>
      <c r="AH4" s="247" t="s">
        <v>23</v>
      </c>
      <c r="AI4" s="248" t="s">
        <v>24</v>
      </c>
      <c r="AJ4" s="248" t="s">
        <v>25</v>
      </c>
      <c r="AK4" s="248" t="s">
        <v>26</v>
      </c>
      <c r="AL4" s="248" t="s">
        <v>27</v>
      </c>
      <c r="AM4" s="248" t="s">
        <v>28</v>
      </c>
      <c r="AN4" s="254" t="s">
        <v>29</v>
      </c>
      <c r="AO4" s="247" t="s">
        <v>23</v>
      </c>
      <c r="AP4" s="248" t="s">
        <v>24</v>
      </c>
      <c r="AQ4" s="248" t="s">
        <v>25</v>
      </c>
      <c r="AR4" s="248" t="s">
        <v>26</v>
      </c>
      <c r="AS4" s="248" t="s">
        <v>27</v>
      </c>
      <c r="AT4" s="248" t="s">
        <v>28</v>
      </c>
      <c r="AU4" s="249" t="s">
        <v>29</v>
      </c>
      <c r="AW4" s="257" t="s">
        <v>23</v>
      </c>
      <c r="AX4" s="248" t="s">
        <v>24</v>
      </c>
      <c r="AY4" s="248" t="s">
        <v>25</v>
      </c>
      <c r="AZ4" s="248" t="s">
        <v>26</v>
      </c>
      <c r="BA4" s="248" t="s">
        <v>27</v>
      </c>
      <c r="BB4" s="248" t="s">
        <v>28</v>
      </c>
      <c r="BC4" s="249" t="s">
        <v>29</v>
      </c>
      <c r="BD4" s="243"/>
    </row>
    <row r="5" spans="2:76" s="258" customFormat="1" ht="23.25" customHeight="1" x14ac:dyDescent="0.4">
      <c r="B5" s="259"/>
      <c r="C5" s="260" t="s">
        <v>4</v>
      </c>
      <c r="D5" s="261"/>
      <c r="E5" s="263">
        <f t="shared" ref="E5:K5" si="0">MAX(E6:E35)</f>
        <v>0</v>
      </c>
      <c r="F5" s="263">
        <f t="shared" si="0"/>
        <v>0</v>
      </c>
      <c r="G5" s="263">
        <f t="shared" si="0"/>
        <v>0</v>
      </c>
      <c r="H5" s="263">
        <f t="shared" si="0"/>
        <v>0</v>
      </c>
      <c r="I5" s="263">
        <f t="shared" si="0"/>
        <v>0</v>
      </c>
      <c r="J5" s="263">
        <f t="shared" si="0"/>
        <v>0</v>
      </c>
      <c r="K5" s="264">
        <f t="shared" si="0"/>
        <v>0</v>
      </c>
      <c r="L5" s="262"/>
      <c r="M5" s="312"/>
      <c r="N5" s="515"/>
      <c r="O5" s="267"/>
      <c r="P5" s="262">
        <f t="shared" ref="P5:V5" si="1">MAX(P6:P19)</f>
        <v>0</v>
      </c>
      <c r="Q5" s="262">
        <f t="shared" si="1"/>
        <v>0</v>
      </c>
      <c r="R5" s="262">
        <f t="shared" si="1"/>
        <v>0</v>
      </c>
      <c r="S5" s="262">
        <f t="shared" si="1"/>
        <v>0</v>
      </c>
      <c r="T5" s="262">
        <f t="shared" si="1"/>
        <v>0</v>
      </c>
      <c r="U5" s="262">
        <f t="shared" si="1"/>
        <v>0</v>
      </c>
      <c r="V5" s="262">
        <f t="shared" si="1"/>
        <v>0</v>
      </c>
      <c r="W5" s="442"/>
      <c r="X5" s="442"/>
      <c r="Y5" s="442"/>
      <c r="Z5" s="443" t="s">
        <v>5</v>
      </c>
      <c r="AA5" s="442"/>
      <c r="AB5" s="442"/>
      <c r="AC5" s="444"/>
      <c r="AD5" s="445"/>
      <c r="AE5" s="446"/>
      <c r="AF5" s="447"/>
      <c r="AG5" s="448"/>
      <c r="AH5" s="523" t="s">
        <v>45</v>
      </c>
      <c r="AI5" s="442"/>
      <c r="AJ5" s="443"/>
      <c r="AK5" s="522"/>
      <c r="AL5" s="442"/>
      <c r="AM5" s="524" t="s">
        <v>44</v>
      </c>
      <c r="AN5" s="525" t="s">
        <v>44</v>
      </c>
      <c r="AO5" s="442"/>
      <c r="AP5" s="442"/>
      <c r="AQ5" s="442"/>
      <c r="AR5" s="267"/>
      <c r="AS5" s="189"/>
      <c r="AT5" s="524" t="s">
        <v>42</v>
      </c>
      <c r="AU5" s="527" t="s">
        <v>42</v>
      </c>
      <c r="AV5" s="189"/>
      <c r="AW5" s="271">
        <f t="shared" ref="AW5:BC5" si="2">MAX(AW6:AW35)</f>
        <v>0</v>
      </c>
      <c r="AX5" s="268">
        <f t="shared" si="2"/>
        <v>0</v>
      </c>
      <c r="AY5" s="268">
        <f t="shared" si="2"/>
        <v>0</v>
      </c>
      <c r="AZ5" s="268">
        <f t="shared" si="2"/>
        <v>0</v>
      </c>
      <c r="BA5" s="268">
        <f t="shared" si="2"/>
        <v>0</v>
      </c>
      <c r="BB5" s="268">
        <f t="shared" si="2"/>
        <v>0</v>
      </c>
      <c r="BC5" s="272">
        <f t="shared" si="2"/>
        <v>0</v>
      </c>
      <c r="BD5" s="243"/>
      <c r="BE5" s="189"/>
      <c r="BF5" s="189"/>
      <c r="BG5" s="189"/>
      <c r="BH5" s="189"/>
      <c r="BI5" s="189"/>
      <c r="BJ5" s="189"/>
      <c r="BK5" s="189"/>
      <c r="BL5" s="189"/>
      <c r="BM5" s="189"/>
      <c r="BN5" s="189"/>
      <c r="BO5" s="189"/>
      <c r="BP5" s="189"/>
      <c r="BQ5" s="189"/>
      <c r="BR5" s="189"/>
      <c r="BS5" s="189"/>
      <c r="BT5" s="189"/>
      <c r="BU5" s="189"/>
      <c r="BV5" s="189"/>
      <c r="BW5" s="189"/>
    </row>
    <row r="6" spans="2:76" ht="23.25" customHeight="1" x14ac:dyDescent="0.4">
      <c r="B6" s="273">
        <f t="shared" ref="B6:B35" si="3">MAX(E6:K6)</f>
        <v>0</v>
      </c>
      <c r="C6" s="310">
        <v>0.33333333333333331</v>
      </c>
      <c r="D6" s="274"/>
      <c r="E6" s="183"/>
      <c r="F6" s="184"/>
      <c r="G6" s="184"/>
      <c r="H6" s="184"/>
      <c r="I6" s="184"/>
      <c r="J6" s="184"/>
      <c r="K6" s="185"/>
      <c r="L6" s="275"/>
      <c r="M6" s="310">
        <v>0.33333333333333331</v>
      </c>
      <c r="N6" s="311">
        <v>0.6875</v>
      </c>
      <c r="O6" s="276">
        <f t="shared" ref="O6:O12" si="4">MAX(E44:K44)</f>
        <v>0</v>
      </c>
      <c r="P6" s="194">
        <f>IF($E$6&lt;0,0,$E$6)</f>
        <v>0</v>
      </c>
      <c r="Q6" s="195">
        <f>IF($F$6&lt;0,0,$F$6)</f>
        <v>0</v>
      </c>
      <c r="R6" s="195">
        <f>IF($G$6&lt;0,0,$G$6)</f>
        <v>0</v>
      </c>
      <c r="S6" s="195">
        <f>IF($H$6&lt;0,0,$H$6)</f>
        <v>0</v>
      </c>
      <c r="T6" s="195">
        <f>IF($I$6&lt;0,0,$I$6)</f>
        <v>0</v>
      </c>
      <c r="U6" s="195"/>
      <c r="V6" s="196"/>
      <c r="W6" s="544"/>
      <c r="X6" s="545"/>
      <c r="Y6" s="545"/>
      <c r="Z6" s="545"/>
      <c r="AA6" s="545"/>
      <c r="AB6" s="489"/>
      <c r="AC6" s="490"/>
      <c r="AD6" s="217"/>
      <c r="AE6" s="311">
        <v>0.29166666666424135</v>
      </c>
      <c r="AF6" s="313">
        <v>0.45833333333333331</v>
      </c>
      <c r="AH6" s="183"/>
      <c r="AI6" s="197"/>
      <c r="AJ6" s="197"/>
      <c r="AK6" s="197"/>
      <c r="AL6" s="212"/>
      <c r="AM6" s="524" t="s">
        <v>43</v>
      </c>
      <c r="AN6" s="526" t="s">
        <v>43</v>
      </c>
      <c r="AO6" s="518"/>
      <c r="AP6" s="197"/>
      <c r="AQ6" s="197"/>
      <c r="AR6" s="197"/>
      <c r="AS6" s="212"/>
      <c r="AT6" s="524" t="s">
        <v>43</v>
      </c>
      <c r="AU6" s="528" t="s">
        <v>43</v>
      </c>
      <c r="AW6" s="503">
        <f>SCHEDULES!$I$8</f>
        <v>0</v>
      </c>
      <c r="AX6" s="504">
        <f>SCHEDULES!$I$51</f>
        <v>0</v>
      </c>
      <c r="AY6" s="504">
        <f>SCHEDULES!$I$93</f>
        <v>0</v>
      </c>
      <c r="AZ6" s="504">
        <f>SCHEDULES!$I$134</f>
        <v>0</v>
      </c>
      <c r="BA6" s="504">
        <f>SCHEDULES!$I$175</f>
        <v>0</v>
      </c>
      <c r="BB6" s="504">
        <f>SCHEDULES!$I$216</f>
        <v>0</v>
      </c>
      <c r="BC6" s="505">
        <f>SCHEDULES!$I$257</f>
        <v>0</v>
      </c>
      <c r="BD6" s="243"/>
    </row>
    <row r="7" spans="2:76" ht="23.25" customHeight="1" x14ac:dyDescent="0.4">
      <c r="B7" s="273">
        <f t="shared" si="3"/>
        <v>0</v>
      </c>
      <c r="C7" s="311">
        <v>0.35416666666666669</v>
      </c>
      <c r="D7" s="274"/>
      <c r="E7" s="186"/>
      <c r="F7" s="187"/>
      <c r="G7" s="187"/>
      <c r="H7" s="187"/>
      <c r="I7" s="187"/>
      <c r="J7" s="543"/>
      <c r="K7" s="188"/>
      <c r="L7" s="275"/>
      <c r="M7" s="311">
        <v>0.35416666666666669</v>
      </c>
      <c r="N7" s="311">
        <v>0.70833333333333337</v>
      </c>
      <c r="O7" s="276">
        <f t="shared" si="4"/>
        <v>0</v>
      </c>
      <c r="P7" s="198">
        <f>IF(($E$7-$E$6)&lt;0,0,$E$7-$E$6)</f>
        <v>0</v>
      </c>
      <c r="Q7" s="199">
        <f>IF(($F$7-$F$6)&lt;0,0,$F$7-$F$6)</f>
        <v>0</v>
      </c>
      <c r="R7" s="199">
        <f>IF(($G$7-$G$6)&lt;0,0,$G$7-$G$6)</f>
        <v>0</v>
      </c>
      <c r="S7" s="199">
        <f>IF(($H$7-$H$6)&lt;0,0,$H$7-$H$6)</f>
        <v>0</v>
      </c>
      <c r="T7" s="199">
        <f>IF(($I$7-$I$6)&lt;0,0,$I$7-$I$6)</f>
        <v>0</v>
      </c>
      <c r="U7" s="199"/>
      <c r="V7" s="200"/>
      <c r="W7" s="546"/>
      <c r="X7" s="547"/>
      <c r="Y7" s="547"/>
      <c r="Z7" s="547"/>
      <c r="AA7" s="547"/>
      <c r="AB7" s="530"/>
      <c r="AC7" s="531"/>
      <c r="AD7" s="217"/>
      <c r="AE7" s="311">
        <v>0.3125</v>
      </c>
      <c r="AF7" s="313">
        <v>0.47916666666666669</v>
      </c>
      <c r="AH7" s="186"/>
      <c r="AI7" s="187"/>
      <c r="AJ7" s="187"/>
      <c r="AK7" s="187"/>
      <c r="AL7" s="213"/>
      <c r="AM7" s="218"/>
      <c r="AN7" s="292"/>
      <c r="AO7" s="519"/>
      <c r="AP7" s="187"/>
      <c r="AQ7" s="187"/>
      <c r="AR7" s="187"/>
      <c r="AS7" s="213"/>
      <c r="AT7" s="218"/>
      <c r="AU7" s="517"/>
      <c r="AW7" s="506">
        <f>SCHEDULES!$I$9</f>
        <v>0</v>
      </c>
      <c r="AX7" s="507">
        <f>SCHEDULES!$I$52</f>
        <v>0</v>
      </c>
      <c r="AY7" s="507">
        <f>SCHEDULES!$I$94</f>
        <v>0</v>
      </c>
      <c r="AZ7" s="507">
        <f>SCHEDULES!$I$135</f>
        <v>0</v>
      </c>
      <c r="BA7" s="507">
        <f>SCHEDULES!$I$176</f>
        <v>0</v>
      </c>
      <c r="BB7" s="507">
        <f>SCHEDULES!$I$217</f>
        <v>0</v>
      </c>
      <c r="BC7" s="303">
        <f>SCHEDULES!$I$258</f>
        <v>0</v>
      </c>
      <c r="BD7" s="243"/>
    </row>
    <row r="8" spans="2:76" ht="23.25" customHeight="1" x14ac:dyDescent="0.4">
      <c r="B8" s="273">
        <f t="shared" si="3"/>
        <v>0</v>
      </c>
      <c r="C8" s="311">
        <v>0.375</v>
      </c>
      <c r="D8" s="274"/>
      <c r="E8" s="186"/>
      <c r="F8" s="187"/>
      <c r="G8" s="187"/>
      <c r="H8" s="187"/>
      <c r="I8" s="187"/>
      <c r="J8" s="187"/>
      <c r="K8" s="188"/>
      <c r="L8" s="275"/>
      <c r="M8" s="311">
        <v>0.375</v>
      </c>
      <c r="N8" s="311">
        <v>0.72916666666666663</v>
      </c>
      <c r="O8" s="276">
        <f t="shared" si="4"/>
        <v>0</v>
      </c>
      <c r="P8" s="198">
        <f>IF(($E$8-$E$7)&lt;0,0,$E$8-$E$7)</f>
        <v>0</v>
      </c>
      <c r="Q8" s="199">
        <f>IF(($F$8-$F$7)&lt;0,0,$F$8-$F$7)</f>
        <v>0</v>
      </c>
      <c r="R8" s="199">
        <f>IF(($G$8-$G$7)&lt;0,0,$G$8-$G$7)</f>
        <v>0</v>
      </c>
      <c r="S8" s="199">
        <f>IF(($H$8-$H$7)&lt;0,0,$H$8-$H$7)</f>
        <v>0</v>
      </c>
      <c r="T8" s="199">
        <f>IF(($I$8-$I$7)&lt;0,0,$I$8-$I$7)</f>
        <v>0</v>
      </c>
      <c r="U8" s="199">
        <f>$J$8</f>
        <v>0</v>
      </c>
      <c r="V8" s="200">
        <f>K8</f>
        <v>0</v>
      </c>
      <c r="W8" s="546"/>
      <c r="X8" s="547"/>
      <c r="Y8" s="547"/>
      <c r="Z8" s="547"/>
      <c r="AA8" s="547"/>
      <c r="AB8" s="184"/>
      <c r="AC8" s="185"/>
      <c r="AD8" s="217"/>
      <c r="AE8" s="311">
        <v>0.33333333333575899</v>
      </c>
      <c r="AF8" s="313">
        <v>0.5</v>
      </c>
      <c r="AH8" s="186"/>
      <c r="AI8" s="187"/>
      <c r="AJ8" s="187"/>
      <c r="AK8" s="187"/>
      <c r="AL8" s="187"/>
      <c r="AM8" s="184"/>
      <c r="AN8" s="521"/>
      <c r="AO8" s="519"/>
      <c r="AP8" s="187"/>
      <c r="AQ8" s="187"/>
      <c r="AR8" s="187"/>
      <c r="AS8" s="187"/>
      <c r="AT8" s="184"/>
      <c r="AU8" s="185"/>
      <c r="AW8" s="506">
        <f>SCHEDULES!$I$10</f>
        <v>0</v>
      </c>
      <c r="AX8" s="507">
        <f>SCHEDULES!$I$53</f>
        <v>0</v>
      </c>
      <c r="AY8" s="507">
        <f>SCHEDULES!$I$95</f>
        <v>0</v>
      </c>
      <c r="AZ8" s="507">
        <f>SCHEDULES!$I$136</f>
        <v>0</v>
      </c>
      <c r="BA8" s="507">
        <f>SCHEDULES!$I$177</f>
        <v>0</v>
      </c>
      <c r="BB8" s="507">
        <f>SCHEDULES!$I$218</f>
        <v>0</v>
      </c>
      <c r="BC8" s="303">
        <f>SCHEDULES!$I$259</f>
        <v>0</v>
      </c>
      <c r="BD8" s="243"/>
    </row>
    <row r="9" spans="2:76" ht="23.25" customHeight="1" x14ac:dyDescent="0.4">
      <c r="B9" s="273">
        <f t="shared" si="3"/>
        <v>0</v>
      </c>
      <c r="C9" s="311">
        <v>0.39583333333333331</v>
      </c>
      <c r="D9" s="274"/>
      <c r="E9" s="186"/>
      <c r="F9" s="187"/>
      <c r="G9" s="187"/>
      <c r="H9" s="187"/>
      <c r="I9" s="187"/>
      <c r="J9" s="187"/>
      <c r="K9" s="188"/>
      <c r="L9" s="275"/>
      <c r="M9" s="311">
        <v>0.39583333333333331</v>
      </c>
      <c r="N9" s="311">
        <v>0.75</v>
      </c>
      <c r="O9" s="276">
        <f t="shared" si="4"/>
        <v>0</v>
      </c>
      <c r="P9" s="198">
        <f>IF(($E$9-$E$8)&lt;0,0,$E$9-$E$8)</f>
        <v>0</v>
      </c>
      <c r="Q9" s="199">
        <f>IF(($F$9-$F$8)&lt;0,0,$F$9-$F$8)</f>
        <v>0</v>
      </c>
      <c r="R9" s="199">
        <f>IF(($G$9-$G$8)&lt;0,0,$G$9-$G$8)</f>
        <v>0</v>
      </c>
      <c r="S9" s="199">
        <f>IF(($H$9-$H$8)&lt;0,0,$H$9-$H$8)</f>
        <v>0</v>
      </c>
      <c r="T9" s="199">
        <f>IF(($I$9-$I$8)&lt;0,0,$I$9-$I$8)</f>
        <v>0</v>
      </c>
      <c r="U9" s="199">
        <f>$J$5-$U$8</f>
        <v>0</v>
      </c>
      <c r="V9" s="200">
        <f>$K$5-$V$8</f>
        <v>0</v>
      </c>
      <c r="W9" s="546"/>
      <c r="X9" s="547"/>
      <c r="Y9" s="547"/>
      <c r="Z9" s="547"/>
      <c r="AA9" s="547"/>
      <c r="AB9" s="205"/>
      <c r="AC9" s="206"/>
      <c r="AD9" s="217"/>
      <c r="AE9" s="311">
        <v>0.35416666667151703</v>
      </c>
      <c r="AF9" s="313">
        <v>0.52083333333333304</v>
      </c>
      <c r="AH9" s="186"/>
      <c r="AI9" s="187"/>
      <c r="AJ9" s="187"/>
      <c r="AK9" s="187"/>
      <c r="AL9" s="187"/>
      <c r="AM9" s="187"/>
      <c r="AN9" s="213"/>
      <c r="AO9" s="519"/>
      <c r="AP9" s="187"/>
      <c r="AQ9" s="187"/>
      <c r="AR9" s="187"/>
      <c r="AS9" s="187"/>
      <c r="AT9" s="187"/>
      <c r="AU9" s="188"/>
      <c r="AW9" s="506">
        <f>SCHEDULES!$I$11</f>
        <v>0</v>
      </c>
      <c r="AX9" s="507">
        <f>SCHEDULES!$I$54</f>
        <v>0</v>
      </c>
      <c r="AY9" s="507">
        <f>SCHEDULES!$I$96</f>
        <v>0</v>
      </c>
      <c r="AZ9" s="507">
        <f>SCHEDULES!$I$137</f>
        <v>0</v>
      </c>
      <c r="BA9" s="507">
        <f>SCHEDULES!$I$178</f>
        <v>0</v>
      </c>
      <c r="BB9" s="507">
        <f>SCHEDULES!$I$219</f>
        <v>0</v>
      </c>
      <c r="BC9" s="303">
        <f>SCHEDULES!$I$260</f>
        <v>0</v>
      </c>
      <c r="BD9" s="243"/>
    </row>
    <row r="10" spans="2:76" ht="23.25" customHeight="1" x14ac:dyDescent="0.4">
      <c r="B10" s="273">
        <f t="shared" si="3"/>
        <v>0</v>
      </c>
      <c r="C10" s="311">
        <v>0.41666666666666669</v>
      </c>
      <c r="D10" s="274"/>
      <c r="E10" s="186"/>
      <c r="F10" s="187"/>
      <c r="G10" s="187"/>
      <c r="H10" s="187"/>
      <c r="I10" s="187"/>
      <c r="J10" s="187"/>
      <c r="K10" s="188"/>
      <c r="L10" s="275"/>
      <c r="M10" s="311">
        <v>0.41666666666666669</v>
      </c>
      <c r="N10" s="311">
        <v>0.77083333333333337</v>
      </c>
      <c r="O10" s="276">
        <f t="shared" si="4"/>
        <v>0</v>
      </c>
      <c r="P10" s="198">
        <f>IF(($E$10-$E$9)&lt;0,0,$E$10-$E$9)</f>
        <v>0</v>
      </c>
      <c r="Q10" s="199">
        <f>IF(($F$10-$F$9)&lt;0,0,$F$10-$F$9)</f>
        <v>0</v>
      </c>
      <c r="R10" s="199">
        <f>IF(($G$10-$G$9)&lt;0,0,$G$10-$G$9)</f>
        <v>0</v>
      </c>
      <c r="S10" s="199">
        <f>IF(($H$10-$H$9)&lt;0,0,$H$10-$H$9)</f>
        <v>0</v>
      </c>
      <c r="T10" s="199">
        <f>IF(($I$10-$I$9)&lt;0,0,$I$10-$I$9)</f>
        <v>0</v>
      </c>
      <c r="U10" s="199"/>
      <c r="V10" s="200"/>
      <c r="W10" s="546"/>
      <c r="X10" s="547"/>
      <c r="Y10" s="547"/>
      <c r="Z10" s="547"/>
      <c r="AA10" s="547"/>
      <c r="AB10" s="492"/>
      <c r="AC10" s="493"/>
      <c r="AD10" s="217"/>
      <c r="AE10" s="311">
        <v>0.37500000000727601</v>
      </c>
      <c r="AF10" s="313">
        <v>0.54166666666666696</v>
      </c>
      <c r="AH10" s="186"/>
      <c r="AI10" s="187"/>
      <c r="AJ10" s="187"/>
      <c r="AK10" s="187"/>
      <c r="AL10" s="187"/>
      <c r="AM10" s="187"/>
      <c r="AN10" s="213"/>
      <c r="AO10" s="519"/>
      <c r="AP10" s="187"/>
      <c r="AQ10" s="187"/>
      <c r="AR10" s="187"/>
      <c r="AS10" s="187"/>
      <c r="AT10" s="187"/>
      <c r="AU10" s="188"/>
      <c r="AW10" s="506">
        <f>SCHEDULES!$I$12</f>
        <v>0</v>
      </c>
      <c r="AX10" s="507">
        <f>SCHEDULES!$I$55</f>
        <v>0</v>
      </c>
      <c r="AY10" s="507">
        <f>SCHEDULES!$I$97</f>
        <v>0</v>
      </c>
      <c r="AZ10" s="507">
        <f>SCHEDULES!$I$138</f>
        <v>0</v>
      </c>
      <c r="BA10" s="507">
        <f>SCHEDULES!$I$179</f>
        <v>0</v>
      </c>
      <c r="BB10" s="507">
        <f>SCHEDULES!$I$220</f>
        <v>0</v>
      </c>
      <c r="BC10" s="303">
        <f>SCHEDULES!$I$261</f>
        <v>0</v>
      </c>
      <c r="BD10" s="243"/>
    </row>
    <row r="11" spans="2:76" ht="23.25" customHeight="1" x14ac:dyDescent="0.4">
      <c r="B11" s="273">
        <f t="shared" si="3"/>
        <v>0</v>
      </c>
      <c r="C11" s="311">
        <v>0.4375</v>
      </c>
      <c r="D11" s="274"/>
      <c r="E11" s="186"/>
      <c r="F11" s="187"/>
      <c r="G11" s="187"/>
      <c r="H11" s="187"/>
      <c r="I11" s="187"/>
      <c r="J11" s="187"/>
      <c r="K11" s="188"/>
      <c r="L11" s="275"/>
      <c r="M11" s="311">
        <v>0.4375</v>
      </c>
      <c r="N11" s="311">
        <v>0.79166666666666663</v>
      </c>
      <c r="O11" s="276">
        <f t="shared" si="4"/>
        <v>0</v>
      </c>
      <c r="P11" s="198">
        <f>IF(($E$11-$E$10)&lt;0,0,$E$11-$E$10)</f>
        <v>0</v>
      </c>
      <c r="Q11" s="199"/>
      <c r="R11" s="199">
        <f>IF(($G$11-$G$10)&lt;0,0,$G$11-$G$10)</f>
        <v>0</v>
      </c>
      <c r="S11" s="199">
        <f>IF(($H$11-$H$10)&lt;0,0,$H$11-$H$10)</f>
        <v>0</v>
      </c>
      <c r="T11" s="199">
        <f>IF(($I$11-$I$10)&lt;0,0,$I$11-$I$10)</f>
        <v>0</v>
      </c>
      <c r="U11" s="199"/>
      <c r="V11" s="200"/>
      <c r="W11" s="546"/>
      <c r="X11" s="547"/>
      <c r="Y11" s="547"/>
      <c r="Z11" s="547"/>
      <c r="AA11" s="547"/>
      <c r="AB11" s="492"/>
      <c r="AC11" s="493"/>
      <c r="AD11" s="217"/>
      <c r="AE11" s="311">
        <v>0.395833333343034</v>
      </c>
      <c r="AF11" s="313">
        <v>0.5625</v>
      </c>
      <c r="AH11" s="186"/>
      <c r="AI11" s="187"/>
      <c r="AJ11" s="187"/>
      <c r="AK11" s="187"/>
      <c r="AL11" s="187"/>
      <c r="AM11" s="187"/>
      <c r="AN11" s="213"/>
      <c r="AO11" s="519"/>
      <c r="AP11" s="187"/>
      <c r="AQ11" s="187"/>
      <c r="AR11" s="187"/>
      <c r="AS11" s="187"/>
      <c r="AT11" s="187"/>
      <c r="AU11" s="188"/>
      <c r="AW11" s="506">
        <f>SCHEDULES!$I$13</f>
        <v>0</v>
      </c>
      <c r="AX11" s="507">
        <f>SCHEDULES!$I$56</f>
        <v>0</v>
      </c>
      <c r="AY11" s="507">
        <f>SCHEDULES!$I$98</f>
        <v>0</v>
      </c>
      <c r="AZ11" s="507">
        <f>SCHEDULES!$I$139</f>
        <v>0</v>
      </c>
      <c r="BA11" s="507">
        <f>SCHEDULES!$I$180</f>
        <v>0</v>
      </c>
      <c r="BB11" s="507">
        <f>SCHEDULES!$I$221</f>
        <v>0</v>
      </c>
      <c r="BC11" s="303">
        <f>SCHEDULES!$I$262</f>
        <v>0</v>
      </c>
      <c r="BD11" s="243"/>
    </row>
    <row r="12" spans="2:76" ht="23.25" customHeight="1" x14ac:dyDescent="0.4">
      <c r="B12" s="273">
        <f t="shared" si="3"/>
        <v>0</v>
      </c>
      <c r="C12" s="311">
        <v>0.45833333333333331</v>
      </c>
      <c r="D12" s="274"/>
      <c r="E12" s="186"/>
      <c r="F12" s="187"/>
      <c r="G12" s="187"/>
      <c r="H12" s="187"/>
      <c r="I12" s="187"/>
      <c r="J12" s="187"/>
      <c r="K12" s="188"/>
      <c r="L12" s="275"/>
      <c r="M12" s="311">
        <v>0.45833333333333331</v>
      </c>
      <c r="N12" s="311">
        <v>0.8125</v>
      </c>
      <c r="O12" s="276">
        <f t="shared" si="4"/>
        <v>0</v>
      </c>
      <c r="P12" s="198">
        <f>IF(($E$12-$E$11)&lt;0,0,$E$12-$E$11)</f>
        <v>0</v>
      </c>
      <c r="Q12" s="199">
        <f>IF(($F$12-$F$11)&lt;0,0,$F$12-$F$11)</f>
        <v>0</v>
      </c>
      <c r="R12" s="199">
        <f>IF(($G$12-$G$11)&lt;0,0,$G$12-$G$11)</f>
        <v>0</v>
      </c>
      <c r="S12" s="199">
        <f>IF(($H$12-$H$11)&lt;0,0,$H$12-$H$11)</f>
        <v>0</v>
      </c>
      <c r="T12" s="199">
        <f>IF(($I$12-$I$11)&lt;0,0,$I$12-$I$11)</f>
        <v>0</v>
      </c>
      <c r="U12" s="199"/>
      <c r="V12" s="200"/>
      <c r="W12" s="546"/>
      <c r="X12" s="547"/>
      <c r="Y12" s="547"/>
      <c r="Z12" s="547"/>
      <c r="AA12" s="547"/>
      <c r="AB12" s="492"/>
      <c r="AC12" s="493"/>
      <c r="AD12" s="217"/>
      <c r="AE12" s="311">
        <v>0.41666666667879299</v>
      </c>
      <c r="AF12" s="313">
        <v>0.58333333333333304</v>
      </c>
      <c r="AH12" s="186"/>
      <c r="AI12" s="187"/>
      <c r="AJ12" s="187"/>
      <c r="AK12" s="187"/>
      <c r="AL12" s="187"/>
      <c r="AM12" s="187"/>
      <c r="AN12" s="213"/>
      <c r="AO12" s="519"/>
      <c r="AP12" s="187"/>
      <c r="AQ12" s="187"/>
      <c r="AR12" s="187"/>
      <c r="AS12" s="187"/>
      <c r="AT12" s="187"/>
      <c r="AU12" s="188"/>
      <c r="AW12" s="506">
        <f>SCHEDULES!$I$14</f>
        <v>0</v>
      </c>
      <c r="AX12" s="507">
        <f>SCHEDULES!$I$57</f>
        <v>0</v>
      </c>
      <c r="AY12" s="507">
        <f>SCHEDULES!$I$99</f>
        <v>0</v>
      </c>
      <c r="AZ12" s="507">
        <f>SCHEDULES!$I$140</f>
        <v>0</v>
      </c>
      <c r="BA12" s="507">
        <f>SCHEDULES!$I$181</f>
        <v>0</v>
      </c>
      <c r="BB12" s="507">
        <f>SCHEDULES!$I$222</f>
        <v>0</v>
      </c>
      <c r="BC12" s="303">
        <f>SCHEDULES!$I$263</f>
        <v>0</v>
      </c>
      <c r="BD12" s="243"/>
    </row>
    <row r="13" spans="2:76" ht="23.25" customHeight="1" x14ac:dyDescent="0.4">
      <c r="B13" s="273">
        <f t="shared" si="3"/>
        <v>0</v>
      </c>
      <c r="C13" s="311">
        <v>0.47916666666666669</v>
      </c>
      <c r="D13" s="274"/>
      <c r="E13" s="186"/>
      <c r="F13" s="187"/>
      <c r="G13" s="187"/>
      <c r="H13" s="187"/>
      <c r="I13" s="187"/>
      <c r="J13" s="187"/>
      <c r="K13" s="188"/>
      <c r="L13" s="275"/>
      <c r="M13" s="311">
        <v>0.47916666666666669</v>
      </c>
      <c r="N13" s="311">
        <v>0.83333333333333337</v>
      </c>
      <c r="O13" s="276">
        <f t="shared" ref="O13:O19" si="5">MAX(E62:K62)</f>
        <v>0</v>
      </c>
      <c r="P13" s="198">
        <f>IF($E$29-$E$30&lt;0,0,$E$29-$E$30)</f>
        <v>0</v>
      </c>
      <c r="Q13" s="199">
        <f>IF($F$29-$F$30&lt;0,0,$F$29-$F$30)</f>
        <v>0</v>
      </c>
      <c r="R13" s="199">
        <f>IF($G$29-$G$30&lt;0,0,$G$29-$G$30)</f>
        <v>0</v>
      </c>
      <c r="S13" s="199">
        <f>IF($H$29-$H$30&lt;0,0,$H$29-$H$30)</f>
        <v>0</v>
      </c>
      <c r="T13" s="199">
        <f>IF($I$29-$I$30&lt;0,0,$I$29-$I$30)</f>
        <v>0</v>
      </c>
      <c r="U13" s="199"/>
      <c r="V13" s="200"/>
      <c r="W13" s="546"/>
      <c r="X13" s="547"/>
      <c r="Y13" s="547"/>
      <c r="Z13" s="547"/>
      <c r="AA13" s="547"/>
      <c r="AB13" s="492"/>
      <c r="AC13" s="493"/>
      <c r="AD13" s="217"/>
      <c r="AE13" s="311">
        <v>0.43750000001455203</v>
      </c>
      <c r="AF13" s="313">
        <v>0.60416666666666696</v>
      </c>
      <c r="AH13" s="186"/>
      <c r="AI13" s="187"/>
      <c r="AJ13" s="187"/>
      <c r="AK13" s="187"/>
      <c r="AL13" s="187"/>
      <c r="AM13" s="187"/>
      <c r="AN13" s="213"/>
      <c r="AO13" s="519"/>
      <c r="AP13" s="187"/>
      <c r="AQ13" s="187"/>
      <c r="AR13" s="187"/>
      <c r="AS13" s="187"/>
      <c r="AT13" s="187"/>
      <c r="AU13" s="188"/>
      <c r="AW13" s="506">
        <f>SCHEDULES!$I$15</f>
        <v>0</v>
      </c>
      <c r="AX13" s="507">
        <f>SCHEDULES!$I$58</f>
        <v>0</v>
      </c>
      <c r="AY13" s="507">
        <f>SCHEDULES!$I$100</f>
        <v>0</v>
      </c>
      <c r="AZ13" s="507">
        <f>SCHEDULES!$I$141</f>
        <v>0</v>
      </c>
      <c r="BA13" s="507">
        <f>SCHEDULES!$I$182</f>
        <v>0</v>
      </c>
      <c r="BB13" s="507">
        <f>SCHEDULES!$I$223</f>
        <v>0</v>
      </c>
      <c r="BC13" s="303">
        <f>SCHEDULES!$I$264</f>
        <v>0</v>
      </c>
      <c r="BD13" s="243"/>
    </row>
    <row r="14" spans="2:76" ht="23.25" customHeight="1" x14ac:dyDescent="0.4">
      <c r="B14" s="273">
        <f t="shared" si="3"/>
        <v>0</v>
      </c>
      <c r="C14" s="311">
        <v>0.5</v>
      </c>
      <c r="D14" s="274"/>
      <c r="E14" s="186"/>
      <c r="F14" s="187"/>
      <c r="G14" s="187"/>
      <c r="H14" s="187"/>
      <c r="I14" s="187"/>
      <c r="J14" s="187"/>
      <c r="K14" s="188"/>
      <c r="L14" s="275"/>
      <c r="M14" s="311">
        <v>0.5</v>
      </c>
      <c r="N14" s="311">
        <v>0.85416666666666663</v>
      </c>
      <c r="O14" s="276">
        <f t="shared" si="5"/>
        <v>0</v>
      </c>
      <c r="P14" s="198"/>
      <c r="Q14" s="199">
        <f>IF($F$30-$F$31&lt;0,0,$F$30-$F$31)</f>
        <v>0</v>
      </c>
      <c r="R14" s="199">
        <f>IF($G$30-$G$31&lt;0,0,$G$30-$G$31)</f>
        <v>0</v>
      </c>
      <c r="S14" s="199">
        <f>IF($H$30-$H$31&lt;0,0,$H$30-$H$31)</f>
        <v>0</v>
      </c>
      <c r="T14" s="199"/>
      <c r="U14" s="199"/>
      <c r="V14" s="200"/>
      <c r="W14" s="546"/>
      <c r="X14" s="547"/>
      <c r="Y14" s="547"/>
      <c r="Z14" s="547"/>
      <c r="AA14" s="547"/>
      <c r="AB14" s="492"/>
      <c r="AC14" s="493"/>
      <c r="AD14" s="217"/>
      <c r="AE14" s="311">
        <v>0.45833333335031001</v>
      </c>
      <c r="AF14" s="313">
        <v>0.625</v>
      </c>
      <c r="AH14" s="186"/>
      <c r="AI14" s="187"/>
      <c r="AJ14" s="187"/>
      <c r="AK14" s="187"/>
      <c r="AL14" s="187"/>
      <c r="AM14" s="187"/>
      <c r="AN14" s="213"/>
      <c r="AO14" s="519"/>
      <c r="AP14" s="187"/>
      <c r="AQ14" s="187"/>
      <c r="AR14" s="187"/>
      <c r="AS14" s="187"/>
      <c r="AT14" s="205"/>
      <c r="AU14" s="206"/>
      <c r="AW14" s="506">
        <f>SCHEDULES!$I$16</f>
        <v>0</v>
      </c>
      <c r="AX14" s="507">
        <f>SCHEDULES!$I$59</f>
        <v>0</v>
      </c>
      <c r="AY14" s="507">
        <f>SCHEDULES!$I$101</f>
        <v>0</v>
      </c>
      <c r="AZ14" s="507">
        <f>SCHEDULES!$I$142</f>
        <v>0</v>
      </c>
      <c r="BA14" s="507">
        <f>SCHEDULES!$I$183</f>
        <v>0</v>
      </c>
      <c r="BB14" s="507">
        <f>SCHEDULES!$I$224</f>
        <v>0</v>
      </c>
      <c r="BC14" s="303">
        <f>SCHEDULES!$I$265</f>
        <v>0</v>
      </c>
      <c r="BD14" s="243"/>
    </row>
    <row r="15" spans="2:76" ht="23.25" customHeight="1" x14ac:dyDescent="0.4">
      <c r="B15" s="273">
        <f t="shared" si="3"/>
        <v>0</v>
      </c>
      <c r="C15" s="311">
        <v>0.52083333333333337</v>
      </c>
      <c r="D15" s="274"/>
      <c r="E15" s="186"/>
      <c r="F15" s="187"/>
      <c r="G15" s="187"/>
      <c r="H15" s="187"/>
      <c r="I15" s="187"/>
      <c r="J15" s="187"/>
      <c r="K15" s="188"/>
      <c r="L15" s="275"/>
      <c r="M15" s="311">
        <v>0.52083333333333337</v>
      </c>
      <c r="N15" s="311">
        <v>0.875</v>
      </c>
      <c r="O15" s="276">
        <f t="shared" si="5"/>
        <v>0</v>
      </c>
      <c r="P15" s="198"/>
      <c r="Q15" s="199">
        <f>IF($F$31-$F$32&lt;0,0,$F$31-$F$32)</f>
        <v>0</v>
      </c>
      <c r="R15" s="199">
        <f>IF($G$31-$G$32&lt;0,0,$G$31-$G$32)</f>
        <v>0</v>
      </c>
      <c r="S15" s="199">
        <f>IF($H$31-$H$32&lt;0,0,$H$31-$H$32)</f>
        <v>0</v>
      </c>
      <c r="T15" s="199"/>
      <c r="U15" s="199"/>
      <c r="V15" s="200"/>
      <c r="W15" s="546"/>
      <c r="X15" s="547"/>
      <c r="Y15" s="547"/>
      <c r="Z15" s="547"/>
      <c r="AA15" s="547"/>
      <c r="AB15" s="492"/>
      <c r="AC15" s="493"/>
      <c r="AD15" s="217"/>
      <c r="AE15" s="311">
        <v>0.479166666686069</v>
      </c>
      <c r="AF15" s="313">
        <v>0.64583333333333304</v>
      </c>
      <c r="AH15" s="186"/>
      <c r="AI15" s="187"/>
      <c r="AJ15" s="187"/>
      <c r="AK15" s="187"/>
      <c r="AL15" s="187"/>
      <c r="AM15" s="187"/>
      <c r="AN15" s="213"/>
      <c r="AO15" s="519"/>
      <c r="AP15" s="187"/>
      <c r="AQ15" s="187"/>
      <c r="AR15" s="187"/>
      <c r="AS15" s="213"/>
      <c r="AU15" s="190"/>
      <c r="AW15" s="506">
        <f>SCHEDULES!$I$17</f>
        <v>0</v>
      </c>
      <c r="AX15" s="507">
        <f>SCHEDULES!$I$60</f>
        <v>0</v>
      </c>
      <c r="AY15" s="507">
        <f>SCHEDULES!$I$102</f>
        <v>0</v>
      </c>
      <c r="AZ15" s="507">
        <f>SCHEDULES!$I$143</f>
        <v>0</v>
      </c>
      <c r="BA15" s="507">
        <f>SCHEDULES!$I$184</f>
        <v>0</v>
      </c>
      <c r="BB15" s="507">
        <f>SCHEDULES!$I$225</f>
        <v>0</v>
      </c>
      <c r="BC15" s="303">
        <f>SCHEDULES!$I$266</f>
        <v>0</v>
      </c>
      <c r="BD15" s="243"/>
    </row>
    <row r="16" spans="2:76" ht="23.25" customHeight="1" x14ac:dyDescent="0.4">
      <c r="B16" s="273">
        <f t="shared" si="3"/>
        <v>0</v>
      </c>
      <c r="C16" s="311">
        <v>0.54166666666666663</v>
      </c>
      <c r="D16" s="274"/>
      <c r="E16" s="186"/>
      <c r="F16" s="187"/>
      <c r="G16" s="187"/>
      <c r="H16" s="187"/>
      <c r="I16" s="187"/>
      <c r="J16" s="187"/>
      <c r="K16" s="188"/>
      <c r="L16" s="275"/>
      <c r="M16" s="311">
        <v>0.54166666666666663</v>
      </c>
      <c r="N16" s="311">
        <v>0.89583333333333337</v>
      </c>
      <c r="O16" s="276">
        <f t="shared" si="5"/>
        <v>0</v>
      </c>
      <c r="P16" s="198">
        <f>IF($E$32-$E$33&lt;0,0,$E$32-$E$33)</f>
        <v>0</v>
      </c>
      <c r="Q16" s="199">
        <f>IF($F$32-$F$33&lt;0,0,$F$32-$F$33)</f>
        <v>0</v>
      </c>
      <c r="R16" s="199">
        <f>IF($G$32-$G$33&lt;0,0,$G$32-$G$33)</f>
        <v>0</v>
      </c>
      <c r="S16" s="199">
        <f>IF($H$32-$H$33&lt;0,0,$H$32-$H$33)</f>
        <v>0</v>
      </c>
      <c r="T16" s="199">
        <f>IF($I$32-$I$33&lt;0,0,$I$32-$I$33)</f>
        <v>0</v>
      </c>
      <c r="U16" s="199"/>
      <c r="V16" s="200"/>
      <c r="W16" s="546"/>
      <c r="X16" s="547"/>
      <c r="Y16" s="547"/>
      <c r="Z16" s="547"/>
      <c r="AA16" s="547"/>
      <c r="AB16" s="492"/>
      <c r="AC16" s="493"/>
      <c r="AD16" s="217"/>
      <c r="AE16" s="311">
        <v>0.50000000002182798</v>
      </c>
      <c r="AF16" s="313">
        <v>0.66666666666666696</v>
      </c>
      <c r="AH16" s="186"/>
      <c r="AI16" s="187"/>
      <c r="AJ16" s="187"/>
      <c r="AK16" s="187"/>
      <c r="AL16" s="187"/>
      <c r="AM16" s="187"/>
      <c r="AN16" s="213"/>
      <c r="AO16" s="519"/>
      <c r="AP16" s="187"/>
      <c r="AQ16" s="187"/>
      <c r="AR16" s="187"/>
      <c r="AS16" s="213"/>
      <c r="AU16" s="190"/>
      <c r="AW16" s="506">
        <f>SCHEDULES!$I$18</f>
        <v>0</v>
      </c>
      <c r="AX16" s="507">
        <f>SCHEDULES!$I$61</f>
        <v>0</v>
      </c>
      <c r="AY16" s="507">
        <f>SCHEDULES!$I$103</f>
        <v>0</v>
      </c>
      <c r="AZ16" s="507">
        <f>SCHEDULES!$I$144</f>
        <v>0</v>
      </c>
      <c r="BA16" s="507">
        <f>SCHEDULES!$I$185</f>
        <v>0</v>
      </c>
      <c r="BB16" s="507">
        <f>SCHEDULES!$I$226</f>
        <v>0</v>
      </c>
      <c r="BC16" s="303">
        <f>SCHEDULES!$I$267</f>
        <v>0</v>
      </c>
      <c r="BD16" s="243"/>
    </row>
    <row r="17" spans="2:56" ht="23.25" customHeight="1" x14ac:dyDescent="0.4">
      <c r="B17" s="273">
        <f t="shared" si="3"/>
        <v>0</v>
      </c>
      <c r="C17" s="311">
        <v>0.5625</v>
      </c>
      <c r="D17" s="274"/>
      <c r="E17" s="186"/>
      <c r="F17" s="187"/>
      <c r="G17" s="187"/>
      <c r="H17" s="187"/>
      <c r="I17" s="187"/>
      <c r="J17" s="187"/>
      <c r="K17" s="188"/>
      <c r="L17" s="275"/>
      <c r="M17" s="311">
        <v>0.5625</v>
      </c>
      <c r="N17" s="311">
        <v>0.91666666666666663</v>
      </c>
      <c r="O17" s="276">
        <f t="shared" si="5"/>
        <v>0</v>
      </c>
      <c r="P17" s="198"/>
      <c r="Q17" s="199">
        <f>IF($F$33-$F$34&lt;0,0,$F$33-$F$34)</f>
        <v>0</v>
      </c>
      <c r="R17" s="199">
        <f>IF($G$33-$G$34&lt;0,0,$G$33-$G$34)</f>
        <v>0</v>
      </c>
      <c r="S17" s="199">
        <f>IF($H$33-$H$34&lt;0,0,$H$33-$H$34)</f>
        <v>0</v>
      </c>
      <c r="T17" s="199">
        <f>IF($I$33-$I$34&lt;0,0,$I$33-$I$34)</f>
        <v>0</v>
      </c>
      <c r="U17" s="199"/>
      <c r="V17" s="200"/>
      <c r="W17" s="546"/>
      <c r="X17" s="547"/>
      <c r="Y17" s="547"/>
      <c r="Z17" s="547"/>
      <c r="AA17" s="547"/>
      <c r="AB17" s="492"/>
      <c r="AC17" s="493"/>
      <c r="AD17" s="217"/>
      <c r="AE17" s="311">
        <v>0.52083333335758597</v>
      </c>
      <c r="AF17" s="313">
        <v>0.6875</v>
      </c>
      <c r="AH17" s="186"/>
      <c r="AI17" s="187"/>
      <c r="AJ17" s="187"/>
      <c r="AK17" s="187"/>
      <c r="AL17" s="187"/>
      <c r="AM17" s="187"/>
      <c r="AN17" s="213"/>
      <c r="AO17" s="519"/>
      <c r="AP17" s="187"/>
      <c r="AQ17" s="187"/>
      <c r="AR17" s="187"/>
      <c r="AS17" s="213"/>
      <c r="AU17" s="190"/>
      <c r="AW17" s="506">
        <f>SCHEDULES!$I$19</f>
        <v>0</v>
      </c>
      <c r="AX17" s="507">
        <f>SCHEDULES!$I$62</f>
        <v>0</v>
      </c>
      <c r="AY17" s="507">
        <f>SCHEDULES!$I$104</f>
        <v>0</v>
      </c>
      <c r="AZ17" s="507">
        <f>SCHEDULES!$I$145</f>
        <v>0</v>
      </c>
      <c r="BA17" s="507">
        <f>SCHEDULES!$I$186</f>
        <v>0</v>
      </c>
      <c r="BB17" s="507">
        <f>SCHEDULES!$I$227</f>
        <v>0</v>
      </c>
      <c r="BC17" s="303">
        <f>SCHEDULES!$I$268</f>
        <v>0</v>
      </c>
      <c r="BD17" s="243"/>
    </row>
    <row r="18" spans="2:56" ht="23.25" customHeight="1" x14ac:dyDescent="0.4">
      <c r="B18" s="273">
        <f t="shared" si="3"/>
        <v>0</v>
      </c>
      <c r="C18" s="311">
        <v>0.58333333333333337</v>
      </c>
      <c r="D18" s="274"/>
      <c r="E18" s="186"/>
      <c r="F18" s="187"/>
      <c r="G18" s="187"/>
      <c r="H18" s="187"/>
      <c r="I18" s="187"/>
      <c r="J18" s="187"/>
      <c r="K18" s="188"/>
      <c r="L18" s="275"/>
      <c r="M18" s="311">
        <v>0.58333333333333337</v>
      </c>
      <c r="N18" s="311">
        <v>0.9375</v>
      </c>
      <c r="O18" s="276">
        <f t="shared" si="5"/>
        <v>0</v>
      </c>
      <c r="P18" s="198"/>
      <c r="Q18" s="199"/>
      <c r="R18" s="199">
        <f>IF($G$34-$G$35&lt;0,0,$G$34-$G$35)</f>
        <v>0</v>
      </c>
      <c r="S18" s="199"/>
      <c r="T18" s="199"/>
      <c r="U18" s="199"/>
      <c r="V18" s="200"/>
      <c r="W18" s="546"/>
      <c r="X18" s="547"/>
      <c r="Y18" s="547"/>
      <c r="Z18" s="547"/>
      <c r="AA18" s="547"/>
      <c r="AB18" s="492"/>
      <c r="AC18" s="493"/>
      <c r="AD18" s="217"/>
      <c r="AE18" s="311">
        <v>0.54166666669334496</v>
      </c>
      <c r="AF18" s="313">
        <v>0.70833333333333304</v>
      </c>
      <c r="AH18" s="186"/>
      <c r="AI18" s="187"/>
      <c r="AJ18" s="187"/>
      <c r="AK18" s="187"/>
      <c r="AL18" s="187"/>
      <c r="AM18" s="205"/>
      <c r="AN18" s="214"/>
      <c r="AO18" s="519"/>
      <c r="AP18" s="187"/>
      <c r="AQ18" s="187"/>
      <c r="AR18" s="187"/>
      <c r="AS18" s="213"/>
      <c r="AU18" s="190"/>
      <c r="AW18" s="506">
        <f>SCHEDULES!$I$20</f>
        <v>0</v>
      </c>
      <c r="AX18" s="507">
        <f>SCHEDULES!$I$63</f>
        <v>0</v>
      </c>
      <c r="AY18" s="507">
        <f>SCHEDULES!$I$105</f>
        <v>0</v>
      </c>
      <c r="AZ18" s="507">
        <f>SCHEDULES!$I$146</f>
        <v>0</v>
      </c>
      <c r="BA18" s="507">
        <f>SCHEDULES!$I$187</f>
        <v>0</v>
      </c>
      <c r="BB18" s="507">
        <f>SCHEDULES!$I$228</f>
        <v>0</v>
      </c>
      <c r="BC18" s="303">
        <f>SCHEDULES!$I$269</f>
        <v>0</v>
      </c>
      <c r="BD18" s="243"/>
    </row>
    <row r="19" spans="2:56" ht="23.25" customHeight="1" thickBot="1" x14ac:dyDescent="0.45">
      <c r="B19" s="273">
        <f t="shared" si="3"/>
        <v>0</v>
      </c>
      <c r="C19" s="311">
        <v>0.60416666666666663</v>
      </c>
      <c r="D19" s="274"/>
      <c r="E19" s="186"/>
      <c r="F19" s="187"/>
      <c r="G19" s="187"/>
      <c r="H19" s="187"/>
      <c r="I19" s="187"/>
      <c r="J19" s="187"/>
      <c r="K19" s="188"/>
      <c r="L19" s="275"/>
      <c r="M19" s="311">
        <v>0.60416666666666663</v>
      </c>
      <c r="N19" s="313">
        <v>0.95833333333333337</v>
      </c>
      <c r="O19" s="276">
        <f t="shared" si="5"/>
        <v>0</v>
      </c>
      <c r="P19" s="201">
        <f>IF($E$35&lt;0,0,$E$35)</f>
        <v>0</v>
      </c>
      <c r="Q19" s="202">
        <f>IF($F$35&lt;0,0,$F$35)</f>
        <v>0</v>
      </c>
      <c r="R19" s="202">
        <f>IF($G$35&lt;0,0,$G$35)</f>
        <v>0</v>
      </c>
      <c r="S19" s="202">
        <f>IF($H$35&lt;0,0,$H$35)</f>
        <v>0</v>
      </c>
      <c r="T19" s="202">
        <f>IF($I$35&lt;0,0,$I$35)</f>
        <v>0</v>
      </c>
      <c r="U19" s="202"/>
      <c r="V19" s="203"/>
      <c r="W19" s="548"/>
      <c r="X19" s="549"/>
      <c r="Y19" s="549"/>
      <c r="Z19" s="549"/>
      <c r="AA19" s="549"/>
      <c r="AB19" s="492"/>
      <c r="AC19" s="493"/>
      <c r="AD19" s="217"/>
      <c r="AE19" s="311">
        <v>0.56250000002910305</v>
      </c>
      <c r="AF19" s="313">
        <v>0.72916666666666696</v>
      </c>
      <c r="AH19" s="186"/>
      <c r="AI19" s="187"/>
      <c r="AJ19" s="187"/>
      <c r="AK19" s="187"/>
      <c r="AL19" s="213"/>
      <c r="AN19" s="243"/>
      <c r="AO19" s="519"/>
      <c r="AP19" s="187"/>
      <c r="AQ19" s="187"/>
      <c r="AR19" s="187"/>
      <c r="AS19" s="213"/>
      <c r="AU19" s="190"/>
      <c r="AW19" s="506">
        <f>SCHEDULES!$I$21</f>
        <v>0</v>
      </c>
      <c r="AX19" s="507">
        <f>SCHEDULES!$I$64</f>
        <v>0</v>
      </c>
      <c r="AY19" s="507">
        <f>SCHEDULES!$I$106</f>
        <v>0</v>
      </c>
      <c r="AZ19" s="507">
        <f>SCHEDULES!$I$147</f>
        <v>0</v>
      </c>
      <c r="BA19" s="507">
        <f>SCHEDULES!$I$188</f>
        <v>0</v>
      </c>
      <c r="BB19" s="507">
        <f>SCHEDULES!$I$229</f>
        <v>0</v>
      </c>
      <c r="BC19" s="303">
        <f>SCHEDULES!$I$270</f>
        <v>0</v>
      </c>
      <c r="BD19" s="243"/>
    </row>
    <row r="20" spans="2:56" ht="23.25" customHeight="1" x14ac:dyDescent="0.4">
      <c r="B20" s="273">
        <f t="shared" si="3"/>
        <v>0</v>
      </c>
      <c r="C20" s="311">
        <v>0.625</v>
      </c>
      <c r="D20" s="274"/>
      <c r="E20" s="186"/>
      <c r="F20" s="187"/>
      <c r="G20" s="187"/>
      <c r="H20" s="187"/>
      <c r="I20" s="187"/>
      <c r="J20" s="187"/>
      <c r="K20" s="188"/>
      <c r="L20" s="275"/>
      <c r="M20" s="269"/>
      <c r="N20" s="270"/>
      <c r="O20" s="270"/>
      <c r="P20" s="207">
        <f t="shared" ref="P20:V20" si="6">SUM(P6:P19)</f>
        <v>0</v>
      </c>
      <c r="Q20" s="207">
        <f t="shared" si="6"/>
        <v>0</v>
      </c>
      <c r="R20" s="207">
        <f t="shared" si="6"/>
        <v>0</v>
      </c>
      <c r="S20" s="207">
        <f t="shared" si="6"/>
        <v>0</v>
      </c>
      <c r="T20" s="207">
        <f t="shared" si="6"/>
        <v>0</v>
      </c>
      <c r="U20" s="207">
        <f t="shared" si="6"/>
        <v>0</v>
      </c>
      <c r="V20" s="207">
        <f t="shared" si="6"/>
        <v>0</v>
      </c>
      <c r="W20" s="207">
        <f t="shared" ref="W20:AC20" si="7">SUM(W6:W19)</f>
        <v>0</v>
      </c>
      <c r="X20" s="207">
        <f t="shared" si="7"/>
        <v>0</v>
      </c>
      <c r="Y20" s="207">
        <f t="shared" si="7"/>
        <v>0</v>
      </c>
      <c r="Z20" s="207">
        <f t="shared" si="7"/>
        <v>0</v>
      </c>
      <c r="AA20" s="207">
        <f t="shared" si="7"/>
        <v>0</v>
      </c>
      <c r="AB20" s="207">
        <f>SUM(AB6:AB19)</f>
        <v>0</v>
      </c>
      <c r="AC20" s="475">
        <f t="shared" si="7"/>
        <v>0</v>
      </c>
      <c r="AD20" s="217"/>
      <c r="AE20" s="311">
        <v>0.58333333336486204</v>
      </c>
      <c r="AF20" s="313">
        <v>0.75</v>
      </c>
      <c r="AH20" s="186"/>
      <c r="AI20" s="187"/>
      <c r="AJ20" s="187"/>
      <c r="AK20" s="187"/>
      <c r="AL20" s="213"/>
      <c r="AN20" s="243"/>
      <c r="AO20" s="519"/>
      <c r="AP20" s="187"/>
      <c r="AQ20" s="187"/>
      <c r="AR20" s="187"/>
      <c r="AS20" s="213"/>
      <c r="AU20" s="190"/>
      <c r="AW20" s="506">
        <f>SCHEDULES!$I$22</f>
        <v>0</v>
      </c>
      <c r="AX20" s="507">
        <f>SCHEDULES!$I$65</f>
        <v>0</v>
      </c>
      <c r="AY20" s="507">
        <f>SCHEDULES!$I$107</f>
        <v>0</v>
      </c>
      <c r="AZ20" s="507">
        <f>SCHEDULES!$I$148</f>
        <v>0</v>
      </c>
      <c r="BA20" s="507">
        <f>SCHEDULES!$I$189</f>
        <v>0</v>
      </c>
      <c r="BB20" s="507">
        <f>SCHEDULES!$I$230</f>
        <v>0</v>
      </c>
      <c r="BC20" s="303">
        <f>SCHEDULES!$I$271</f>
        <v>0</v>
      </c>
      <c r="BD20" s="243"/>
    </row>
    <row r="21" spans="2:56" ht="23.25" customHeight="1" x14ac:dyDescent="0.4">
      <c r="B21" s="273">
        <f t="shared" si="3"/>
        <v>0</v>
      </c>
      <c r="C21" s="311">
        <v>0.64583333333333337</v>
      </c>
      <c r="D21" s="274"/>
      <c r="E21" s="186"/>
      <c r="F21" s="187"/>
      <c r="G21" s="187"/>
      <c r="H21" s="187"/>
      <c r="I21" s="187"/>
      <c r="J21" s="187"/>
      <c r="K21" s="188"/>
      <c r="L21" s="275"/>
      <c r="M21" s="449"/>
      <c r="AC21" s="452"/>
      <c r="AD21" s="217"/>
      <c r="AE21" s="311">
        <v>0.60416666670062102</v>
      </c>
      <c r="AF21" s="313">
        <v>0.77083333333333404</v>
      </c>
      <c r="AH21" s="186"/>
      <c r="AI21" s="187"/>
      <c r="AJ21" s="187"/>
      <c r="AK21" s="187"/>
      <c r="AL21" s="213"/>
      <c r="AN21" s="243"/>
      <c r="AO21" s="519"/>
      <c r="AP21" s="187"/>
      <c r="AQ21" s="187"/>
      <c r="AR21" s="187"/>
      <c r="AS21" s="213"/>
      <c r="AU21" s="190"/>
      <c r="AW21" s="506">
        <f>SCHEDULES!$I$23</f>
        <v>0</v>
      </c>
      <c r="AX21" s="507">
        <f>SCHEDULES!$I$66</f>
        <v>0</v>
      </c>
      <c r="AY21" s="507">
        <f>SCHEDULES!$I$108</f>
        <v>0</v>
      </c>
      <c r="AZ21" s="507">
        <f>SCHEDULES!$I$149</f>
        <v>0</v>
      </c>
      <c r="BA21" s="507">
        <f>SCHEDULES!$I$190</f>
        <v>0</v>
      </c>
      <c r="BB21" s="507">
        <f>SCHEDULES!$I$231</f>
        <v>0</v>
      </c>
      <c r="BC21" s="303">
        <f>SCHEDULES!$I$272</f>
        <v>0</v>
      </c>
      <c r="BD21" s="243"/>
    </row>
    <row r="22" spans="2:56" ht="23.25" customHeight="1" x14ac:dyDescent="0.4">
      <c r="B22" s="273">
        <f t="shared" si="3"/>
        <v>0</v>
      </c>
      <c r="C22" s="311">
        <v>0.66666666666666663</v>
      </c>
      <c r="D22" s="274"/>
      <c r="E22" s="186"/>
      <c r="F22" s="187"/>
      <c r="G22" s="187"/>
      <c r="H22" s="187"/>
      <c r="I22" s="187"/>
      <c r="J22" s="187"/>
      <c r="K22" s="188"/>
      <c r="L22" s="275"/>
      <c r="M22" s="449"/>
      <c r="N22" s="450"/>
      <c r="O22" s="450"/>
      <c r="P22" s="450"/>
      <c r="Q22" s="450"/>
      <c r="R22" s="450"/>
      <c r="S22" s="514" t="s">
        <v>39</v>
      </c>
      <c r="T22" s="450"/>
      <c r="U22" s="450"/>
      <c r="V22" s="450"/>
      <c r="W22" s="451"/>
      <c r="X22" s="451"/>
      <c r="Y22" s="451"/>
      <c r="Z22" s="514" t="s">
        <v>40</v>
      </c>
      <c r="AA22" s="451"/>
      <c r="AB22" s="451"/>
      <c r="AC22" s="452"/>
      <c r="AD22" s="217"/>
      <c r="AE22" s="311">
        <v>0.62500000003637901</v>
      </c>
      <c r="AF22" s="313">
        <v>0.79166666666666696</v>
      </c>
      <c r="AH22" s="186"/>
      <c r="AI22" s="187"/>
      <c r="AJ22" s="187"/>
      <c r="AK22" s="187"/>
      <c r="AL22" s="213"/>
      <c r="AN22" s="243"/>
      <c r="AO22" s="519"/>
      <c r="AP22" s="187"/>
      <c r="AQ22" s="187"/>
      <c r="AR22" s="187"/>
      <c r="AS22" s="213"/>
      <c r="AU22" s="190"/>
      <c r="AW22" s="506">
        <f>SCHEDULES!$I$24</f>
        <v>0</v>
      </c>
      <c r="AX22" s="507">
        <f>SCHEDULES!$I$67</f>
        <v>0</v>
      </c>
      <c r="AY22" s="507">
        <f>SCHEDULES!$I$109</f>
        <v>0</v>
      </c>
      <c r="AZ22" s="507">
        <f>SCHEDULES!$I$150</f>
        <v>0</v>
      </c>
      <c r="BA22" s="507">
        <f>SCHEDULES!$I$191</f>
        <v>0</v>
      </c>
      <c r="BB22" s="507">
        <f>SCHEDULES!$I$232</f>
        <v>0</v>
      </c>
      <c r="BC22" s="303">
        <f>SCHEDULES!$I$273</f>
        <v>0</v>
      </c>
      <c r="BD22" s="243"/>
    </row>
    <row r="23" spans="2:56" ht="23.25" customHeight="1" x14ac:dyDescent="0.4">
      <c r="B23" s="273">
        <f t="shared" si="3"/>
        <v>0</v>
      </c>
      <c r="C23" s="311">
        <v>0.6875</v>
      </c>
      <c r="D23" s="274"/>
      <c r="E23" s="186"/>
      <c r="F23" s="187"/>
      <c r="G23" s="187"/>
      <c r="H23" s="187"/>
      <c r="I23" s="187"/>
      <c r="J23" s="187"/>
      <c r="K23" s="188"/>
      <c r="L23" s="275"/>
      <c r="M23" s="449"/>
      <c r="N23" s="502" t="s">
        <v>37</v>
      </c>
      <c r="O23" s="450"/>
      <c r="P23" s="472" t="s">
        <v>23</v>
      </c>
      <c r="Q23" s="473" t="s">
        <v>24</v>
      </c>
      <c r="R23" s="473" t="s">
        <v>25</v>
      </c>
      <c r="S23" s="473" t="s">
        <v>26</v>
      </c>
      <c r="T23" s="473" t="s">
        <v>27</v>
      </c>
      <c r="U23" s="473" t="s">
        <v>28</v>
      </c>
      <c r="V23" s="474" t="s">
        <v>29</v>
      </c>
      <c r="W23" s="498" t="s">
        <v>23</v>
      </c>
      <c r="X23" s="499" t="s">
        <v>24</v>
      </c>
      <c r="Y23" s="499" t="s">
        <v>25</v>
      </c>
      <c r="Z23" s="499" t="s">
        <v>26</v>
      </c>
      <c r="AA23" s="499" t="s">
        <v>27</v>
      </c>
      <c r="AB23" s="499" t="s">
        <v>28</v>
      </c>
      <c r="AC23" s="500" t="s">
        <v>29</v>
      </c>
      <c r="AD23" s="217"/>
      <c r="AE23" s="311">
        <v>0.645833333372138</v>
      </c>
      <c r="AF23" s="313">
        <v>0.8125</v>
      </c>
      <c r="AH23" s="186"/>
      <c r="AI23" s="187"/>
      <c r="AJ23" s="187"/>
      <c r="AK23" s="187"/>
      <c r="AL23" s="213"/>
      <c r="AN23" s="243"/>
      <c r="AO23" s="519"/>
      <c r="AP23" s="187"/>
      <c r="AQ23" s="187"/>
      <c r="AR23" s="187"/>
      <c r="AS23" s="213"/>
      <c r="AU23" s="190"/>
      <c r="AW23" s="506">
        <f>SCHEDULES!$I$25</f>
        <v>0</v>
      </c>
      <c r="AX23" s="507">
        <f>SCHEDULES!$I$68</f>
        <v>0</v>
      </c>
      <c r="AY23" s="507">
        <f>SCHEDULES!$I$110</f>
        <v>0</v>
      </c>
      <c r="AZ23" s="507">
        <f>SCHEDULES!$I$151</f>
        <v>0</v>
      </c>
      <c r="BA23" s="507">
        <f>SCHEDULES!$I$192</f>
        <v>0</v>
      </c>
      <c r="BB23" s="507">
        <f>SCHEDULES!$I$233</f>
        <v>0</v>
      </c>
      <c r="BC23" s="303">
        <f>SCHEDULES!$I$274</f>
        <v>0</v>
      </c>
      <c r="BD23" s="243"/>
    </row>
    <row r="24" spans="2:56" ht="23.25" customHeight="1" x14ac:dyDescent="0.4">
      <c r="B24" s="273">
        <f t="shared" si="3"/>
        <v>0</v>
      </c>
      <c r="C24" s="311">
        <v>0.70833333333333337</v>
      </c>
      <c r="D24" s="274"/>
      <c r="E24" s="186"/>
      <c r="F24" s="187"/>
      <c r="G24" s="187"/>
      <c r="H24" s="187"/>
      <c r="I24" s="187"/>
      <c r="J24" s="187"/>
      <c r="K24" s="188"/>
      <c r="L24" s="275"/>
      <c r="M24" s="456">
        <v>0.33333333333333331</v>
      </c>
      <c r="N24" s="457">
        <v>0.39583333333333331</v>
      </c>
      <c r="O24" s="450"/>
      <c r="P24" s="479" t="e">
        <f t="shared" ref="P24:AC24" si="8">P29/P$32</f>
        <v>#DIV/0!</v>
      </c>
      <c r="Q24" s="480" t="e">
        <f t="shared" si="8"/>
        <v>#DIV/0!</v>
      </c>
      <c r="R24" s="480" t="e">
        <f t="shared" si="8"/>
        <v>#DIV/0!</v>
      </c>
      <c r="S24" s="480" t="e">
        <f t="shared" si="8"/>
        <v>#DIV/0!</v>
      </c>
      <c r="T24" s="480" t="e">
        <f t="shared" si="8"/>
        <v>#DIV/0!</v>
      </c>
      <c r="U24" s="480" t="e">
        <f t="shared" si="8"/>
        <v>#DIV/0!</v>
      </c>
      <c r="V24" s="480" t="e">
        <f t="shared" si="8"/>
        <v>#DIV/0!</v>
      </c>
      <c r="W24" s="479" t="e">
        <f t="shared" si="8"/>
        <v>#DIV/0!</v>
      </c>
      <c r="X24" s="480" t="e">
        <f t="shared" si="8"/>
        <v>#DIV/0!</v>
      </c>
      <c r="Y24" s="480" t="e">
        <f t="shared" si="8"/>
        <v>#DIV/0!</v>
      </c>
      <c r="Z24" s="480" t="e">
        <f t="shared" si="8"/>
        <v>#DIV/0!</v>
      </c>
      <c r="AA24" s="480" t="e">
        <f t="shared" si="8"/>
        <v>#DIV/0!</v>
      </c>
      <c r="AB24" s="480" t="e">
        <f t="shared" si="8"/>
        <v>#DIV/0!</v>
      </c>
      <c r="AC24" s="497" t="e">
        <f t="shared" si="8"/>
        <v>#DIV/0!</v>
      </c>
      <c r="AD24" s="217"/>
      <c r="AE24" s="311">
        <v>0.66666666670789698</v>
      </c>
      <c r="AF24" s="313">
        <v>0.83333333333333404</v>
      </c>
      <c r="AH24" s="186"/>
      <c r="AI24" s="187"/>
      <c r="AJ24" s="187"/>
      <c r="AK24" s="187"/>
      <c r="AL24" s="213"/>
      <c r="AN24" s="243"/>
      <c r="AO24" s="519"/>
      <c r="AP24" s="187"/>
      <c r="AQ24" s="187"/>
      <c r="AR24" s="187"/>
      <c r="AS24" s="213"/>
      <c r="AU24" s="190"/>
      <c r="AW24" s="506">
        <f>SCHEDULES!$I$26</f>
        <v>0</v>
      </c>
      <c r="AX24" s="507">
        <f>SCHEDULES!$I$69</f>
        <v>0</v>
      </c>
      <c r="AY24" s="507">
        <f>SCHEDULES!$I$111</f>
        <v>0</v>
      </c>
      <c r="AZ24" s="507">
        <f>SCHEDULES!$I$152</f>
        <v>0</v>
      </c>
      <c r="BA24" s="507">
        <f>SCHEDULES!$I$193</f>
        <v>0</v>
      </c>
      <c r="BB24" s="507">
        <f>SCHEDULES!$I$234</f>
        <v>0</v>
      </c>
      <c r="BC24" s="303">
        <f>SCHEDULES!$I$275</f>
        <v>0</v>
      </c>
      <c r="BD24" s="243"/>
    </row>
    <row r="25" spans="2:56" ht="23.25" customHeight="1" x14ac:dyDescent="0.4">
      <c r="B25" s="273">
        <f t="shared" si="3"/>
        <v>0</v>
      </c>
      <c r="C25" s="311">
        <v>0.72916666666666663</v>
      </c>
      <c r="D25" s="274"/>
      <c r="E25" s="186"/>
      <c r="F25" s="187"/>
      <c r="G25" s="187"/>
      <c r="H25" s="187"/>
      <c r="I25" s="187"/>
      <c r="J25" s="187"/>
      <c r="K25" s="188"/>
      <c r="L25" s="275"/>
      <c r="M25" s="456">
        <v>0.41666666666666669</v>
      </c>
      <c r="N25" s="457">
        <v>0.5</v>
      </c>
      <c r="O25" s="450"/>
      <c r="P25" s="481" t="e">
        <f t="shared" ref="P25:AC25" si="9">P30/P$32</f>
        <v>#DIV/0!</v>
      </c>
      <c r="Q25" s="477" t="e">
        <f t="shared" si="9"/>
        <v>#DIV/0!</v>
      </c>
      <c r="R25" s="477" t="e">
        <f t="shared" si="9"/>
        <v>#DIV/0!</v>
      </c>
      <c r="S25" s="477" t="e">
        <f t="shared" si="9"/>
        <v>#DIV/0!</v>
      </c>
      <c r="T25" s="477" t="e">
        <f t="shared" si="9"/>
        <v>#DIV/0!</v>
      </c>
      <c r="U25" s="477" t="e">
        <f t="shared" si="9"/>
        <v>#DIV/0!</v>
      </c>
      <c r="V25" s="477" t="e">
        <f t="shared" si="9"/>
        <v>#DIV/0!</v>
      </c>
      <c r="W25" s="481" t="e">
        <f t="shared" si="9"/>
        <v>#DIV/0!</v>
      </c>
      <c r="X25" s="477" t="e">
        <f t="shared" si="9"/>
        <v>#DIV/0!</v>
      </c>
      <c r="Y25" s="477" t="e">
        <f t="shared" si="9"/>
        <v>#DIV/0!</v>
      </c>
      <c r="Z25" s="477" t="e">
        <f t="shared" si="9"/>
        <v>#DIV/0!</v>
      </c>
      <c r="AA25" s="477" t="e">
        <f t="shared" si="9"/>
        <v>#DIV/0!</v>
      </c>
      <c r="AB25" s="477" t="e">
        <f t="shared" si="9"/>
        <v>#DIV/0!</v>
      </c>
      <c r="AC25" s="478" t="e">
        <f t="shared" si="9"/>
        <v>#DIV/0!</v>
      </c>
      <c r="AD25" s="217"/>
      <c r="AE25" s="311">
        <v>0.68750000004365497</v>
      </c>
      <c r="AF25" s="313">
        <v>0.85416666666666696</v>
      </c>
      <c r="AH25" s="186"/>
      <c r="AI25" s="187"/>
      <c r="AJ25" s="187"/>
      <c r="AK25" s="187"/>
      <c r="AL25" s="213"/>
      <c r="AN25" s="243"/>
      <c r="AO25" s="519"/>
      <c r="AP25" s="187"/>
      <c r="AQ25" s="187"/>
      <c r="AR25" s="187"/>
      <c r="AS25" s="213"/>
      <c r="AU25" s="190"/>
      <c r="AW25" s="506">
        <f>SCHEDULES!$I$27</f>
        <v>0</v>
      </c>
      <c r="AX25" s="507">
        <f>SCHEDULES!$I$70</f>
        <v>0</v>
      </c>
      <c r="AY25" s="507">
        <f>SCHEDULES!$I$112</f>
        <v>0</v>
      </c>
      <c r="AZ25" s="507">
        <f>SCHEDULES!$I$153</f>
        <v>0</v>
      </c>
      <c r="BA25" s="507">
        <f>SCHEDULES!$I$194</f>
        <v>0</v>
      </c>
      <c r="BB25" s="507">
        <f>SCHEDULES!$I$235</f>
        <v>0</v>
      </c>
      <c r="BC25" s="303">
        <f>SCHEDULES!$I$276</f>
        <v>0</v>
      </c>
      <c r="BD25" s="243"/>
    </row>
    <row r="26" spans="2:56" ht="23.25" customHeight="1" x14ac:dyDescent="0.4">
      <c r="B26" s="273">
        <f t="shared" si="3"/>
        <v>0</v>
      </c>
      <c r="C26" s="311">
        <v>0.75</v>
      </c>
      <c r="D26" s="274"/>
      <c r="E26" s="186"/>
      <c r="F26" s="187"/>
      <c r="G26" s="187"/>
      <c r="H26" s="187"/>
      <c r="I26" s="187"/>
      <c r="J26" s="187"/>
      <c r="K26" s="188"/>
      <c r="L26" s="275"/>
      <c r="M26" s="456">
        <v>0.52083333333333337</v>
      </c>
      <c r="N26" s="457">
        <v>0.60416666666666663</v>
      </c>
      <c r="O26" s="450"/>
      <c r="P26" s="482" t="e">
        <f t="shared" ref="P26:AC26" si="10">P31/P$32</f>
        <v>#DIV/0!</v>
      </c>
      <c r="Q26" s="483" t="e">
        <f t="shared" si="10"/>
        <v>#DIV/0!</v>
      </c>
      <c r="R26" s="483" t="e">
        <f t="shared" si="10"/>
        <v>#DIV/0!</v>
      </c>
      <c r="S26" s="483" t="e">
        <f t="shared" si="10"/>
        <v>#DIV/0!</v>
      </c>
      <c r="T26" s="483" t="e">
        <f t="shared" si="10"/>
        <v>#DIV/0!</v>
      </c>
      <c r="U26" s="483" t="e">
        <f t="shared" si="10"/>
        <v>#DIV/0!</v>
      </c>
      <c r="V26" s="483" t="e">
        <f t="shared" si="10"/>
        <v>#DIV/0!</v>
      </c>
      <c r="W26" s="482" t="e">
        <f t="shared" si="10"/>
        <v>#DIV/0!</v>
      </c>
      <c r="X26" s="483" t="e">
        <f t="shared" si="10"/>
        <v>#DIV/0!</v>
      </c>
      <c r="Y26" s="483" t="e">
        <f t="shared" si="10"/>
        <v>#DIV/0!</v>
      </c>
      <c r="Z26" s="483" t="e">
        <f t="shared" si="10"/>
        <v>#DIV/0!</v>
      </c>
      <c r="AA26" s="483" t="e">
        <f t="shared" si="10"/>
        <v>#DIV/0!</v>
      </c>
      <c r="AB26" s="483" t="e">
        <f t="shared" si="10"/>
        <v>#DIV/0!</v>
      </c>
      <c r="AC26" s="484" t="e">
        <f t="shared" si="10"/>
        <v>#DIV/0!</v>
      </c>
      <c r="AD26" s="217"/>
      <c r="AE26" s="311">
        <v>0.70833333337941395</v>
      </c>
      <c r="AF26" s="313">
        <v>0.875</v>
      </c>
      <c r="AH26" s="186"/>
      <c r="AI26" s="187"/>
      <c r="AJ26" s="187"/>
      <c r="AK26" s="187"/>
      <c r="AL26" s="213"/>
      <c r="AN26" s="243"/>
      <c r="AO26" s="519"/>
      <c r="AP26" s="187"/>
      <c r="AQ26" s="187"/>
      <c r="AR26" s="187"/>
      <c r="AS26" s="213"/>
      <c r="AU26" s="190"/>
      <c r="AW26" s="506">
        <f>SCHEDULES!$I$28</f>
        <v>0</v>
      </c>
      <c r="AX26" s="507">
        <f>SCHEDULES!$I$71</f>
        <v>0</v>
      </c>
      <c r="AY26" s="507">
        <f>SCHEDULES!$I$113</f>
        <v>0</v>
      </c>
      <c r="AZ26" s="507">
        <f>SCHEDULES!$I$154</f>
        <v>0</v>
      </c>
      <c r="BA26" s="507">
        <f>SCHEDULES!$I$195</f>
        <v>0</v>
      </c>
      <c r="BB26" s="507">
        <f>SCHEDULES!$I$236</f>
        <v>0</v>
      </c>
      <c r="BC26" s="303">
        <f>SCHEDULES!$I$277</f>
        <v>0</v>
      </c>
      <c r="BD26" s="243"/>
    </row>
    <row r="27" spans="2:56" ht="23.25" customHeight="1" x14ac:dyDescent="0.4">
      <c r="B27" s="273">
        <f t="shared" si="3"/>
        <v>0</v>
      </c>
      <c r="C27" s="311">
        <v>0.77083333333333337</v>
      </c>
      <c r="D27" s="274"/>
      <c r="E27" s="186"/>
      <c r="F27" s="187"/>
      <c r="G27" s="187"/>
      <c r="H27" s="187"/>
      <c r="I27" s="187"/>
      <c r="J27" s="187"/>
      <c r="K27" s="188"/>
      <c r="L27" s="275"/>
      <c r="M27" s="449"/>
      <c r="N27" s="501"/>
      <c r="O27" s="450"/>
      <c r="AC27" s="452"/>
      <c r="AD27" s="217"/>
      <c r="AE27" s="311">
        <v>0.72916666671517305</v>
      </c>
      <c r="AF27" s="313">
        <v>0.89583333333333404</v>
      </c>
      <c r="AH27" s="186"/>
      <c r="AI27" s="187"/>
      <c r="AJ27" s="187"/>
      <c r="AK27" s="187"/>
      <c r="AL27" s="213"/>
      <c r="AN27" s="243"/>
      <c r="AO27" s="519"/>
      <c r="AP27" s="187"/>
      <c r="AQ27" s="187"/>
      <c r="AR27" s="187"/>
      <c r="AS27" s="213"/>
      <c r="AU27" s="190"/>
      <c r="AW27" s="506">
        <f>SCHEDULES!$I$29</f>
        <v>0</v>
      </c>
      <c r="AX27" s="507">
        <f>SCHEDULES!$I$72</f>
        <v>0</v>
      </c>
      <c r="AY27" s="507">
        <f>SCHEDULES!$I$114</f>
        <v>0</v>
      </c>
      <c r="AZ27" s="507">
        <f>SCHEDULES!$I$155</f>
        <v>0</v>
      </c>
      <c r="BA27" s="507">
        <f>SCHEDULES!$I$196</f>
        <v>0</v>
      </c>
      <c r="BB27" s="507">
        <f>SCHEDULES!$I$237</f>
        <v>0</v>
      </c>
      <c r="BC27" s="303">
        <f>SCHEDULES!$I$278</f>
        <v>0</v>
      </c>
      <c r="BD27" s="243"/>
    </row>
    <row r="28" spans="2:56" ht="23.25" customHeight="1" x14ac:dyDescent="0.4">
      <c r="B28" s="273">
        <f t="shared" si="3"/>
        <v>0</v>
      </c>
      <c r="C28" s="311">
        <v>0.79166666666666663</v>
      </c>
      <c r="D28" s="274"/>
      <c r="E28" s="186"/>
      <c r="F28" s="187"/>
      <c r="G28" s="187"/>
      <c r="H28" s="187"/>
      <c r="I28" s="187"/>
      <c r="J28" s="187"/>
      <c r="K28" s="188"/>
      <c r="L28" s="275"/>
      <c r="M28" s="449"/>
      <c r="N28" s="502" t="s">
        <v>38</v>
      </c>
      <c r="O28" s="450"/>
      <c r="P28" s="472" t="s">
        <v>23</v>
      </c>
      <c r="Q28" s="473" t="s">
        <v>24</v>
      </c>
      <c r="R28" s="473" t="s">
        <v>25</v>
      </c>
      <c r="S28" s="473" t="s">
        <v>26</v>
      </c>
      <c r="T28" s="473" t="s">
        <v>27</v>
      </c>
      <c r="U28" s="473" t="s">
        <v>28</v>
      </c>
      <c r="V28" s="474" t="s">
        <v>29</v>
      </c>
      <c r="W28" s="472" t="s">
        <v>23</v>
      </c>
      <c r="X28" s="473" t="s">
        <v>24</v>
      </c>
      <c r="Y28" s="473" t="s">
        <v>25</v>
      </c>
      <c r="Z28" s="473" t="s">
        <v>26</v>
      </c>
      <c r="AA28" s="473" t="s">
        <v>27</v>
      </c>
      <c r="AB28" s="473" t="s">
        <v>28</v>
      </c>
      <c r="AC28" s="476" t="s">
        <v>29</v>
      </c>
      <c r="AD28" s="217"/>
      <c r="AE28" s="311">
        <v>0.75000000005093104</v>
      </c>
      <c r="AF28" s="313">
        <v>0.91666666666666696</v>
      </c>
      <c r="AH28" s="186"/>
      <c r="AI28" s="187"/>
      <c r="AJ28" s="187"/>
      <c r="AK28" s="187"/>
      <c r="AL28" s="213"/>
      <c r="AN28" s="243"/>
      <c r="AO28" s="519"/>
      <c r="AP28" s="187"/>
      <c r="AQ28" s="187"/>
      <c r="AR28" s="187"/>
      <c r="AS28" s="213"/>
      <c r="AU28" s="190"/>
      <c r="AW28" s="506">
        <f>SCHEDULES!$I$30</f>
        <v>0</v>
      </c>
      <c r="AX28" s="507">
        <f>SCHEDULES!$I$73</f>
        <v>0</v>
      </c>
      <c r="AY28" s="507">
        <f>SCHEDULES!$I$115</f>
        <v>0</v>
      </c>
      <c r="AZ28" s="507">
        <f>SCHEDULES!$I$156</f>
        <v>0</v>
      </c>
      <c r="BA28" s="507">
        <f>SCHEDULES!$I$197</f>
        <v>0</v>
      </c>
      <c r="BB28" s="507">
        <f>SCHEDULES!$I$238</f>
        <v>0</v>
      </c>
      <c r="BC28" s="303">
        <f>SCHEDULES!$I$279</f>
        <v>0</v>
      </c>
      <c r="BD28" s="243"/>
    </row>
    <row r="29" spans="2:56" ht="23.25" customHeight="1" x14ac:dyDescent="0.4">
      <c r="B29" s="273">
        <f t="shared" si="3"/>
        <v>0</v>
      </c>
      <c r="C29" s="311">
        <v>0.8125</v>
      </c>
      <c r="D29" s="274"/>
      <c r="E29" s="186"/>
      <c r="F29" s="187"/>
      <c r="G29" s="187"/>
      <c r="H29" s="187"/>
      <c r="I29" s="187"/>
      <c r="J29" s="187"/>
      <c r="K29" s="188"/>
      <c r="L29" s="275"/>
      <c r="M29" s="456">
        <v>0.33333333333333331</v>
      </c>
      <c r="N29" s="457">
        <v>0.39583333333333331</v>
      </c>
      <c r="O29" s="450"/>
      <c r="P29" s="464">
        <f t="shared" ref="P29:V29" si="11">SUM(P6:P9)</f>
        <v>0</v>
      </c>
      <c r="Q29" s="465">
        <f t="shared" si="11"/>
        <v>0</v>
      </c>
      <c r="R29" s="465">
        <f t="shared" si="11"/>
        <v>0</v>
      </c>
      <c r="S29" s="465">
        <f t="shared" si="11"/>
        <v>0</v>
      </c>
      <c r="T29" s="465">
        <f t="shared" si="11"/>
        <v>0</v>
      </c>
      <c r="U29" s="465">
        <f t="shared" si="11"/>
        <v>0</v>
      </c>
      <c r="V29" s="466">
        <f t="shared" si="11"/>
        <v>0</v>
      </c>
      <c r="W29" s="464">
        <f t="shared" ref="W29:AC31" si="12">SUM(W38,AH38,AO38)</f>
        <v>0</v>
      </c>
      <c r="X29" s="465">
        <f t="shared" si="12"/>
        <v>0</v>
      </c>
      <c r="Y29" s="465">
        <f t="shared" si="12"/>
        <v>0</v>
      </c>
      <c r="Z29" s="465">
        <f t="shared" si="12"/>
        <v>0</v>
      </c>
      <c r="AA29" s="465">
        <f t="shared" si="12"/>
        <v>0</v>
      </c>
      <c r="AB29" s="465">
        <f t="shared" si="12"/>
        <v>0</v>
      </c>
      <c r="AC29" s="485">
        <f t="shared" si="12"/>
        <v>0</v>
      </c>
      <c r="AD29" s="217"/>
      <c r="AE29" s="277"/>
      <c r="AF29" s="216"/>
      <c r="AH29" s="186"/>
      <c r="AI29" s="187"/>
      <c r="AJ29" s="187"/>
      <c r="AK29" s="187"/>
      <c r="AL29" s="213"/>
      <c r="AN29" s="243"/>
      <c r="AO29" s="519"/>
      <c r="AP29" s="187"/>
      <c r="AQ29" s="187"/>
      <c r="AR29" s="187"/>
      <c r="AS29" s="213"/>
      <c r="AU29" s="190"/>
      <c r="AW29" s="506">
        <f>SCHEDULES!$I$31</f>
        <v>0</v>
      </c>
      <c r="AX29" s="507">
        <f>SCHEDULES!$I$74</f>
        <v>0</v>
      </c>
      <c r="AY29" s="507">
        <f>SCHEDULES!$I$116</f>
        <v>0</v>
      </c>
      <c r="AZ29" s="507">
        <f>SCHEDULES!$I$157</f>
        <v>0</v>
      </c>
      <c r="BA29" s="507">
        <f>SCHEDULES!$I$198</f>
        <v>0</v>
      </c>
      <c r="BB29" s="507">
        <f>SCHEDULES!$I$239</f>
        <v>0</v>
      </c>
      <c r="BC29" s="303">
        <f>SCHEDULES!$I$280</f>
        <v>0</v>
      </c>
      <c r="BD29" s="243"/>
    </row>
    <row r="30" spans="2:56" ht="23.25" customHeight="1" x14ac:dyDescent="0.4">
      <c r="B30" s="273">
        <f t="shared" si="3"/>
        <v>0</v>
      </c>
      <c r="C30" s="311">
        <v>0.83333333333333337</v>
      </c>
      <c r="D30" s="274"/>
      <c r="E30" s="186"/>
      <c r="F30" s="187"/>
      <c r="G30" s="187"/>
      <c r="H30" s="187"/>
      <c r="I30" s="187"/>
      <c r="J30" s="187"/>
      <c r="K30" s="188"/>
      <c r="L30" s="275"/>
      <c r="M30" s="456">
        <v>0.41666666666666669</v>
      </c>
      <c r="N30" s="457">
        <v>0.5</v>
      </c>
      <c r="O30" s="450"/>
      <c r="P30" s="467">
        <f t="shared" ref="P30:V30" si="13">SUM(P10:P14)</f>
        <v>0</v>
      </c>
      <c r="Q30" s="458">
        <f t="shared" si="13"/>
        <v>0</v>
      </c>
      <c r="R30" s="458">
        <f t="shared" si="13"/>
        <v>0</v>
      </c>
      <c r="S30" s="458">
        <f t="shared" si="13"/>
        <v>0</v>
      </c>
      <c r="T30" s="458">
        <f t="shared" si="13"/>
        <v>0</v>
      </c>
      <c r="U30" s="458">
        <f t="shared" si="13"/>
        <v>0</v>
      </c>
      <c r="V30" s="468">
        <f t="shared" si="13"/>
        <v>0</v>
      </c>
      <c r="W30" s="467">
        <f t="shared" si="12"/>
        <v>0</v>
      </c>
      <c r="X30" s="458">
        <f t="shared" si="12"/>
        <v>0</v>
      </c>
      <c r="Y30" s="458">
        <f t="shared" si="12"/>
        <v>0</v>
      </c>
      <c r="Z30" s="458">
        <f t="shared" si="12"/>
        <v>0</v>
      </c>
      <c r="AA30" s="458">
        <f t="shared" si="12"/>
        <v>0</v>
      </c>
      <c r="AB30" s="458">
        <f t="shared" si="12"/>
        <v>0</v>
      </c>
      <c r="AC30" s="486">
        <f t="shared" si="12"/>
        <v>0</v>
      </c>
      <c r="AD30" s="217"/>
      <c r="AE30" s="277"/>
      <c r="AF30" s="216"/>
      <c r="AH30" s="186"/>
      <c r="AI30" s="187"/>
      <c r="AJ30" s="187"/>
      <c r="AK30" s="187"/>
      <c r="AL30" s="213"/>
      <c r="AN30" s="243"/>
      <c r="AO30" s="519"/>
      <c r="AP30" s="187"/>
      <c r="AQ30" s="187"/>
      <c r="AR30" s="187"/>
      <c r="AS30" s="213"/>
      <c r="AU30" s="190"/>
      <c r="AW30" s="506">
        <f>SCHEDULES!$I$32</f>
        <v>0</v>
      </c>
      <c r="AX30" s="507">
        <f>SCHEDULES!$I$75</f>
        <v>0</v>
      </c>
      <c r="AY30" s="507">
        <f>SCHEDULES!$I$117</f>
        <v>0</v>
      </c>
      <c r="AZ30" s="507">
        <f>SCHEDULES!$I$158</f>
        <v>0</v>
      </c>
      <c r="BA30" s="507">
        <f>SCHEDULES!$I$199</f>
        <v>0</v>
      </c>
      <c r="BB30" s="507">
        <f>SCHEDULES!$I$240</f>
        <v>0</v>
      </c>
      <c r="BC30" s="303">
        <f>SCHEDULES!$I$281</f>
        <v>0</v>
      </c>
      <c r="BD30" s="243"/>
    </row>
    <row r="31" spans="2:56" ht="23.25" customHeight="1" x14ac:dyDescent="0.4">
      <c r="B31" s="273">
        <f t="shared" si="3"/>
        <v>0</v>
      </c>
      <c r="C31" s="311">
        <v>0.85416666666666663</v>
      </c>
      <c r="D31" s="274"/>
      <c r="E31" s="186"/>
      <c r="F31" s="187"/>
      <c r="G31" s="187"/>
      <c r="H31" s="187"/>
      <c r="I31" s="187"/>
      <c r="J31" s="187"/>
      <c r="K31" s="188"/>
      <c r="L31" s="275"/>
      <c r="M31" s="456">
        <v>0.52083333333333337</v>
      </c>
      <c r="N31" s="457">
        <v>0.60416666666666663</v>
      </c>
      <c r="O31" s="450"/>
      <c r="P31" s="469">
        <f t="shared" ref="P31:V31" si="14">SUM(P15:P19)</f>
        <v>0</v>
      </c>
      <c r="Q31" s="470">
        <f t="shared" si="14"/>
        <v>0</v>
      </c>
      <c r="R31" s="470">
        <f t="shared" si="14"/>
        <v>0</v>
      </c>
      <c r="S31" s="470">
        <f t="shared" si="14"/>
        <v>0</v>
      </c>
      <c r="T31" s="470">
        <f t="shared" si="14"/>
        <v>0</v>
      </c>
      <c r="U31" s="470">
        <f t="shared" si="14"/>
        <v>0</v>
      </c>
      <c r="V31" s="471">
        <f t="shared" si="14"/>
        <v>0</v>
      </c>
      <c r="W31" s="469">
        <f t="shared" si="12"/>
        <v>0</v>
      </c>
      <c r="X31" s="470">
        <f t="shared" si="12"/>
        <v>0</v>
      </c>
      <c r="Y31" s="470">
        <f t="shared" si="12"/>
        <v>0</v>
      </c>
      <c r="Z31" s="470">
        <f t="shared" si="12"/>
        <v>0</v>
      </c>
      <c r="AA31" s="470">
        <f t="shared" si="12"/>
        <v>0</v>
      </c>
      <c r="AB31" s="470">
        <f t="shared" si="12"/>
        <v>0</v>
      </c>
      <c r="AC31" s="487">
        <f t="shared" si="12"/>
        <v>0</v>
      </c>
      <c r="AD31" s="217"/>
      <c r="AE31" s="277"/>
      <c r="AF31" s="216"/>
      <c r="AH31" s="186"/>
      <c r="AI31" s="187"/>
      <c r="AJ31" s="187"/>
      <c r="AK31" s="187"/>
      <c r="AL31" s="213"/>
      <c r="AN31" s="243"/>
      <c r="AO31" s="519"/>
      <c r="AP31" s="187"/>
      <c r="AQ31" s="187"/>
      <c r="AR31" s="187"/>
      <c r="AS31" s="213"/>
      <c r="AU31" s="190"/>
      <c r="AW31" s="506">
        <f>SCHEDULES!$I$33</f>
        <v>0</v>
      </c>
      <c r="AX31" s="507">
        <f>SCHEDULES!$I$76</f>
        <v>0</v>
      </c>
      <c r="AY31" s="507">
        <f>SCHEDULES!$I$118</f>
        <v>0</v>
      </c>
      <c r="AZ31" s="507">
        <f>SCHEDULES!$I$159</f>
        <v>0</v>
      </c>
      <c r="BA31" s="507">
        <f>SCHEDULES!$I$200</f>
        <v>0</v>
      </c>
      <c r="BB31" s="507">
        <f>SCHEDULES!$I$241</f>
        <v>0</v>
      </c>
      <c r="BC31" s="303">
        <f>SCHEDULES!$I$282</f>
        <v>0</v>
      </c>
      <c r="BD31" s="243"/>
    </row>
    <row r="32" spans="2:56" ht="23.25" customHeight="1" x14ac:dyDescent="0.4">
      <c r="B32" s="273">
        <f t="shared" si="3"/>
        <v>0</v>
      </c>
      <c r="C32" s="311">
        <v>0.875</v>
      </c>
      <c r="D32" s="274"/>
      <c r="E32" s="186"/>
      <c r="F32" s="187"/>
      <c r="G32" s="187"/>
      <c r="H32" s="187"/>
      <c r="I32" s="187"/>
      <c r="J32" s="187"/>
      <c r="K32" s="188"/>
      <c r="L32" s="275"/>
      <c r="M32" s="449"/>
      <c r="N32" s="450"/>
      <c r="O32" s="450"/>
      <c r="P32" s="458">
        <f t="shared" ref="P32:V32" si="15">SUM(P29:P31)</f>
        <v>0</v>
      </c>
      <c r="Q32" s="458">
        <f t="shared" si="15"/>
        <v>0</v>
      </c>
      <c r="R32" s="458">
        <f t="shared" si="15"/>
        <v>0</v>
      </c>
      <c r="S32" s="458">
        <f t="shared" si="15"/>
        <v>0</v>
      </c>
      <c r="T32" s="458">
        <f t="shared" si="15"/>
        <v>0</v>
      </c>
      <c r="U32" s="458">
        <f t="shared" si="15"/>
        <v>0</v>
      </c>
      <c r="V32" s="458">
        <f t="shared" si="15"/>
        <v>0</v>
      </c>
      <c r="W32" s="458">
        <f t="shared" ref="W32:AC32" si="16">SUM(W38:W40,AH38:AH40,AO38:AO40)</f>
        <v>0</v>
      </c>
      <c r="X32" s="458">
        <f t="shared" si="16"/>
        <v>0</v>
      </c>
      <c r="Y32" s="458">
        <f t="shared" si="16"/>
        <v>0</v>
      </c>
      <c r="Z32" s="458">
        <f t="shared" si="16"/>
        <v>0</v>
      </c>
      <c r="AA32" s="458">
        <f t="shared" si="16"/>
        <v>0</v>
      </c>
      <c r="AB32" s="458">
        <f t="shared" si="16"/>
        <v>0</v>
      </c>
      <c r="AC32" s="486">
        <f t="shared" si="16"/>
        <v>0</v>
      </c>
      <c r="AD32" s="217"/>
      <c r="AE32" s="215"/>
      <c r="AH32" s="186"/>
      <c r="AI32" s="187"/>
      <c r="AJ32" s="187"/>
      <c r="AK32" s="187"/>
      <c r="AL32" s="213"/>
      <c r="AN32" s="243"/>
      <c r="AO32" s="519"/>
      <c r="AP32" s="187"/>
      <c r="AQ32" s="187"/>
      <c r="AR32" s="187"/>
      <c r="AS32" s="213"/>
      <c r="AU32" s="190"/>
      <c r="AW32" s="506">
        <f>SCHEDULES!$I$34</f>
        <v>0</v>
      </c>
      <c r="AX32" s="507">
        <f>SCHEDULES!$I$77</f>
        <v>0</v>
      </c>
      <c r="AY32" s="507">
        <f>SCHEDULES!$I$119</f>
        <v>0</v>
      </c>
      <c r="AZ32" s="507">
        <f>SCHEDULES!$I$160</f>
        <v>0</v>
      </c>
      <c r="BA32" s="507">
        <f>SCHEDULES!$I$201</f>
        <v>0</v>
      </c>
      <c r="BB32" s="507">
        <f>SCHEDULES!$I$242</f>
        <v>0</v>
      </c>
      <c r="BC32" s="303">
        <f>SCHEDULES!$I$283</f>
        <v>0</v>
      </c>
      <c r="BD32" s="243"/>
    </row>
    <row r="33" spans="2:75" ht="23.25" customHeight="1" x14ac:dyDescent="0.4">
      <c r="B33" s="273">
        <f t="shared" si="3"/>
        <v>0</v>
      </c>
      <c r="C33" s="311">
        <v>0.89583333333333337</v>
      </c>
      <c r="D33" s="274"/>
      <c r="E33" s="186"/>
      <c r="F33" s="187"/>
      <c r="G33" s="187"/>
      <c r="H33" s="187"/>
      <c r="I33" s="187"/>
      <c r="J33" s="187"/>
      <c r="K33" s="188"/>
      <c r="L33" s="275"/>
      <c r="M33" s="449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  <c r="AA33" s="451"/>
      <c r="AB33" s="451"/>
      <c r="AC33" s="452"/>
      <c r="AD33" s="217"/>
      <c r="AE33" s="215"/>
      <c r="AH33" s="186"/>
      <c r="AI33" s="187"/>
      <c r="AJ33" s="187"/>
      <c r="AK33" s="187"/>
      <c r="AL33" s="213"/>
      <c r="AN33" s="243"/>
      <c r="AO33" s="519"/>
      <c r="AP33" s="187"/>
      <c r="AQ33" s="187"/>
      <c r="AR33" s="187"/>
      <c r="AS33" s="213"/>
      <c r="AU33" s="190"/>
      <c r="AW33" s="506">
        <f>SCHEDULES!$I$35</f>
        <v>0</v>
      </c>
      <c r="AX33" s="507">
        <f>SCHEDULES!$I$78</f>
        <v>0</v>
      </c>
      <c r="AY33" s="507">
        <f>SCHEDULES!$I$120</f>
        <v>0</v>
      </c>
      <c r="AZ33" s="507">
        <f>SCHEDULES!$I$161</f>
        <v>0</v>
      </c>
      <c r="BA33" s="507">
        <f>SCHEDULES!$I$202</f>
        <v>0</v>
      </c>
      <c r="BB33" s="507">
        <f>SCHEDULES!$I$243</f>
        <v>0</v>
      </c>
      <c r="BC33" s="303">
        <f>SCHEDULES!$I$284</f>
        <v>0</v>
      </c>
      <c r="BD33" s="243"/>
    </row>
    <row r="34" spans="2:75" ht="23.25" customHeight="1" x14ac:dyDescent="0.4">
      <c r="B34" s="273">
        <f t="shared" si="3"/>
        <v>0</v>
      </c>
      <c r="C34" s="311">
        <v>0.91666666666666663</v>
      </c>
      <c r="D34" s="274"/>
      <c r="E34" s="186"/>
      <c r="F34" s="187"/>
      <c r="G34" s="187"/>
      <c r="H34" s="187"/>
      <c r="I34" s="187"/>
      <c r="J34" s="187"/>
      <c r="K34" s="188"/>
      <c r="L34" s="275"/>
      <c r="M34" s="449"/>
      <c r="N34" s="450"/>
      <c r="O34" s="450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  <c r="AA34" s="451"/>
      <c r="AB34" s="451"/>
      <c r="AC34" s="452"/>
      <c r="AD34" s="217"/>
      <c r="AE34" s="215"/>
      <c r="AH34" s="204"/>
      <c r="AI34" s="205"/>
      <c r="AJ34" s="205"/>
      <c r="AK34" s="205"/>
      <c r="AL34" s="214"/>
      <c r="AN34" s="243"/>
      <c r="AO34" s="520"/>
      <c r="AP34" s="205"/>
      <c r="AQ34" s="205"/>
      <c r="AR34" s="205"/>
      <c r="AS34" s="214"/>
      <c r="AU34" s="190"/>
      <c r="AW34" s="506">
        <f>SCHEDULES!$I$36</f>
        <v>0</v>
      </c>
      <c r="AX34" s="507">
        <f>SCHEDULES!$I$79</f>
        <v>0</v>
      </c>
      <c r="AY34" s="507">
        <f>SCHEDULES!$I$121</f>
        <v>0</v>
      </c>
      <c r="AZ34" s="507">
        <f>SCHEDULES!$I$162</f>
        <v>0</v>
      </c>
      <c r="BA34" s="507">
        <f>SCHEDULES!$I$203</f>
        <v>0</v>
      </c>
      <c r="BB34" s="507">
        <f>SCHEDULES!$I$244</f>
        <v>0</v>
      </c>
      <c r="BC34" s="303">
        <f>SCHEDULES!$I$285</f>
        <v>0</v>
      </c>
      <c r="BD34" s="243"/>
    </row>
    <row r="35" spans="2:75" ht="23.25" customHeight="1" x14ac:dyDescent="0.4">
      <c r="B35" s="273">
        <f t="shared" si="3"/>
        <v>0</v>
      </c>
      <c r="C35" s="311">
        <v>0.9375</v>
      </c>
      <c r="D35" s="274"/>
      <c r="E35" s="186"/>
      <c r="F35" s="187"/>
      <c r="G35" s="187"/>
      <c r="H35" s="187"/>
      <c r="I35" s="187"/>
      <c r="J35" s="187"/>
      <c r="K35" s="188"/>
      <c r="L35" s="275"/>
      <c r="M35" s="449"/>
      <c r="N35" s="450"/>
      <c r="O35" s="450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  <c r="AA35" s="451"/>
      <c r="AB35" s="451"/>
      <c r="AC35" s="452"/>
      <c r="AD35" s="217"/>
      <c r="AE35" s="215"/>
      <c r="AU35" s="190"/>
      <c r="AW35" s="508">
        <f>SCHEDULES!$I$37</f>
        <v>0</v>
      </c>
      <c r="AX35" s="509">
        <f>SCHEDULES!$I$80</f>
        <v>0</v>
      </c>
      <c r="AY35" s="509">
        <f>SCHEDULES!$I$122</f>
        <v>0</v>
      </c>
      <c r="AZ35" s="509">
        <f>SCHEDULES!$I$163</f>
        <v>0</v>
      </c>
      <c r="BA35" s="509">
        <f>SCHEDULES!$I$204</f>
        <v>0</v>
      </c>
      <c r="BB35" s="509">
        <f>SCHEDULES!$I$245</f>
        <v>0</v>
      </c>
      <c r="BC35" s="510">
        <f>SCHEDULES!$I$286</f>
        <v>0</v>
      </c>
      <c r="BD35" s="243"/>
    </row>
    <row r="36" spans="2:75" ht="23.25" customHeight="1" thickBot="1" x14ac:dyDescent="0.45">
      <c r="B36" s="278"/>
      <c r="C36" s="215"/>
      <c r="D36" s="189"/>
      <c r="E36" s="189"/>
      <c r="F36" s="189"/>
      <c r="G36" s="189"/>
      <c r="H36" s="189"/>
      <c r="I36" s="189"/>
      <c r="J36" s="189"/>
      <c r="K36" s="190"/>
      <c r="L36" s="189"/>
      <c r="M36" s="449"/>
      <c r="N36" s="450"/>
      <c r="O36" s="450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  <c r="AA36" s="451"/>
      <c r="AB36" s="451"/>
      <c r="AC36" s="452"/>
      <c r="AD36" s="217"/>
      <c r="AE36" s="215"/>
      <c r="AU36" s="190"/>
      <c r="AW36" s="215"/>
      <c r="BC36" s="190"/>
      <c r="BD36" s="243"/>
    </row>
    <row r="37" spans="2:75" ht="23.25" customHeight="1" thickBot="1" x14ac:dyDescent="0.45">
      <c r="B37" s="278">
        <f>MAX(E37:K37)</f>
        <v>0</v>
      </c>
      <c r="C37" s="215"/>
      <c r="D37" s="189"/>
      <c r="E37" s="191">
        <f t="shared" ref="E37:K37" si="17">SUM(E6:E35)/16</f>
        <v>0</v>
      </c>
      <c r="F37" s="191">
        <f t="shared" si="17"/>
        <v>0</v>
      </c>
      <c r="G37" s="191">
        <f t="shared" si="17"/>
        <v>0</v>
      </c>
      <c r="H37" s="191">
        <f t="shared" si="17"/>
        <v>0</v>
      </c>
      <c r="I37" s="192">
        <f t="shared" si="17"/>
        <v>0</v>
      </c>
      <c r="J37" s="191">
        <f t="shared" si="17"/>
        <v>0</v>
      </c>
      <c r="K37" s="193">
        <f t="shared" si="17"/>
        <v>0</v>
      </c>
      <c r="L37" s="189"/>
      <c r="M37" s="449"/>
      <c r="N37" s="450"/>
      <c r="O37" s="450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  <c r="AA37" s="451"/>
      <c r="AB37" s="451"/>
      <c r="AC37" s="452"/>
      <c r="AD37" s="217"/>
      <c r="AE37" s="215"/>
      <c r="AH37" s="208">
        <f t="shared" ref="AH37:AU37" si="18">SUM(AH6:AH30)</f>
        <v>0</v>
      </c>
      <c r="AI37" s="208">
        <f t="shared" si="18"/>
        <v>0</v>
      </c>
      <c r="AJ37" s="208">
        <f t="shared" si="18"/>
        <v>0</v>
      </c>
      <c r="AK37" s="208">
        <f t="shared" si="18"/>
        <v>0</v>
      </c>
      <c r="AL37" s="208">
        <f t="shared" si="18"/>
        <v>0</v>
      </c>
      <c r="AM37" s="208">
        <f t="shared" si="18"/>
        <v>0</v>
      </c>
      <c r="AN37" s="208">
        <f t="shared" si="18"/>
        <v>0</v>
      </c>
      <c r="AO37" s="208">
        <f t="shared" si="18"/>
        <v>0</v>
      </c>
      <c r="AP37" s="208">
        <f t="shared" si="18"/>
        <v>0</v>
      </c>
      <c r="AQ37" s="208">
        <f t="shared" si="18"/>
        <v>0</v>
      </c>
      <c r="AR37" s="209">
        <f t="shared" si="18"/>
        <v>0</v>
      </c>
      <c r="AS37" s="210">
        <f t="shared" si="18"/>
        <v>0</v>
      </c>
      <c r="AT37" s="208">
        <f t="shared" si="18"/>
        <v>0</v>
      </c>
      <c r="AU37" s="211">
        <f t="shared" si="18"/>
        <v>0</v>
      </c>
      <c r="AW37" s="279">
        <f t="shared" ref="AW37:BC37" si="19">W20-E37</f>
        <v>0</v>
      </c>
      <c r="AX37" s="280">
        <f t="shared" si="19"/>
        <v>0</v>
      </c>
      <c r="AY37" s="280">
        <f t="shared" si="19"/>
        <v>0</v>
      </c>
      <c r="AZ37" s="280">
        <f t="shared" si="19"/>
        <v>0</v>
      </c>
      <c r="BA37" s="280">
        <f t="shared" si="19"/>
        <v>0</v>
      </c>
      <c r="BB37" s="280">
        <f t="shared" si="19"/>
        <v>0</v>
      </c>
      <c r="BC37" s="281">
        <f t="shared" si="19"/>
        <v>0</v>
      </c>
      <c r="BD37" s="243"/>
    </row>
    <row r="38" spans="2:75" ht="23.25" customHeight="1" x14ac:dyDescent="0.4">
      <c r="B38" s="227"/>
      <c r="C38" s="215"/>
      <c r="D38" s="189"/>
      <c r="E38" s="189"/>
      <c r="F38" s="189"/>
      <c r="G38" s="189"/>
      <c r="H38" s="189"/>
      <c r="I38" s="189"/>
      <c r="J38" s="189"/>
      <c r="K38" s="190"/>
      <c r="L38" s="189"/>
      <c r="M38" s="449"/>
      <c r="N38" s="450"/>
      <c r="O38" s="450"/>
      <c r="P38" s="451"/>
      <c r="Q38" s="451"/>
      <c r="R38" s="451"/>
      <c r="S38" s="451"/>
      <c r="T38" s="451"/>
      <c r="U38" s="451"/>
      <c r="V38" s="451"/>
      <c r="W38" s="488">
        <f t="shared" ref="W38:AC38" si="20">SUM(W6:W9)</f>
        <v>0</v>
      </c>
      <c r="X38" s="489">
        <f t="shared" si="20"/>
        <v>0</v>
      </c>
      <c r="Y38" s="489">
        <f t="shared" si="20"/>
        <v>0</v>
      </c>
      <c r="Z38" s="489">
        <f t="shared" si="20"/>
        <v>0</v>
      </c>
      <c r="AA38" s="489">
        <f t="shared" si="20"/>
        <v>0</v>
      </c>
      <c r="AB38" s="489">
        <f t="shared" si="20"/>
        <v>0</v>
      </c>
      <c r="AC38" s="490">
        <f t="shared" si="20"/>
        <v>0</v>
      </c>
      <c r="AD38" s="217"/>
      <c r="AE38" s="459"/>
      <c r="AF38" s="460"/>
      <c r="AG38" s="460"/>
      <c r="AH38" s="488">
        <f>SUM(AH6:AH9)</f>
        <v>0</v>
      </c>
      <c r="AI38" s="489">
        <f t="shared" ref="AI38:AU38" si="21">SUM(AI6:AI9)</f>
        <v>0</v>
      </c>
      <c r="AJ38" s="489">
        <f t="shared" si="21"/>
        <v>0</v>
      </c>
      <c r="AK38" s="489">
        <f t="shared" si="21"/>
        <v>0</v>
      </c>
      <c r="AL38" s="489">
        <f t="shared" si="21"/>
        <v>0</v>
      </c>
      <c r="AM38" s="489">
        <f t="shared" si="21"/>
        <v>0</v>
      </c>
      <c r="AN38" s="511">
        <f t="shared" si="21"/>
        <v>0</v>
      </c>
      <c r="AO38" s="489">
        <f t="shared" si="21"/>
        <v>0</v>
      </c>
      <c r="AP38" s="489">
        <f t="shared" si="21"/>
        <v>0</v>
      </c>
      <c r="AQ38" s="489">
        <f t="shared" si="21"/>
        <v>0</v>
      </c>
      <c r="AR38" s="489">
        <f t="shared" si="21"/>
        <v>0</v>
      </c>
      <c r="AS38" s="489">
        <f t="shared" si="21"/>
        <v>0</v>
      </c>
      <c r="AT38" s="489">
        <f t="shared" si="21"/>
        <v>0</v>
      </c>
      <c r="AU38" s="490">
        <f t="shared" si="21"/>
        <v>0</v>
      </c>
      <c r="AW38" s="215"/>
      <c r="BC38" s="190"/>
      <c r="BD38" s="243"/>
    </row>
    <row r="39" spans="2:75" ht="23.25" customHeight="1" x14ac:dyDescent="0.4">
      <c r="B39" s="282">
        <f>MAX(E39:K39)</f>
        <v>0</v>
      </c>
      <c r="C39" s="215"/>
      <c r="D39" s="189"/>
      <c r="E39" s="189"/>
      <c r="F39" s="189"/>
      <c r="G39" s="189"/>
      <c r="H39" s="189"/>
      <c r="I39" s="189"/>
      <c r="J39" s="189"/>
      <c r="K39" s="190"/>
      <c r="L39" s="189"/>
      <c r="M39" s="449"/>
      <c r="N39" s="450"/>
      <c r="O39" s="450"/>
      <c r="P39" s="451"/>
      <c r="Q39" s="451"/>
      <c r="R39" s="451"/>
      <c r="S39" s="451"/>
      <c r="T39" s="451"/>
      <c r="U39" s="451"/>
      <c r="V39" s="451"/>
      <c r="W39" s="491">
        <f t="shared" ref="W39:AC39" si="22">SUM(W10:W14)</f>
        <v>0</v>
      </c>
      <c r="X39" s="492">
        <f t="shared" si="22"/>
        <v>0</v>
      </c>
      <c r="Y39" s="492">
        <f t="shared" si="22"/>
        <v>0</v>
      </c>
      <c r="Z39" s="492">
        <f t="shared" si="22"/>
        <v>0</v>
      </c>
      <c r="AA39" s="492">
        <f t="shared" si="22"/>
        <v>0</v>
      </c>
      <c r="AB39" s="492">
        <f t="shared" si="22"/>
        <v>0</v>
      </c>
      <c r="AC39" s="493">
        <f t="shared" si="22"/>
        <v>0</v>
      </c>
      <c r="AE39" s="459"/>
      <c r="AF39" s="460"/>
      <c r="AG39" s="460"/>
      <c r="AH39" s="491">
        <f>SUM(AH10:AH13)</f>
        <v>0</v>
      </c>
      <c r="AI39" s="492">
        <f t="shared" ref="AI39:AU39" si="23">SUM(AI10:AI13)</f>
        <v>0</v>
      </c>
      <c r="AJ39" s="492">
        <f t="shared" si="23"/>
        <v>0</v>
      </c>
      <c r="AK39" s="492">
        <f t="shared" si="23"/>
        <v>0</v>
      </c>
      <c r="AL39" s="492">
        <f t="shared" si="23"/>
        <v>0</v>
      </c>
      <c r="AM39" s="492">
        <f t="shared" si="23"/>
        <v>0</v>
      </c>
      <c r="AN39" s="512">
        <f t="shared" si="23"/>
        <v>0</v>
      </c>
      <c r="AO39" s="492">
        <f t="shared" si="23"/>
        <v>0</v>
      </c>
      <c r="AP39" s="492">
        <f t="shared" si="23"/>
        <v>0</v>
      </c>
      <c r="AQ39" s="492">
        <f t="shared" si="23"/>
        <v>0</v>
      </c>
      <c r="AR39" s="492">
        <f t="shared" si="23"/>
        <v>0</v>
      </c>
      <c r="AS39" s="492">
        <f t="shared" si="23"/>
        <v>0</v>
      </c>
      <c r="AT39" s="492">
        <f t="shared" si="23"/>
        <v>0</v>
      </c>
      <c r="AU39" s="493">
        <f t="shared" si="23"/>
        <v>0</v>
      </c>
      <c r="AW39" s="215"/>
      <c r="BC39" s="190"/>
      <c r="BD39" s="243"/>
    </row>
    <row r="40" spans="2:75" ht="23.25" customHeight="1" thickBot="1" x14ac:dyDescent="0.45">
      <c r="B40" s="227"/>
      <c r="C40" s="284"/>
      <c r="D40" s="285"/>
      <c r="E40" s="285"/>
      <c r="F40" s="285"/>
      <c r="G40" s="285"/>
      <c r="H40" s="285"/>
      <c r="I40" s="285"/>
      <c r="J40" s="285"/>
      <c r="K40" s="286"/>
      <c r="L40" s="189"/>
      <c r="M40" s="453"/>
      <c r="N40" s="454"/>
      <c r="O40" s="454"/>
      <c r="P40" s="455"/>
      <c r="Q40" s="455"/>
      <c r="R40" s="455"/>
      <c r="S40" s="455"/>
      <c r="T40" s="455"/>
      <c r="U40" s="455"/>
      <c r="V40" s="455"/>
      <c r="W40" s="494">
        <f t="shared" ref="W40:AC40" si="24">SUM(W15:W19)</f>
        <v>0</v>
      </c>
      <c r="X40" s="495">
        <f t="shared" si="24"/>
        <v>0</v>
      </c>
      <c r="Y40" s="495">
        <f t="shared" si="24"/>
        <v>0</v>
      </c>
      <c r="Z40" s="495">
        <f t="shared" si="24"/>
        <v>0</v>
      </c>
      <c r="AA40" s="495">
        <f t="shared" si="24"/>
        <v>0</v>
      </c>
      <c r="AB40" s="495">
        <f t="shared" si="24"/>
        <v>0</v>
      </c>
      <c r="AC40" s="496">
        <f t="shared" si="24"/>
        <v>0</v>
      </c>
      <c r="AE40" s="461"/>
      <c r="AF40" s="462"/>
      <c r="AG40" s="463"/>
      <c r="AH40" s="494">
        <f>SUM(AH15:AH28)</f>
        <v>0</v>
      </c>
      <c r="AI40" s="495">
        <f t="shared" ref="AI40:AU40" si="25">SUM(AI15:AI28)</f>
        <v>0</v>
      </c>
      <c r="AJ40" s="495">
        <f t="shared" si="25"/>
        <v>0</v>
      </c>
      <c r="AK40" s="495">
        <f t="shared" si="25"/>
        <v>0</v>
      </c>
      <c r="AL40" s="495">
        <f t="shared" si="25"/>
        <v>0</v>
      </c>
      <c r="AM40" s="495">
        <f t="shared" si="25"/>
        <v>0</v>
      </c>
      <c r="AN40" s="513">
        <f t="shared" si="25"/>
        <v>0</v>
      </c>
      <c r="AO40" s="495">
        <f t="shared" si="25"/>
        <v>0</v>
      </c>
      <c r="AP40" s="495">
        <f t="shared" si="25"/>
        <v>0</v>
      </c>
      <c r="AQ40" s="495">
        <f t="shared" si="25"/>
        <v>0</v>
      </c>
      <c r="AR40" s="495">
        <f t="shared" si="25"/>
        <v>0</v>
      </c>
      <c r="AS40" s="495">
        <f t="shared" si="25"/>
        <v>0</v>
      </c>
      <c r="AT40" s="495">
        <f t="shared" si="25"/>
        <v>0</v>
      </c>
      <c r="AU40" s="496">
        <f t="shared" si="25"/>
        <v>0</v>
      </c>
      <c r="AW40" s="287"/>
      <c r="AX40" s="285"/>
      <c r="AY40" s="285"/>
      <c r="AZ40" s="285"/>
      <c r="BA40" s="285"/>
      <c r="BB40" s="285"/>
      <c r="BC40" s="286"/>
      <c r="BD40" s="243"/>
    </row>
    <row r="41" spans="2:75" ht="23.25" customHeight="1" x14ac:dyDescent="0.4">
      <c r="B41" s="288"/>
      <c r="D41" s="189"/>
      <c r="E41" s="189"/>
      <c r="F41" s="189"/>
      <c r="G41" s="189"/>
      <c r="H41" s="189"/>
      <c r="I41" s="189"/>
      <c r="J41" s="189"/>
      <c r="K41" s="189"/>
      <c r="N41" s="217"/>
      <c r="O41" s="270"/>
      <c r="AE41" s="289"/>
      <c r="AF41" s="290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BD41" s="243"/>
    </row>
    <row r="42" spans="2:75" ht="17.25" customHeight="1" x14ac:dyDescent="0.4">
      <c r="B42" s="288"/>
      <c r="C42" s="289"/>
      <c r="D42" s="290"/>
      <c r="E42" s="283"/>
      <c r="F42" s="283"/>
      <c r="G42" s="283"/>
      <c r="H42" s="283"/>
      <c r="I42" s="283"/>
      <c r="J42" s="283"/>
      <c r="K42" s="283"/>
      <c r="N42" s="217"/>
      <c r="O42" s="217"/>
      <c r="BD42" s="243"/>
    </row>
    <row r="43" spans="2:75" ht="14.25" customHeight="1" thickBot="1" x14ac:dyDescent="0.45">
      <c r="B43" s="291"/>
      <c r="C43" s="218"/>
      <c r="D43" s="218"/>
      <c r="E43" s="218"/>
      <c r="F43" s="218"/>
      <c r="G43" s="218"/>
      <c r="H43" s="218"/>
      <c r="I43" s="218"/>
      <c r="J43" s="218"/>
      <c r="K43" s="218"/>
      <c r="L43" s="219"/>
      <c r="M43" s="219"/>
      <c r="N43" s="219"/>
      <c r="O43" s="219"/>
      <c r="P43" s="218"/>
      <c r="Q43" s="218"/>
      <c r="R43" s="218"/>
      <c r="S43" s="218"/>
      <c r="T43" s="218"/>
      <c r="U43" s="218"/>
      <c r="V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BD43" s="243"/>
    </row>
    <row r="44" spans="2:75" ht="23.25" customHeight="1" x14ac:dyDescent="0.4">
      <c r="B44" s="227"/>
      <c r="C44" s="228"/>
      <c r="D44" s="229"/>
      <c r="E44" s="230"/>
      <c r="F44" s="231"/>
      <c r="G44" s="231"/>
      <c r="H44" s="516" t="s">
        <v>41</v>
      </c>
      <c r="I44" s="231"/>
      <c r="J44" s="231"/>
      <c r="K44" s="232"/>
      <c r="L44" s="233"/>
      <c r="M44" s="234" t="s">
        <v>10</v>
      </c>
      <c r="N44" s="235"/>
      <c r="O44" s="229"/>
      <c r="P44" s="230"/>
      <c r="Q44" s="231"/>
      <c r="R44" s="231"/>
      <c r="S44" s="231"/>
      <c r="T44" s="231"/>
      <c r="U44" s="231"/>
      <c r="V44" s="236"/>
      <c r="W44" s="230"/>
      <c r="X44" s="231"/>
      <c r="Y44" s="231"/>
      <c r="Z44" s="240" t="s">
        <v>36</v>
      </c>
      <c r="AA44" s="231"/>
      <c r="AB44" s="231"/>
      <c r="AC44" s="232"/>
      <c r="AD44" s="217"/>
      <c r="AE44" s="237"/>
      <c r="AF44" s="238"/>
      <c r="AG44" s="239"/>
      <c r="AH44" s="230"/>
      <c r="AI44" s="231"/>
      <c r="AJ44" s="231"/>
      <c r="AK44" s="240" t="s">
        <v>33</v>
      </c>
      <c r="AL44" s="231"/>
      <c r="AM44" s="231"/>
      <c r="AN44" s="236"/>
      <c r="AO44" s="230"/>
      <c r="AP44" s="231"/>
      <c r="AQ44" s="231"/>
      <c r="AR44" s="240" t="s">
        <v>34</v>
      </c>
      <c r="AS44" s="231"/>
      <c r="AT44" s="231"/>
      <c r="AU44" s="232"/>
      <c r="AW44" s="241"/>
      <c r="AX44" s="231"/>
      <c r="AY44" s="231"/>
      <c r="AZ44" s="242" t="s">
        <v>30</v>
      </c>
      <c r="BA44" s="231"/>
      <c r="BB44" s="231"/>
      <c r="BC44" s="232"/>
      <c r="BD44" s="243"/>
    </row>
    <row r="45" spans="2:75" ht="23.25" customHeight="1" x14ac:dyDescent="0.4">
      <c r="B45" s="244"/>
      <c r="C45" s="245">
        <v>40299</v>
      </c>
      <c r="D45" s="246"/>
      <c r="E45" s="247" t="s">
        <v>23</v>
      </c>
      <c r="F45" s="248" t="s">
        <v>24</v>
      </c>
      <c r="G45" s="248" t="s">
        <v>25</v>
      </c>
      <c r="H45" s="248" t="s">
        <v>26</v>
      </c>
      <c r="I45" s="248" t="s">
        <v>27</v>
      </c>
      <c r="J45" s="248" t="s">
        <v>28</v>
      </c>
      <c r="K45" s="249" t="s">
        <v>29</v>
      </c>
      <c r="L45" s="250"/>
      <c r="M45" s="251" t="s">
        <v>2</v>
      </c>
      <c r="N45" s="252" t="s">
        <v>3</v>
      </c>
      <c r="O45" s="253"/>
      <c r="P45" s="247" t="s">
        <v>23</v>
      </c>
      <c r="Q45" s="248" t="s">
        <v>24</v>
      </c>
      <c r="R45" s="248" t="s">
        <v>25</v>
      </c>
      <c r="S45" s="248" t="s">
        <v>26</v>
      </c>
      <c r="T45" s="248" t="s">
        <v>27</v>
      </c>
      <c r="U45" s="248" t="s">
        <v>28</v>
      </c>
      <c r="V45" s="254" t="s">
        <v>29</v>
      </c>
      <c r="W45" s="247" t="s">
        <v>23</v>
      </c>
      <c r="X45" s="248" t="s">
        <v>24</v>
      </c>
      <c r="Y45" s="248" t="s">
        <v>25</v>
      </c>
      <c r="Z45" s="248" t="s">
        <v>26</v>
      </c>
      <c r="AA45" s="248" t="s">
        <v>27</v>
      </c>
      <c r="AB45" s="248" t="s">
        <v>28</v>
      </c>
      <c r="AC45" s="249" t="s">
        <v>29</v>
      </c>
      <c r="AD45" s="217"/>
      <c r="AE45" s="255" t="s">
        <v>2</v>
      </c>
      <c r="AF45" s="256" t="s">
        <v>3</v>
      </c>
      <c r="AH45" s="247" t="s">
        <v>23</v>
      </c>
      <c r="AI45" s="248" t="s">
        <v>24</v>
      </c>
      <c r="AJ45" s="248" t="s">
        <v>25</v>
      </c>
      <c r="AK45" s="248" t="s">
        <v>26</v>
      </c>
      <c r="AL45" s="248" t="s">
        <v>27</v>
      </c>
      <c r="AM45" s="248" t="s">
        <v>28</v>
      </c>
      <c r="AN45" s="254" t="s">
        <v>29</v>
      </c>
      <c r="AO45" s="247" t="s">
        <v>23</v>
      </c>
      <c r="AP45" s="248" t="s">
        <v>24</v>
      </c>
      <c r="AQ45" s="248" t="s">
        <v>25</v>
      </c>
      <c r="AR45" s="248" t="s">
        <v>26</v>
      </c>
      <c r="AS45" s="248" t="s">
        <v>27</v>
      </c>
      <c r="AT45" s="248" t="s">
        <v>28</v>
      </c>
      <c r="AU45" s="249" t="s">
        <v>29</v>
      </c>
      <c r="AW45" s="257" t="s">
        <v>23</v>
      </c>
      <c r="AX45" s="248" t="s">
        <v>24</v>
      </c>
      <c r="AY45" s="248" t="s">
        <v>25</v>
      </c>
      <c r="AZ45" s="248" t="s">
        <v>26</v>
      </c>
      <c r="BA45" s="248" t="s">
        <v>27</v>
      </c>
      <c r="BB45" s="248" t="s">
        <v>28</v>
      </c>
      <c r="BC45" s="249"/>
      <c r="BD45" s="243"/>
    </row>
    <row r="46" spans="2:75" s="258" customFormat="1" ht="23.25" customHeight="1" x14ac:dyDescent="0.4">
      <c r="B46" s="259"/>
      <c r="C46" s="260" t="s">
        <v>4</v>
      </c>
      <c r="D46" s="261"/>
      <c r="E46" s="263">
        <f t="shared" ref="E46:K46" si="26">MAX(E47:E76)</f>
        <v>0</v>
      </c>
      <c r="F46" s="263">
        <f t="shared" si="26"/>
        <v>0</v>
      </c>
      <c r="G46" s="263">
        <f t="shared" si="26"/>
        <v>0</v>
      </c>
      <c r="H46" s="263">
        <f t="shared" si="26"/>
        <v>0</v>
      </c>
      <c r="I46" s="263">
        <f t="shared" si="26"/>
        <v>0</v>
      </c>
      <c r="J46" s="263">
        <f t="shared" si="26"/>
        <v>0</v>
      </c>
      <c r="K46" s="264">
        <f t="shared" si="26"/>
        <v>0</v>
      </c>
      <c r="L46" s="262"/>
      <c r="M46" s="265"/>
      <c r="N46" s="266"/>
      <c r="O46" s="267"/>
      <c r="P46" s="262">
        <f t="shared" ref="P46:V46" si="27">MAX(P47:P60)</f>
        <v>0</v>
      </c>
      <c r="Q46" s="262">
        <f t="shared" si="27"/>
        <v>0</v>
      </c>
      <c r="R46" s="262">
        <f t="shared" si="27"/>
        <v>0</v>
      </c>
      <c r="S46" s="262">
        <f t="shared" si="27"/>
        <v>0</v>
      </c>
      <c r="T46" s="262">
        <f t="shared" si="27"/>
        <v>0</v>
      </c>
      <c r="U46" s="262">
        <f t="shared" si="27"/>
        <v>0</v>
      </c>
      <c r="V46" s="262">
        <f t="shared" si="27"/>
        <v>0</v>
      </c>
      <c r="W46" s="442"/>
      <c r="X46" s="442"/>
      <c r="Y46" s="442"/>
      <c r="Z46" s="443" t="s">
        <v>5</v>
      </c>
      <c r="AA46" s="442"/>
      <c r="AB46" s="442"/>
      <c r="AC46" s="444"/>
      <c r="AD46" s="445"/>
      <c r="AE46" s="446"/>
      <c r="AF46" s="447"/>
      <c r="AG46" s="448"/>
      <c r="AH46" s="523" t="s">
        <v>45</v>
      </c>
      <c r="AI46" s="442"/>
      <c r="AJ46" s="443"/>
      <c r="AK46" s="522"/>
      <c r="AL46" s="442"/>
      <c r="AM46" s="524" t="s">
        <v>44</v>
      </c>
      <c r="AN46" s="525" t="s">
        <v>44</v>
      </c>
      <c r="AO46" s="442"/>
      <c r="AP46" s="442"/>
      <c r="AQ46" s="442"/>
      <c r="AR46" s="267"/>
      <c r="AS46" s="189"/>
      <c r="AT46" s="524" t="s">
        <v>42</v>
      </c>
      <c r="AU46" s="527" t="s">
        <v>42</v>
      </c>
      <c r="AV46" s="189"/>
      <c r="AW46" s="271">
        <f t="shared" ref="AW46:BC46" si="28">MAX(AW47:AW76)</f>
        <v>0</v>
      </c>
      <c r="AX46" s="268">
        <f t="shared" si="28"/>
        <v>0</v>
      </c>
      <c r="AY46" s="268">
        <f t="shared" si="28"/>
        <v>0</v>
      </c>
      <c r="AZ46" s="268">
        <f t="shared" si="28"/>
        <v>0</v>
      </c>
      <c r="BA46" s="268">
        <f t="shared" si="28"/>
        <v>0</v>
      </c>
      <c r="BB46" s="268">
        <f t="shared" si="28"/>
        <v>0</v>
      </c>
      <c r="BC46" s="272">
        <f t="shared" si="28"/>
        <v>0</v>
      </c>
      <c r="BD46" s="243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</row>
    <row r="47" spans="2:75" ht="23.25" customHeight="1" x14ac:dyDescent="0.4">
      <c r="B47" s="273"/>
      <c r="C47" s="310">
        <v>0.33333333333333331</v>
      </c>
      <c r="D47" s="274"/>
      <c r="E47" s="503">
        <f>ORISCHE!$I$8</f>
        <v>0</v>
      </c>
      <c r="F47" s="504">
        <f>ORISCHE!$I$51</f>
        <v>0</v>
      </c>
      <c r="G47" s="504">
        <f>ORISCHE!$I$93</f>
        <v>0</v>
      </c>
      <c r="H47" s="504">
        <f>ORISCHE!$I$134</f>
        <v>0</v>
      </c>
      <c r="I47" s="504">
        <f>ORISCHE!$I$175</f>
        <v>0</v>
      </c>
      <c r="J47" s="504">
        <f>ORISCHE!$I$216</f>
        <v>0</v>
      </c>
      <c r="K47" s="505">
        <f>ORISCHE!$I$257</f>
        <v>0</v>
      </c>
      <c r="L47" s="275"/>
      <c r="M47" s="310">
        <v>0.33333333333333331</v>
      </c>
      <c r="N47" s="311">
        <v>0.6875</v>
      </c>
      <c r="O47" s="276"/>
      <c r="P47" s="194">
        <f>IF($E$6&lt;0,0,$E$6)</f>
        <v>0</v>
      </c>
      <c r="Q47" s="195">
        <f>IF($F$6&lt;0,0,$F$6)</f>
        <v>0</v>
      </c>
      <c r="R47" s="195">
        <f>IF($G$6&lt;0,0,$G$6)</f>
        <v>0</v>
      </c>
      <c r="S47" s="195">
        <f>IF($H$6&lt;0,0,$H$6)</f>
        <v>0</v>
      </c>
      <c r="T47" s="195">
        <f>IF($I$6&lt;0,0,$I$6)</f>
        <v>0</v>
      </c>
      <c r="U47" s="195"/>
      <c r="V47" s="196"/>
      <c r="W47" s="183"/>
      <c r="X47" s="197"/>
      <c r="Y47" s="197"/>
      <c r="Z47" s="197"/>
      <c r="AA47" s="212"/>
      <c r="AB47" s="489"/>
      <c r="AC47" s="490"/>
      <c r="AD47" s="217"/>
      <c r="AE47" s="311">
        <v>0.29166666666424135</v>
      </c>
      <c r="AF47" s="313">
        <v>0.45833333333333331</v>
      </c>
      <c r="AH47" s="183"/>
      <c r="AI47" s="197"/>
      <c r="AJ47" s="197"/>
      <c r="AK47" s="197"/>
      <c r="AL47" s="212"/>
      <c r="AM47" s="524" t="s">
        <v>43</v>
      </c>
      <c r="AN47" s="526" t="s">
        <v>43</v>
      </c>
      <c r="AO47" s="518"/>
      <c r="AP47" s="197"/>
      <c r="AQ47" s="197"/>
      <c r="AR47" s="197"/>
      <c r="AS47" s="212"/>
      <c r="AT47" s="524" t="s">
        <v>43</v>
      </c>
      <c r="AU47" s="528" t="s">
        <v>43</v>
      </c>
      <c r="AW47" s="293">
        <f>NEWSCHEDULES!$I$8</f>
        <v>0</v>
      </c>
      <c r="AX47" s="294">
        <f>NEWSCHEDULES!$I$51</f>
        <v>0</v>
      </c>
      <c r="AY47" s="294">
        <f>NEWSCHEDULES!$I$93</f>
        <v>0</v>
      </c>
      <c r="AZ47" s="294">
        <f>NEWSCHEDULES!$I$134</f>
        <v>0</v>
      </c>
      <c r="BA47" s="294">
        <f>NEWSCHEDULES!$I$175</f>
        <v>0</v>
      </c>
      <c r="BB47" s="294">
        <f>NEWSCHEDULES!$I$216</f>
        <v>0</v>
      </c>
      <c r="BC47" s="295">
        <f>NEWSCHEDULES!$I$257</f>
        <v>0</v>
      </c>
      <c r="BD47" s="243"/>
    </row>
    <row r="48" spans="2:75" ht="23.25" customHeight="1" x14ac:dyDescent="0.4">
      <c r="B48" s="273"/>
      <c r="C48" s="311">
        <v>0.35416666666666669</v>
      </c>
      <c r="D48" s="274"/>
      <c r="E48" s="506">
        <f>ORISCHE!$I$9</f>
        <v>0</v>
      </c>
      <c r="F48" s="507">
        <f>ORISCHE!$I$52</f>
        <v>0</v>
      </c>
      <c r="G48" s="507">
        <f>ORISCHE!$I$94</f>
        <v>0</v>
      </c>
      <c r="H48" s="507">
        <f>ORISCHE!$I$135</f>
        <v>0</v>
      </c>
      <c r="I48" s="507">
        <f>ORISCHE!$I$176</f>
        <v>0</v>
      </c>
      <c r="J48" s="507">
        <f>ORISCHE!$I$217</f>
        <v>0</v>
      </c>
      <c r="K48" s="303">
        <f>ORISCHE!$I$258</f>
        <v>0</v>
      </c>
      <c r="L48" s="275"/>
      <c r="M48" s="311">
        <v>0.35416666666666669</v>
      </c>
      <c r="N48" s="311">
        <v>0.70833333333333337</v>
      </c>
      <c r="O48" s="276"/>
      <c r="P48" s="198">
        <f>IF(($E$7-$E$6)&lt;0,0,$E$7-$E$6)</f>
        <v>0</v>
      </c>
      <c r="Q48" s="199">
        <f>IF(($F$7-$F$6)&lt;0,0,$F$7-$F$6)</f>
        <v>0</v>
      </c>
      <c r="R48" s="199">
        <f>IF(($G$7-$G$6)&lt;0,0,$G$7-$G$6)</f>
        <v>0</v>
      </c>
      <c r="S48" s="199">
        <f>IF(($H$7-$H$6)&lt;0,0,$H$7-$H$6)</f>
        <v>0</v>
      </c>
      <c r="T48" s="199">
        <f>IF(($I$7-$I$6)&lt;0,0,$I$7-$I$6)</f>
        <v>0</v>
      </c>
      <c r="U48" s="199"/>
      <c r="V48" s="200"/>
      <c r="W48" s="186"/>
      <c r="X48" s="187"/>
      <c r="Y48" s="187"/>
      <c r="Z48" s="187"/>
      <c r="AA48" s="213"/>
      <c r="AB48" s="530"/>
      <c r="AC48" s="531"/>
      <c r="AD48" s="217"/>
      <c r="AE48" s="311">
        <v>0.3125</v>
      </c>
      <c r="AF48" s="313">
        <v>0.47916666666666669</v>
      </c>
      <c r="AH48" s="186"/>
      <c r="AI48" s="187"/>
      <c r="AJ48" s="187"/>
      <c r="AK48" s="187"/>
      <c r="AL48" s="213"/>
      <c r="AM48" s="218"/>
      <c r="AN48" s="292"/>
      <c r="AO48" s="519"/>
      <c r="AP48" s="187"/>
      <c r="AQ48" s="187"/>
      <c r="AR48" s="187"/>
      <c r="AS48" s="213"/>
      <c r="AT48" s="218"/>
      <c r="AU48" s="517"/>
      <c r="AW48" s="296">
        <f>NEWSCHEDULES!$I$9</f>
        <v>0</v>
      </c>
      <c r="AX48" s="297">
        <f>NEWSCHEDULES!$I$52</f>
        <v>0</v>
      </c>
      <c r="AY48" s="297">
        <f>NEWSCHEDULES!$I$94</f>
        <v>0</v>
      </c>
      <c r="AZ48" s="297">
        <f>NEWSCHEDULES!$I$135</f>
        <v>0</v>
      </c>
      <c r="BA48" s="297">
        <f>NEWSCHEDULES!$I$176</f>
        <v>0</v>
      </c>
      <c r="BB48" s="297">
        <f>NEWSCHEDULES!$I$217</f>
        <v>0</v>
      </c>
      <c r="BC48" s="298">
        <f>NEWSCHEDULES!$I$258</f>
        <v>0</v>
      </c>
      <c r="BD48" s="243"/>
    </row>
    <row r="49" spans="2:56" ht="23.25" customHeight="1" x14ac:dyDescent="0.4">
      <c r="B49" s="273"/>
      <c r="C49" s="311">
        <v>0.375</v>
      </c>
      <c r="D49" s="274"/>
      <c r="E49" s="506">
        <f>ORISCHE!$I$10</f>
        <v>0</v>
      </c>
      <c r="F49" s="507">
        <f>ORISCHE!$I$53</f>
        <v>0</v>
      </c>
      <c r="G49" s="507">
        <f>ORISCHE!$I$95</f>
        <v>0</v>
      </c>
      <c r="H49" s="507">
        <f>ORISCHE!$I$136</f>
        <v>0</v>
      </c>
      <c r="I49" s="507">
        <f>ORISCHE!$I$177</f>
        <v>0</v>
      </c>
      <c r="J49" s="507">
        <f>ORISCHE!$I$218</f>
        <v>0</v>
      </c>
      <c r="K49" s="303">
        <f>ORISCHE!$I$259</f>
        <v>0</v>
      </c>
      <c r="L49" s="275"/>
      <c r="M49" s="311">
        <v>0.375</v>
      </c>
      <c r="N49" s="311">
        <v>0.72916666666666663</v>
      </c>
      <c r="O49" s="276"/>
      <c r="P49" s="198">
        <f>IF(($E$8-$E$7)&lt;0,0,$E$8-$E$7)</f>
        <v>0</v>
      </c>
      <c r="Q49" s="199">
        <f>IF(($F$8-$F$7)&lt;0,0,$F$8-$F$7)</f>
        <v>0</v>
      </c>
      <c r="R49" s="199">
        <f>IF(($G$8-$G$7)&lt;0,0,$G$8-$G$7)</f>
        <v>0</v>
      </c>
      <c r="S49" s="199">
        <f>IF(($H$8-$H$7)&lt;0,0,$H$8-$H$7)</f>
        <v>0</v>
      </c>
      <c r="T49" s="199">
        <f>IF(($I$8-$I$7)&lt;0,0,$I$8-$I$7)</f>
        <v>0</v>
      </c>
      <c r="U49" s="199">
        <f>$J$8</f>
        <v>0</v>
      </c>
      <c r="V49" s="199">
        <f>$K$8</f>
        <v>0</v>
      </c>
      <c r="W49" s="186"/>
      <c r="X49" s="187"/>
      <c r="Y49" s="187"/>
      <c r="Z49" s="187"/>
      <c r="AA49" s="529"/>
      <c r="AB49" s="184"/>
      <c r="AC49" s="185"/>
      <c r="AD49" s="217"/>
      <c r="AE49" s="311">
        <v>0.33333333333575899</v>
      </c>
      <c r="AF49" s="313">
        <v>0.5</v>
      </c>
      <c r="AH49" s="186"/>
      <c r="AI49" s="187"/>
      <c r="AJ49" s="187"/>
      <c r="AK49" s="187"/>
      <c r="AL49" s="187"/>
      <c r="AM49" s="184"/>
      <c r="AN49" s="521"/>
      <c r="AO49" s="519"/>
      <c r="AP49" s="187"/>
      <c r="AQ49" s="187"/>
      <c r="AR49" s="187"/>
      <c r="AS49" s="187"/>
      <c r="AT49" s="184"/>
      <c r="AU49" s="185"/>
      <c r="AW49" s="296">
        <f>NEWSCHEDULES!$I$10</f>
        <v>0</v>
      </c>
      <c r="AX49" s="297">
        <f>NEWSCHEDULES!$I$53</f>
        <v>0</v>
      </c>
      <c r="AY49" s="297">
        <f>NEWSCHEDULES!$I$95</f>
        <v>0</v>
      </c>
      <c r="AZ49" s="297">
        <f>NEWSCHEDULES!$I$136</f>
        <v>0</v>
      </c>
      <c r="BA49" s="297">
        <f>NEWSCHEDULES!$I$177</f>
        <v>0</v>
      </c>
      <c r="BB49" s="297">
        <f>NEWSCHEDULES!$I$218</f>
        <v>0</v>
      </c>
      <c r="BC49" s="298">
        <f>NEWSCHEDULES!$I$259</f>
        <v>0</v>
      </c>
      <c r="BD49" s="243"/>
    </row>
    <row r="50" spans="2:56" ht="23.25" customHeight="1" x14ac:dyDescent="0.4">
      <c r="B50" s="273"/>
      <c r="C50" s="311">
        <v>0.39583333333333331</v>
      </c>
      <c r="D50" s="274"/>
      <c r="E50" s="506">
        <f>ORISCHE!$I$11</f>
        <v>0</v>
      </c>
      <c r="F50" s="507">
        <f>ORISCHE!$I$54</f>
        <v>0</v>
      </c>
      <c r="G50" s="507">
        <f>ORISCHE!$I$96</f>
        <v>0</v>
      </c>
      <c r="H50" s="507">
        <f>ORISCHE!$I$137</f>
        <v>0</v>
      </c>
      <c r="I50" s="507">
        <f>ORISCHE!$I$178</f>
        <v>0</v>
      </c>
      <c r="J50" s="507">
        <f>ORISCHE!$I$219</f>
        <v>0</v>
      </c>
      <c r="K50" s="303">
        <f>ORISCHE!$I$260</f>
        <v>0</v>
      </c>
      <c r="L50" s="275"/>
      <c r="M50" s="311">
        <v>0.39583333333333331</v>
      </c>
      <c r="N50" s="311">
        <v>0.75</v>
      </c>
      <c r="O50" s="276"/>
      <c r="P50" s="198">
        <f>IF(($E$9-$E$8)&lt;0,0,$E$9-$E$8)</f>
        <v>0</v>
      </c>
      <c r="Q50" s="199">
        <f>IF(($F$9-$F$8)&lt;0,0,$F$9-$F$8)</f>
        <v>0</v>
      </c>
      <c r="R50" s="199">
        <f>IF(($G$9-$G$8)&lt;0,0,$G$9-$G$8)</f>
        <v>0</v>
      </c>
      <c r="S50" s="199">
        <f>IF(($H$9-$H$8)&lt;0,0,$H$9-$H$8)</f>
        <v>0</v>
      </c>
      <c r="T50" s="199">
        <f>IF(($I$9-$I$8)&lt;0,0,$I$9-$I$8)</f>
        <v>0</v>
      </c>
      <c r="U50" s="199">
        <f>$J$5-$U$8</f>
        <v>0</v>
      </c>
      <c r="V50" s="200">
        <f>$K$5-$V$8</f>
        <v>0</v>
      </c>
      <c r="W50" s="186"/>
      <c r="X50" s="187"/>
      <c r="Y50" s="187"/>
      <c r="Z50" s="187"/>
      <c r="AA50" s="529"/>
      <c r="AB50" s="205"/>
      <c r="AC50" s="206"/>
      <c r="AD50" s="217"/>
      <c r="AE50" s="311">
        <v>0.35416666667151703</v>
      </c>
      <c r="AF50" s="313">
        <v>0.52083333333333304</v>
      </c>
      <c r="AH50" s="186"/>
      <c r="AI50" s="187"/>
      <c r="AJ50" s="187"/>
      <c r="AK50" s="187"/>
      <c r="AL50" s="187"/>
      <c r="AM50" s="187"/>
      <c r="AN50" s="213"/>
      <c r="AO50" s="519"/>
      <c r="AP50" s="187"/>
      <c r="AQ50" s="187"/>
      <c r="AR50" s="187"/>
      <c r="AS50" s="187"/>
      <c r="AT50" s="187"/>
      <c r="AU50" s="188"/>
      <c r="AW50" s="296">
        <f>NEWSCHEDULES!$I$11</f>
        <v>0</v>
      </c>
      <c r="AX50" s="297">
        <f>NEWSCHEDULES!$I$54</f>
        <v>0</v>
      </c>
      <c r="AY50" s="297">
        <f>NEWSCHEDULES!$I$96</f>
        <v>0</v>
      </c>
      <c r="AZ50" s="297">
        <f>NEWSCHEDULES!$I$137</f>
        <v>0</v>
      </c>
      <c r="BA50" s="297">
        <f>NEWSCHEDULES!$I$178</f>
        <v>0</v>
      </c>
      <c r="BB50" s="297">
        <f>NEWSCHEDULES!$I$219</f>
        <v>0</v>
      </c>
      <c r="BC50" s="298">
        <f>NEWSCHEDULES!$I$260</f>
        <v>0</v>
      </c>
      <c r="BD50" s="243"/>
    </row>
    <row r="51" spans="2:56" ht="23.25" customHeight="1" x14ac:dyDescent="0.4">
      <c r="B51" s="273"/>
      <c r="C51" s="311">
        <v>0.41666666666666669</v>
      </c>
      <c r="D51" s="274"/>
      <c r="E51" s="506">
        <f>ORISCHE!$I$12</f>
        <v>0</v>
      </c>
      <c r="F51" s="507">
        <f>ORISCHE!$I$55</f>
        <v>0</v>
      </c>
      <c r="G51" s="507">
        <f>ORISCHE!$I$97</f>
        <v>0</v>
      </c>
      <c r="H51" s="507">
        <f>ORISCHE!$I$138</f>
        <v>0</v>
      </c>
      <c r="I51" s="507">
        <f>ORISCHE!$I$179</f>
        <v>0</v>
      </c>
      <c r="J51" s="507">
        <f>ORISCHE!$I$220</f>
        <v>0</v>
      </c>
      <c r="K51" s="303">
        <f>ORISCHE!$I$261</f>
        <v>0</v>
      </c>
      <c r="L51" s="275"/>
      <c r="M51" s="311">
        <v>0.41666666666666669</v>
      </c>
      <c r="N51" s="311">
        <v>0.77083333333333337</v>
      </c>
      <c r="O51" s="276"/>
      <c r="P51" s="198">
        <f>IF(($E$10-$E$9)&lt;0,0,$E$10-$E$9)</f>
        <v>0</v>
      </c>
      <c r="Q51" s="199">
        <f>IF(($F$10-$F$9)&lt;0,0,$F$10-$F$9)</f>
        <v>0</v>
      </c>
      <c r="R51" s="199">
        <f>IF(($G$10-$G$9)&lt;0,0,$G$10-$G$9)</f>
        <v>0</v>
      </c>
      <c r="S51" s="199">
        <f>IF(($H$10-$H$9)&lt;0,0,$H$10-$H$9)</f>
        <v>0</v>
      </c>
      <c r="T51" s="199">
        <f>IF(($I$10-$I$9)&lt;0,0,$I$10-$I$9)</f>
        <v>0</v>
      </c>
      <c r="U51" s="199"/>
      <c r="V51" s="200"/>
      <c r="W51" s="186"/>
      <c r="X51" s="187"/>
      <c r="Y51" s="187"/>
      <c r="Z51" s="187"/>
      <c r="AA51" s="213"/>
      <c r="AB51" s="492"/>
      <c r="AC51" s="493"/>
      <c r="AD51" s="217"/>
      <c r="AE51" s="311">
        <v>0.37500000000727601</v>
      </c>
      <c r="AF51" s="313">
        <v>0.54166666666666696</v>
      </c>
      <c r="AH51" s="186"/>
      <c r="AI51" s="187"/>
      <c r="AJ51" s="187"/>
      <c r="AK51" s="187"/>
      <c r="AL51" s="187"/>
      <c r="AM51" s="187"/>
      <c r="AN51" s="213"/>
      <c r="AO51" s="519"/>
      <c r="AP51" s="187"/>
      <c r="AQ51" s="187"/>
      <c r="AR51" s="187"/>
      <c r="AS51" s="187"/>
      <c r="AT51" s="187"/>
      <c r="AU51" s="188"/>
      <c r="AW51" s="296">
        <f>NEWSCHEDULES!$I$12</f>
        <v>0</v>
      </c>
      <c r="AX51" s="297">
        <f>NEWSCHEDULES!$I$55</f>
        <v>0</v>
      </c>
      <c r="AY51" s="297">
        <f>NEWSCHEDULES!$I$97</f>
        <v>0</v>
      </c>
      <c r="AZ51" s="297">
        <f>NEWSCHEDULES!$I$138</f>
        <v>0</v>
      </c>
      <c r="BA51" s="297">
        <f>NEWSCHEDULES!$I$179</f>
        <v>0</v>
      </c>
      <c r="BB51" s="297">
        <f>NEWSCHEDULES!$I$220</f>
        <v>0</v>
      </c>
      <c r="BC51" s="298">
        <f>NEWSCHEDULES!$I$261</f>
        <v>0</v>
      </c>
      <c r="BD51" s="243"/>
    </row>
    <row r="52" spans="2:56" ht="23.25" customHeight="1" x14ac:dyDescent="0.4">
      <c r="B52" s="273"/>
      <c r="C52" s="311">
        <v>0.4375</v>
      </c>
      <c r="D52" s="274"/>
      <c r="E52" s="506">
        <f>ORISCHE!$I$13</f>
        <v>0</v>
      </c>
      <c r="F52" s="507">
        <f>ORISCHE!$I$56</f>
        <v>0</v>
      </c>
      <c r="G52" s="507">
        <f>ORISCHE!$I$98</f>
        <v>0</v>
      </c>
      <c r="H52" s="507">
        <f>ORISCHE!$I$139</f>
        <v>0</v>
      </c>
      <c r="I52" s="507">
        <f>ORISCHE!$I$180</f>
        <v>0</v>
      </c>
      <c r="J52" s="507">
        <f>ORISCHE!$I$221</f>
        <v>0</v>
      </c>
      <c r="K52" s="303">
        <f>ORISCHE!$I$262</f>
        <v>0</v>
      </c>
      <c r="L52" s="275"/>
      <c r="M52" s="311">
        <v>0.4375</v>
      </c>
      <c r="N52" s="311">
        <v>0.79166666666666663</v>
      </c>
      <c r="O52" s="276"/>
      <c r="P52" s="198">
        <f>IF(($E$11-$E$10)&lt;0,0,$E$11-$E$10)</f>
        <v>0</v>
      </c>
      <c r="Q52" s="199">
        <f>IF(($F$11-$F$10)&lt;0,0,$F$11-$F$10)</f>
        <v>0</v>
      </c>
      <c r="R52" s="199">
        <f>IF(($G$11-$G$10)&lt;0,0,$G$11-$G$10)</f>
        <v>0</v>
      </c>
      <c r="S52" s="199">
        <f>IF(($H$11-$H$10)&lt;0,0,$H$11-$H$10)</f>
        <v>0</v>
      </c>
      <c r="T52" s="199">
        <f>IF(($I$11-$I$10)&lt;0,0,$I$11-$I$10)</f>
        <v>0</v>
      </c>
      <c r="U52" s="199"/>
      <c r="V52" s="200"/>
      <c r="W52" s="186"/>
      <c r="X52" s="187"/>
      <c r="Y52" s="187"/>
      <c r="Z52" s="187"/>
      <c r="AA52" s="213"/>
      <c r="AB52" s="492"/>
      <c r="AC52" s="493"/>
      <c r="AD52" s="217"/>
      <c r="AE52" s="311">
        <v>0.395833333343034</v>
      </c>
      <c r="AF52" s="313">
        <v>0.5625</v>
      </c>
      <c r="AH52" s="186"/>
      <c r="AI52" s="187"/>
      <c r="AJ52" s="187"/>
      <c r="AK52" s="187"/>
      <c r="AL52" s="187"/>
      <c r="AM52" s="187"/>
      <c r="AN52" s="213"/>
      <c r="AO52" s="519"/>
      <c r="AP52" s="187"/>
      <c r="AQ52" s="187"/>
      <c r="AR52" s="187"/>
      <c r="AS52" s="187"/>
      <c r="AT52" s="187"/>
      <c r="AU52" s="188"/>
      <c r="AW52" s="296">
        <f>NEWSCHEDULES!$I$13</f>
        <v>0</v>
      </c>
      <c r="AX52" s="297">
        <f>NEWSCHEDULES!$I$56</f>
        <v>0</v>
      </c>
      <c r="AY52" s="297">
        <f>NEWSCHEDULES!$I$98</f>
        <v>0</v>
      </c>
      <c r="AZ52" s="297">
        <f>NEWSCHEDULES!$I$139</f>
        <v>0</v>
      </c>
      <c r="BA52" s="297">
        <f>NEWSCHEDULES!$I$180</f>
        <v>0</v>
      </c>
      <c r="BB52" s="297">
        <f>NEWSCHEDULES!$I$221</f>
        <v>0</v>
      </c>
      <c r="BC52" s="298">
        <f>NEWSCHEDULES!$I$262</f>
        <v>0</v>
      </c>
      <c r="BD52" s="243"/>
    </row>
    <row r="53" spans="2:56" ht="23.25" customHeight="1" x14ac:dyDescent="0.4">
      <c r="B53" s="273"/>
      <c r="C53" s="311">
        <v>0.45833333333333331</v>
      </c>
      <c r="D53" s="274"/>
      <c r="E53" s="506">
        <f>ORISCHE!$I$14</f>
        <v>0</v>
      </c>
      <c r="F53" s="507">
        <f>ORISCHE!$I$57</f>
        <v>0</v>
      </c>
      <c r="G53" s="507">
        <f>ORISCHE!$I$99</f>
        <v>0</v>
      </c>
      <c r="H53" s="507">
        <f>ORISCHE!$I$140</f>
        <v>0</v>
      </c>
      <c r="I53" s="507">
        <f>ORISCHE!$I$181</f>
        <v>0</v>
      </c>
      <c r="J53" s="507">
        <f>ORISCHE!$I$222</f>
        <v>0</v>
      </c>
      <c r="K53" s="303">
        <f>ORISCHE!$I$263</f>
        <v>0</v>
      </c>
      <c r="L53" s="275"/>
      <c r="M53" s="311">
        <v>0.45833333333333331</v>
      </c>
      <c r="N53" s="311">
        <v>0.8125</v>
      </c>
      <c r="O53" s="276"/>
      <c r="P53" s="198">
        <f>IF(($E$12-$E$11)&lt;0,0,$E$12-$E$11)</f>
        <v>0</v>
      </c>
      <c r="Q53" s="199">
        <f>IF(($F$12-$F$11)&lt;0,0,$F$12-$F$11)</f>
        <v>0</v>
      </c>
      <c r="R53" s="199">
        <f>IF(($G$12-$G$11)&lt;0,0,$G$12-$G$11)</f>
        <v>0</v>
      </c>
      <c r="S53" s="199">
        <f>IF(($H$12-$H$11)&lt;0,0,$H$12-$H$11)</f>
        <v>0</v>
      </c>
      <c r="T53" s="199">
        <f>IF(($I$12-$I$11)&lt;0,0,$I$12-$I$11)</f>
        <v>0</v>
      </c>
      <c r="U53" s="199"/>
      <c r="V53" s="200"/>
      <c r="W53" s="186"/>
      <c r="X53" s="187"/>
      <c r="Y53" s="187"/>
      <c r="Z53" s="187"/>
      <c r="AA53" s="213"/>
      <c r="AB53" s="492"/>
      <c r="AC53" s="493"/>
      <c r="AD53" s="217"/>
      <c r="AE53" s="311">
        <v>0.41666666667879299</v>
      </c>
      <c r="AF53" s="313">
        <v>0.58333333333333304</v>
      </c>
      <c r="AH53" s="186"/>
      <c r="AI53" s="187"/>
      <c r="AJ53" s="187"/>
      <c r="AK53" s="187"/>
      <c r="AL53" s="187"/>
      <c r="AM53" s="187"/>
      <c r="AN53" s="213"/>
      <c r="AO53" s="519"/>
      <c r="AP53" s="187"/>
      <c r="AQ53" s="187"/>
      <c r="AR53" s="187"/>
      <c r="AS53" s="187"/>
      <c r="AT53" s="187"/>
      <c r="AU53" s="188"/>
      <c r="AW53" s="296">
        <f>NEWSCHEDULES!$I$14</f>
        <v>0</v>
      </c>
      <c r="AX53" s="297">
        <f>NEWSCHEDULES!$I$57</f>
        <v>0</v>
      </c>
      <c r="AY53" s="297">
        <f>NEWSCHEDULES!$I$99</f>
        <v>0</v>
      </c>
      <c r="AZ53" s="297">
        <f>NEWSCHEDULES!$I$140</f>
        <v>0</v>
      </c>
      <c r="BA53" s="297">
        <f>NEWSCHEDULES!$I$181</f>
        <v>0</v>
      </c>
      <c r="BB53" s="297">
        <f>NEWSCHEDULES!$I$222</f>
        <v>0</v>
      </c>
      <c r="BC53" s="298">
        <f>NEWSCHEDULES!$I$263</f>
        <v>0</v>
      </c>
      <c r="BD53" s="243"/>
    </row>
    <row r="54" spans="2:56" ht="23.25" customHeight="1" x14ac:dyDescent="0.4">
      <c r="B54" s="273"/>
      <c r="C54" s="311">
        <v>0.47916666666666669</v>
      </c>
      <c r="D54" s="274"/>
      <c r="E54" s="506">
        <f>ORISCHE!$I$15</f>
        <v>0</v>
      </c>
      <c r="F54" s="507">
        <f>ORISCHE!$I$58</f>
        <v>0</v>
      </c>
      <c r="G54" s="507">
        <f>ORISCHE!$I$100</f>
        <v>0</v>
      </c>
      <c r="H54" s="507">
        <f>ORISCHE!$I$141</f>
        <v>0</v>
      </c>
      <c r="I54" s="507">
        <f>ORISCHE!$I$182</f>
        <v>0</v>
      </c>
      <c r="J54" s="507">
        <f>ORISCHE!$I$223</f>
        <v>0</v>
      </c>
      <c r="K54" s="303">
        <f>ORISCHE!$I$264</f>
        <v>0</v>
      </c>
      <c r="L54" s="275"/>
      <c r="M54" s="311">
        <v>0.47916666666666669</v>
      </c>
      <c r="N54" s="311">
        <v>0.83333333333333337</v>
      </c>
      <c r="O54" s="276"/>
      <c r="P54" s="198">
        <f>IF($E$29-$E$30&lt;0,0,$E$29-$E$30)</f>
        <v>0</v>
      </c>
      <c r="Q54" s="199">
        <f>IF($F$29-$F$30&lt;0,0,$F$29-$F$30)</f>
        <v>0</v>
      </c>
      <c r="R54" s="199">
        <f>IF($G$29-$G$30&lt;0,0,$G$29-$G$30)</f>
        <v>0</v>
      </c>
      <c r="S54" s="199">
        <f>IF($H$29-$H$30&lt;0,0,$H$29-$H$30)</f>
        <v>0</v>
      </c>
      <c r="T54" s="199">
        <f>IF($I$29-$I$30&lt;0,0,$I$29-$I$30)</f>
        <v>0</v>
      </c>
      <c r="U54" s="199"/>
      <c r="V54" s="200"/>
      <c r="W54" s="186"/>
      <c r="X54" s="187"/>
      <c r="Y54" s="187"/>
      <c r="Z54" s="187"/>
      <c r="AA54" s="213"/>
      <c r="AB54" s="492"/>
      <c r="AC54" s="493"/>
      <c r="AD54" s="217"/>
      <c r="AE54" s="311">
        <v>0.43750000001455203</v>
      </c>
      <c r="AF54" s="313">
        <v>0.60416666666666696</v>
      </c>
      <c r="AH54" s="186"/>
      <c r="AI54" s="187"/>
      <c r="AJ54" s="187"/>
      <c r="AK54" s="187"/>
      <c r="AL54" s="187"/>
      <c r="AM54" s="187"/>
      <c r="AN54" s="213"/>
      <c r="AO54" s="519"/>
      <c r="AP54" s="187"/>
      <c r="AQ54" s="187"/>
      <c r="AR54" s="187"/>
      <c r="AS54" s="187"/>
      <c r="AT54" s="187"/>
      <c r="AU54" s="188"/>
      <c r="AW54" s="296">
        <f>NEWSCHEDULES!$I$15</f>
        <v>0</v>
      </c>
      <c r="AX54" s="297">
        <f>NEWSCHEDULES!$I$58</f>
        <v>0</v>
      </c>
      <c r="AY54" s="297">
        <f>NEWSCHEDULES!$I$100</f>
        <v>0</v>
      </c>
      <c r="AZ54" s="297">
        <f>NEWSCHEDULES!$I$141</f>
        <v>0</v>
      </c>
      <c r="BA54" s="297">
        <f>NEWSCHEDULES!$I$182</f>
        <v>0</v>
      </c>
      <c r="BB54" s="297">
        <f>NEWSCHEDULES!$I$223</f>
        <v>0</v>
      </c>
      <c r="BC54" s="298">
        <f>NEWSCHEDULES!$I$264</f>
        <v>0</v>
      </c>
      <c r="BD54" s="243"/>
    </row>
    <row r="55" spans="2:56" ht="23.25" customHeight="1" x14ac:dyDescent="0.4">
      <c r="B55" s="273"/>
      <c r="C55" s="311">
        <v>0.5</v>
      </c>
      <c r="D55" s="274"/>
      <c r="E55" s="506">
        <f>ORISCHE!$I$16</f>
        <v>0</v>
      </c>
      <c r="F55" s="507">
        <f>ORISCHE!$I$59</f>
        <v>0</v>
      </c>
      <c r="G55" s="507">
        <f>ORISCHE!$I$101</f>
        <v>0</v>
      </c>
      <c r="H55" s="507">
        <f>ORISCHE!$I$142</f>
        <v>0</v>
      </c>
      <c r="I55" s="507">
        <f>ORISCHE!$I$183</f>
        <v>0</v>
      </c>
      <c r="J55" s="507">
        <f>ORISCHE!$I$224</f>
        <v>0</v>
      </c>
      <c r="K55" s="303">
        <f>ORISCHE!$I$265</f>
        <v>0</v>
      </c>
      <c r="L55" s="275"/>
      <c r="M55" s="311">
        <v>0.5</v>
      </c>
      <c r="N55" s="311">
        <v>0.85416666666666663</v>
      </c>
      <c r="O55" s="276"/>
      <c r="P55" s="198">
        <f>IF($E$30-$E$31&lt;0,0,$E$30-$E$31)</f>
        <v>0</v>
      </c>
      <c r="Q55" s="199">
        <f>IF($F$30-$F$31&lt;0,0,$F$30-$F$31)</f>
        <v>0</v>
      </c>
      <c r="R55" s="199">
        <f>IF($G$30-$G$31&lt;0,0,$G$30-$G$31)</f>
        <v>0</v>
      </c>
      <c r="S55" s="199">
        <f>IF($H$30-$H$31&lt;0,0,$H$30-$H$31)</f>
        <v>0</v>
      </c>
      <c r="T55" s="199">
        <f>IF($I$30-$I$31&lt;0,0,$I$30-$I$31)</f>
        <v>0</v>
      </c>
      <c r="U55" s="199"/>
      <c r="V55" s="200"/>
      <c r="W55" s="186"/>
      <c r="X55" s="187"/>
      <c r="Y55" s="187"/>
      <c r="Z55" s="187"/>
      <c r="AA55" s="213"/>
      <c r="AB55" s="492"/>
      <c r="AC55" s="493"/>
      <c r="AD55" s="217"/>
      <c r="AE55" s="311">
        <v>0.45833333335031001</v>
      </c>
      <c r="AF55" s="313">
        <v>0.625</v>
      </c>
      <c r="AH55" s="186"/>
      <c r="AI55" s="187"/>
      <c r="AJ55" s="187"/>
      <c r="AK55" s="187"/>
      <c r="AL55" s="187"/>
      <c r="AM55" s="187"/>
      <c r="AN55" s="213"/>
      <c r="AO55" s="519"/>
      <c r="AP55" s="187"/>
      <c r="AQ55" s="187"/>
      <c r="AR55" s="187"/>
      <c r="AS55" s="187"/>
      <c r="AT55" s="205"/>
      <c r="AU55" s="206"/>
      <c r="AW55" s="296">
        <f>NEWSCHEDULES!$I$16</f>
        <v>0</v>
      </c>
      <c r="AX55" s="297">
        <f>NEWSCHEDULES!$I$59</f>
        <v>0</v>
      </c>
      <c r="AY55" s="297">
        <f>NEWSCHEDULES!$I$101</f>
        <v>0</v>
      </c>
      <c r="AZ55" s="297">
        <f>NEWSCHEDULES!$I$142</f>
        <v>0</v>
      </c>
      <c r="BA55" s="297">
        <f>NEWSCHEDULES!$I$183</f>
        <v>0</v>
      </c>
      <c r="BB55" s="297">
        <f>NEWSCHEDULES!$I$224</f>
        <v>0</v>
      </c>
      <c r="BC55" s="298">
        <f>NEWSCHEDULES!$I$265</f>
        <v>0</v>
      </c>
      <c r="BD55" s="243"/>
    </row>
    <row r="56" spans="2:56" ht="23.25" customHeight="1" x14ac:dyDescent="0.4">
      <c r="B56" s="273"/>
      <c r="C56" s="311">
        <v>0.52083333333333337</v>
      </c>
      <c r="D56" s="274"/>
      <c r="E56" s="506">
        <f>ORISCHE!$I$17</f>
        <v>0</v>
      </c>
      <c r="F56" s="507">
        <f>ORISCHE!$I$60</f>
        <v>0</v>
      </c>
      <c r="G56" s="507">
        <f>ORISCHE!$I$102</f>
        <v>0</v>
      </c>
      <c r="H56" s="507">
        <f>ORISCHE!$I$143</f>
        <v>0</v>
      </c>
      <c r="I56" s="507">
        <f>ORISCHE!$I$184</f>
        <v>0</v>
      </c>
      <c r="J56" s="507">
        <f>ORISCHE!$I$225</f>
        <v>0</v>
      </c>
      <c r="K56" s="303">
        <f>ORISCHE!$I$266</f>
        <v>0</v>
      </c>
      <c r="L56" s="275"/>
      <c r="M56" s="311">
        <v>0.52083333333333337</v>
      </c>
      <c r="N56" s="311">
        <v>0.875</v>
      </c>
      <c r="O56" s="276"/>
      <c r="P56" s="198">
        <f>IF($E$31-$E$32&lt;0,0,$E$31-$E$32)</f>
        <v>0</v>
      </c>
      <c r="Q56" s="199">
        <f>IF($F$31-$F$32&lt;0,0,$F$31-$F$32)</f>
        <v>0</v>
      </c>
      <c r="R56" s="199">
        <f>IF($G$31-$G$32&lt;0,0,$G$31-$G$32)</f>
        <v>0</v>
      </c>
      <c r="S56" s="199">
        <f>IF($H$31-$H$32&lt;0,0,$H$31-$H$32)</f>
        <v>0</v>
      </c>
      <c r="T56" s="199">
        <f>IF($I$31-$I$32&lt;0,0,$I$31-$I$32)</f>
        <v>0</v>
      </c>
      <c r="U56" s="199"/>
      <c r="V56" s="200"/>
      <c r="W56" s="186"/>
      <c r="X56" s="187"/>
      <c r="Y56" s="187"/>
      <c r="Z56" s="187"/>
      <c r="AA56" s="213"/>
      <c r="AB56" s="492"/>
      <c r="AC56" s="493"/>
      <c r="AD56" s="217"/>
      <c r="AE56" s="311">
        <v>0.479166666686069</v>
      </c>
      <c r="AF56" s="313">
        <v>0.64583333333333304</v>
      </c>
      <c r="AH56" s="186"/>
      <c r="AI56" s="187"/>
      <c r="AJ56" s="187"/>
      <c r="AK56" s="187"/>
      <c r="AL56" s="187"/>
      <c r="AM56" s="187"/>
      <c r="AN56" s="213"/>
      <c r="AO56" s="519"/>
      <c r="AP56" s="187"/>
      <c r="AQ56" s="187"/>
      <c r="AR56" s="187"/>
      <c r="AS56" s="213"/>
      <c r="AU56" s="190"/>
      <c r="AW56" s="296">
        <f>NEWSCHEDULES!$I$17</f>
        <v>0</v>
      </c>
      <c r="AX56" s="297">
        <f>NEWSCHEDULES!$I$60</f>
        <v>0</v>
      </c>
      <c r="AY56" s="297">
        <f>NEWSCHEDULES!$I$102</f>
        <v>0</v>
      </c>
      <c r="AZ56" s="297">
        <f>NEWSCHEDULES!$I$143</f>
        <v>0</v>
      </c>
      <c r="BA56" s="297">
        <f>NEWSCHEDULES!$I$184</f>
        <v>0</v>
      </c>
      <c r="BB56" s="297">
        <f>NEWSCHEDULES!$I$225</f>
        <v>0</v>
      </c>
      <c r="BC56" s="298">
        <f>NEWSCHEDULES!$I$266</f>
        <v>0</v>
      </c>
      <c r="BD56" s="243"/>
    </row>
    <row r="57" spans="2:56" ht="23.25" customHeight="1" x14ac:dyDescent="0.4">
      <c r="B57" s="273"/>
      <c r="C57" s="311">
        <v>0.54166666666666663</v>
      </c>
      <c r="D57" s="274"/>
      <c r="E57" s="506">
        <f>ORISCHE!$I$18</f>
        <v>0</v>
      </c>
      <c r="F57" s="507">
        <f>ORISCHE!$I$61</f>
        <v>0</v>
      </c>
      <c r="G57" s="507">
        <f>ORISCHE!$I$103</f>
        <v>0</v>
      </c>
      <c r="H57" s="507">
        <f>ORISCHE!$I$144</f>
        <v>0</v>
      </c>
      <c r="I57" s="507">
        <f>ORISCHE!$I$185</f>
        <v>0</v>
      </c>
      <c r="J57" s="507">
        <f>ORISCHE!$I$226</f>
        <v>0</v>
      </c>
      <c r="K57" s="303">
        <f>ORISCHE!$I$267</f>
        <v>0</v>
      </c>
      <c r="L57" s="275"/>
      <c r="M57" s="311">
        <v>0.54166666666666663</v>
      </c>
      <c r="N57" s="311">
        <v>0.89583333333333337</v>
      </c>
      <c r="O57" s="276"/>
      <c r="P57" s="198">
        <f>IF($E$32-$E$33&lt;0,0,$E$32-$E$33)</f>
        <v>0</v>
      </c>
      <c r="Q57" s="199">
        <f>IF($F$32-$F$33&lt;0,0,$F$32-$F$33)</f>
        <v>0</v>
      </c>
      <c r="R57" s="199">
        <f>IF($G$32-$G$33&lt;0,0,$G$32-$G$33)</f>
        <v>0</v>
      </c>
      <c r="S57" s="199">
        <f>IF($H$32-$H$33&lt;0,0,$H$32-$H$33)</f>
        <v>0</v>
      </c>
      <c r="T57" s="199">
        <f>IF($I$32-$I$33&lt;0,0,$I$32-$I$33)</f>
        <v>0</v>
      </c>
      <c r="U57" s="199"/>
      <c r="V57" s="200"/>
      <c r="W57" s="186"/>
      <c r="X57" s="187"/>
      <c r="Y57" s="187"/>
      <c r="Z57" s="187"/>
      <c r="AA57" s="213"/>
      <c r="AB57" s="492"/>
      <c r="AC57" s="493"/>
      <c r="AD57" s="217"/>
      <c r="AE57" s="311">
        <v>0.50000000002182798</v>
      </c>
      <c r="AF57" s="313">
        <v>0.66666666666666696</v>
      </c>
      <c r="AH57" s="186"/>
      <c r="AI57" s="187"/>
      <c r="AJ57" s="187"/>
      <c r="AK57" s="187"/>
      <c r="AL57" s="187"/>
      <c r="AM57" s="187"/>
      <c r="AN57" s="213"/>
      <c r="AO57" s="519"/>
      <c r="AP57" s="187"/>
      <c r="AQ57" s="187"/>
      <c r="AR57" s="187"/>
      <c r="AS57" s="213"/>
      <c r="AU57" s="190"/>
      <c r="AW57" s="296">
        <f>NEWSCHEDULES!$I$18</f>
        <v>0</v>
      </c>
      <c r="AX57" s="297">
        <f>NEWSCHEDULES!$I$61</f>
        <v>0</v>
      </c>
      <c r="AY57" s="297">
        <f>NEWSCHEDULES!$I$103</f>
        <v>0</v>
      </c>
      <c r="AZ57" s="297">
        <f>NEWSCHEDULES!$I$144</f>
        <v>0</v>
      </c>
      <c r="BA57" s="297">
        <f>NEWSCHEDULES!$I$185</f>
        <v>0</v>
      </c>
      <c r="BB57" s="297">
        <f>NEWSCHEDULES!$I$226</f>
        <v>0</v>
      </c>
      <c r="BC57" s="298">
        <f>NEWSCHEDULES!$I$267</f>
        <v>0</v>
      </c>
      <c r="BD57" s="243"/>
    </row>
    <row r="58" spans="2:56" ht="23.25" customHeight="1" x14ac:dyDescent="0.4">
      <c r="B58" s="273"/>
      <c r="C58" s="311">
        <v>0.5625</v>
      </c>
      <c r="D58" s="274"/>
      <c r="E58" s="506">
        <f>ORISCHE!$I$19</f>
        <v>0</v>
      </c>
      <c r="F58" s="507">
        <f>ORISCHE!$I$62</f>
        <v>0</v>
      </c>
      <c r="G58" s="507">
        <f>ORISCHE!$I$104</f>
        <v>0</v>
      </c>
      <c r="H58" s="507">
        <f>ORISCHE!$I$145</f>
        <v>0</v>
      </c>
      <c r="I58" s="507">
        <f>ORISCHE!$I$186</f>
        <v>0</v>
      </c>
      <c r="J58" s="507">
        <f>ORISCHE!$I$227</f>
        <v>0</v>
      </c>
      <c r="K58" s="303">
        <f>ORISCHE!$I$268</f>
        <v>0</v>
      </c>
      <c r="L58" s="275"/>
      <c r="M58" s="311">
        <v>0.5625</v>
      </c>
      <c r="N58" s="311">
        <v>0.91666666666666663</v>
      </c>
      <c r="O58" s="276"/>
      <c r="P58" s="198">
        <f>IF($E$33-$E$34&lt;0,0,$E$33-$E$34)</f>
        <v>0</v>
      </c>
      <c r="Q58" s="199">
        <f>IF($F$33-$F$34&lt;0,0,$F$33-$F$34)</f>
        <v>0</v>
      </c>
      <c r="R58" s="199">
        <f>IF($G$33-$G$34&lt;0,0,$G$33-$G$34)</f>
        <v>0</v>
      </c>
      <c r="S58" s="199">
        <f>IF($H$33-$H$34&lt;0,0,$H$33-$H$34)</f>
        <v>0</v>
      </c>
      <c r="T58" s="199">
        <f>IF($I$33-$I$34&lt;0,0,$I$33-$I$34)</f>
        <v>0</v>
      </c>
      <c r="U58" s="199"/>
      <c r="V58" s="200"/>
      <c r="W58" s="186"/>
      <c r="X58" s="187"/>
      <c r="Y58" s="187"/>
      <c r="Z58" s="187"/>
      <c r="AA58" s="213"/>
      <c r="AB58" s="492"/>
      <c r="AC58" s="493"/>
      <c r="AD58" s="217"/>
      <c r="AE58" s="311">
        <v>0.52083333335758597</v>
      </c>
      <c r="AF58" s="313">
        <v>0.6875</v>
      </c>
      <c r="AH58" s="186"/>
      <c r="AI58" s="187"/>
      <c r="AJ58" s="187"/>
      <c r="AK58" s="187"/>
      <c r="AL58" s="187"/>
      <c r="AM58" s="187"/>
      <c r="AN58" s="213"/>
      <c r="AO58" s="519"/>
      <c r="AP58" s="187"/>
      <c r="AQ58" s="187"/>
      <c r="AR58" s="187"/>
      <c r="AS58" s="213"/>
      <c r="AU58" s="190"/>
      <c r="AW58" s="296">
        <f>NEWSCHEDULES!$I$19</f>
        <v>0</v>
      </c>
      <c r="AX58" s="297">
        <f>NEWSCHEDULES!$I$62</f>
        <v>0</v>
      </c>
      <c r="AY58" s="297">
        <f>NEWSCHEDULES!$I$104</f>
        <v>0</v>
      </c>
      <c r="AZ58" s="297">
        <f>NEWSCHEDULES!$I$145</f>
        <v>0</v>
      </c>
      <c r="BA58" s="297">
        <f>NEWSCHEDULES!$I$186</f>
        <v>0</v>
      </c>
      <c r="BB58" s="297">
        <f>NEWSCHEDULES!$I$227</f>
        <v>0</v>
      </c>
      <c r="BC58" s="298">
        <f>NEWSCHEDULES!$I$268</f>
        <v>0</v>
      </c>
      <c r="BD58" s="243"/>
    </row>
    <row r="59" spans="2:56" ht="23.25" customHeight="1" x14ac:dyDescent="0.4">
      <c r="B59" s="273"/>
      <c r="C59" s="311">
        <v>0.58333333333333337</v>
      </c>
      <c r="D59" s="274"/>
      <c r="E59" s="506">
        <f>ORISCHE!$I$20</f>
        <v>0</v>
      </c>
      <c r="F59" s="507">
        <f>ORISCHE!$I$63</f>
        <v>0</v>
      </c>
      <c r="G59" s="507">
        <f>ORISCHE!$I$105</f>
        <v>0</v>
      </c>
      <c r="H59" s="507">
        <f>ORISCHE!$I$146</f>
        <v>0</v>
      </c>
      <c r="I59" s="507">
        <f>ORISCHE!$I$187</f>
        <v>0</v>
      </c>
      <c r="J59" s="507">
        <f>ORISCHE!$I$228</f>
        <v>0</v>
      </c>
      <c r="K59" s="303">
        <f>ORISCHE!$I$269</f>
        <v>0</v>
      </c>
      <c r="L59" s="275"/>
      <c r="M59" s="311">
        <v>0.58333333333333337</v>
      </c>
      <c r="N59" s="311">
        <v>0.9375</v>
      </c>
      <c r="O59" s="276"/>
      <c r="P59" s="198">
        <f>IF($E$34-$E$35&lt;0,0,$E$34-$E$35)</f>
        <v>0</v>
      </c>
      <c r="Q59" s="199">
        <f>IF($F$34-$F$35&lt;0,0,$F$34-$F$35)</f>
        <v>0</v>
      </c>
      <c r="R59" s="199">
        <f>IF($G$34-$G$35&lt;0,0,$G$34-$G$35)</f>
        <v>0</v>
      </c>
      <c r="S59" s="199">
        <f>IF($H$34-$H$35&lt;0,0,$H$34-$H$35)</f>
        <v>0</v>
      </c>
      <c r="T59" s="199">
        <f>IF($I$34-$I$35&lt;0,0,$I$34-$I$35)</f>
        <v>0</v>
      </c>
      <c r="U59" s="199"/>
      <c r="V59" s="200"/>
      <c r="W59" s="186"/>
      <c r="X59" s="187"/>
      <c r="Y59" s="187"/>
      <c r="Z59" s="187"/>
      <c r="AA59" s="213"/>
      <c r="AB59" s="492"/>
      <c r="AC59" s="493"/>
      <c r="AD59" s="217"/>
      <c r="AE59" s="311">
        <v>0.54166666669334496</v>
      </c>
      <c r="AF59" s="313">
        <v>0.70833333333333304</v>
      </c>
      <c r="AH59" s="186"/>
      <c r="AI59" s="187"/>
      <c r="AJ59" s="187"/>
      <c r="AK59" s="187"/>
      <c r="AL59" s="187"/>
      <c r="AM59" s="205"/>
      <c r="AN59" s="214"/>
      <c r="AO59" s="519"/>
      <c r="AP59" s="187"/>
      <c r="AQ59" s="187"/>
      <c r="AR59" s="187"/>
      <c r="AS59" s="213"/>
      <c r="AU59" s="190"/>
      <c r="AW59" s="296">
        <f>NEWSCHEDULES!$I$20</f>
        <v>0</v>
      </c>
      <c r="AX59" s="297">
        <f>NEWSCHEDULES!$I$63</f>
        <v>0</v>
      </c>
      <c r="AY59" s="297">
        <f>NEWSCHEDULES!$I$105</f>
        <v>0</v>
      </c>
      <c r="AZ59" s="297">
        <f>NEWSCHEDULES!$I$146</f>
        <v>0</v>
      </c>
      <c r="BA59" s="297">
        <f>NEWSCHEDULES!$I$187</f>
        <v>0</v>
      </c>
      <c r="BB59" s="297">
        <f>NEWSCHEDULES!$I$228</f>
        <v>0</v>
      </c>
      <c r="BC59" s="298">
        <f>NEWSCHEDULES!$I$269</f>
        <v>0</v>
      </c>
      <c r="BD59" s="243"/>
    </row>
    <row r="60" spans="2:56" ht="23.25" customHeight="1" thickBot="1" x14ac:dyDescent="0.45">
      <c r="B60" s="273"/>
      <c r="C60" s="311">
        <v>0.60416666666666663</v>
      </c>
      <c r="D60" s="274"/>
      <c r="E60" s="506">
        <f>ORISCHE!$I$21</f>
        <v>0</v>
      </c>
      <c r="F60" s="507">
        <f>ORISCHE!$I$64</f>
        <v>0</v>
      </c>
      <c r="G60" s="507">
        <f>ORISCHE!$I$106</f>
        <v>0</v>
      </c>
      <c r="H60" s="507">
        <f>ORISCHE!$I$147</f>
        <v>0</v>
      </c>
      <c r="I60" s="507">
        <f>ORISCHE!$I$188</f>
        <v>0</v>
      </c>
      <c r="J60" s="507">
        <f>ORISCHE!$I$229</f>
        <v>0</v>
      </c>
      <c r="K60" s="303">
        <f>ORISCHE!$I$270</f>
        <v>0</v>
      </c>
      <c r="L60" s="275"/>
      <c r="M60" s="311">
        <v>0.60416666666666663</v>
      </c>
      <c r="N60" s="313">
        <v>0.95833333333333337</v>
      </c>
      <c r="O60" s="276"/>
      <c r="P60" s="201">
        <f>IF($E$35&lt;0,0,$E$35)</f>
        <v>0</v>
      </c>
      <c r="Q60" s="202">
        <f>IF($F$35&lt;0,0,$F$35)</f>
        <v>0</v>
      </c>
      <c r="R60" s="202">
        <f>IF($G$35&lt;0,0,$G$35)</f>
        <v>0</v>
      </c>
      <c r="S60" s="202">
        <f>IF($H$35&lt;0,0,$H$35)</f>
        <v>0</v>
      </c>
      <c r="T60" s="202">
        <f>IF($I$35&lt;0,0,$I$35)</f>
        <v>0</v>
      </c>
      <c r="U60" s="202"/>
      <c r="V60" s="203"/>
      <c r="W60" s="204"/>
      <c r="X60" s="205"/>
      <c r="Y60" s="205"/>
      <c r="Z60" s="205"/>
      <c r="AA60" s="532"/>
      <c r="AB60" s="492"/>
      <c r="AC60" s="493"/>
      <c r="AD60" s="217"/>
      <c r="AE60" s="311">
        <v>0.56250000002910305</v>
      </c>
      <c r="AF60" s="313">
        <v>0.72916666666666696</v>
      </c>
      <c r="AH60" s="186"/>
      <c r="AI60" s="187"/>
      <c r="AJ60" s="187"/>
      <c r="AK60" s="187"/>
      <c r="AL60" s="213"/>
      <c r="AN60" s="243"/>
      <c r="AO60" s="519"/>
      <c r="AP60" s="187"/>
      <c r="AQ60" s="187"/>
      <c r="AR60" s="187"/>
      <c r="AS60" s="213"/>
      <c r="AU60" s="190"/>
      <c r="AW60" s="296">
        <f>NEWSCHEDULES!$I$21</f>
        <v>0</v>
      </c>
      <c r="AX60" s="297">
        <f>NEWSCHEDULES!$I$64</f>
        <v>0</v>
      </c>
      <c r="AY60" s="297">
        <f>NEWSCHEDULES!$I$106</f>
        <v>0</v>
      </c>
      <c r="AZ60" s="297">
        <f>NEWSCHEDULES!$I$147</f>
        <v>0</v>
      </c>
      <c r="BA60" s="297">
        <f>NEWSCHEDULES!$I$188</f>
        <v>0</v>
      </c>
      <c r="BB60" s="297">
        <f>NEWSCHEDULES!$I$229</f>
        <v>0</v>
      </c>
      <c r="BC60" s="298">
        <f>NEWSCHEDULES!$I$270</f>
        <v>0</v>
      </c>
      <c r="BD60" s="243"/>
    </row>
    <row r="61" spans="2:56" ht="23.25" customHeight="1" thickBot="1" x14ac:dyDescent="0.45">
      <c r="B61" s="273"/>
      <c r="C61" s="311">
        <v>0.625</v>
      </c>
      <c r="D61" s="274"/>
      <c r="E61" s="506">
        <f>ORISCHE!$I$22</f>
        <v>0</v>
      </c>
      <c r="F61" s="507">
        <f>ORISCHE!$I$65</f>
        <v>0</v>
      </c>
      <c r="G61" s="507">
        <f>ORISCHE!$I$107</f>
        <v>0</v>
      </c>
      <c r="H61" s="507">
        <f>ORISCHE!$I$148</f>
        <v>0</v>
      </c>
      <c r="I61" s="507">
        <f>ORISCHE!$I$189</f>
        <v>0</v>
      </c>
      <c r="J61" s="507">
        <f>ORISCHE!$I$230</f>
        <v>0</v>
      </c>
      <c r="K61" s="303">
        <f>ORISCHE!$I$271</f>
        <v>0</v>
      </c>
      <c r="L61" s="275"/>
      <c r="M61" s="269"/>
      <c r="N61" s="270"/>
      <c r="O61" s="270"/>
      <c r="P61" s="207">
        <f t="shared" ref="P61:V61" si="29">SUM(P47:P60)</f>
        <v>0</v>
      </c>
      <c r="Q61" s="207">
        <f t="shared" si="29"/>
        <v>0</v>
      </c>
      <c r="R61" s="207">
        <f t="shared" si="29"/>
        <v>0</v>
      </c>
      <c r="S61" s="207">
        <f t="shared" si="29"/>
        <v>0</v>
      </c>
      <c r="T61" s="207">
        <f t="shared" si="29"/>
        <v>0</v>
      </c>
      <c r="U61" s="207">
        <f t="shared" si="29"/>
        <v>0</v>
      </c>
      <c r="V61" s="207">
        <f t="shared" si="29"/>
        <v>0</v>
      </c>
      <c r="W61" s="207">
        <f t="shared" ref="W61:AC61" si="30">SUM(W47:W60)</f>
        <v>0</v>
      </c>
      <c r="X61" s="207">
        <f t="shared" si="30"/>
        <v>0</v>
      </c>
      <c r="Y61" s="207">
        <f t="shared" si="30"/>
        <v>0</v>
      </c>
      <c r="Z61" s="207">
        <f t="shared" si="30"/>
        <v>0</v>
      </c>
      <c r="AA61" s="207">
        <f t="shared" si="30"/>
        <v>0</v>
      </c>
      <c r="AB61" s="207">
        <f t="shared" si="30"/>
        <v>0</v>
      </c>
      <c r="AC61" s="207">
        <f t="shared" si="30"/>
        <v>0</v>
      </c>
      <c r="AD61" s="217"/>
      <c r="AE61" s="311">
        <v>0.58333333336486204</v>
      </c>
      <c r="AF61" s="313">
        <v>0.75</v>
      </c>
      <c r="AH61" s="186"/>
      <c r="AI61" s="187"/>
      <c r="AJ61" s="187"/>
      <c r="AK61" s="187"/>
      <c r="AL61" s="213"/>
      <c r="AN61" s="243"/>
      <c r="AO61" s="519"/>
      <c r="AP61" s="187"/>
      <c r="AQ61" s="187"/>
      <c r="AR61" s="187"/>
      <c r="AS61" s="213"/>
      <c r="AU61" s="190"/>
      <c r="AW61" s="296">
        <f>NEWSCHEDULES!$I$22</f>
        <v>0</v>
      </c>
      <c r="AX61" s="297">
        <f>NEWSCHEDULES!$I$65</f>
        <v>0</v>
      </c>
      <c r="AY61" s="297">
        <f>NEWSCHEDULES!$I$107</f>
        <v>0</v>
      </c>
      <c r="AZ61" s="297">
        <f>NEWSCHEDULES!$I$148</f>
        <v>0</v>
      </c>
      <c r="BA61" s="297">
        <f>NEWSCHEDULES!$I$189</f>
        <v>0</v>
      </c>
      <c r="BB61" s="297">
        <f>NEWSCHEDULES!$I$230</f>
        <v>0</v>
      </c>
      <c r="BC61" s="298">
        <f>NEWSCHEDULES!$I$271</f>
        <v>0</v>
      </c>
      <c r="BD61" s="243"/>
    </row>
    <row r="62" spans="2:56" ht="23.25" customHeight="1" x14ac:dyDescent="0.4">
      <c r="B62" s="273"/>
      <c r="C62" s="311">
        <v>0.64583333333333337</v>
      </c>
      <c r="D62" s="274"/>
      <c r="E62" s="506">
        <f>ORISCHE!$I$23</f>
        <v>0</v>
      </c>
      <c r="F62" s="507">
        <f>ORISCHE!$I$66</f>
        <v>0</v>
      </c>
      <c r="G62" s="507">
        <f>ORISCHE!$I$108</f>
        <v>0</v>
      </c>
      <c r="H62" s="507">
        <f>ORISCHE!$I$149</f>
        <v>0</v>
      </c>
      <c r="I62" s="507">
        <f>ORISCHE!$I$190</f>
        <v>0</v>
      </c>
      <c r="J62" s="507">
        <f>ORISCHE!$I$231</f>
        <v>0</v>
      </c>
      <c r="K62" s="303">
        <f>ORISCHE!$I$272</f>
        <v>0</v>
      </c>
      <c r="L62" s="275"/>
      <c r="M62" s="449"/>
      <c r="W62" s="207">
        <f>W20-W61</f>
        <v>0</v>
      </c>
      <c r="X62" s="207">
        <f>X20-X61</f>
        <v>0</v>
      </c>
      <c r="Y62" s="207">
        <f>Y20-Y61</f>
        <v>0</v>
      </c>
      <c r="Z62" s="207">
        <f>Z20-Z61</f>
        <v>0</v>
      </c>
      <c r="AA62" s="207">
        <f>AA20-AA61</f>
        <v>0</v>
      </c>
      <c r="AC62" s="452"/>
      <c r="AD62" s="217"/>
      <c r="AE62" s="311">
        <v>0.60416666670062102</v>
      </c>
      <c r="AF62" s="313">
        <v>0.77083333333333404</v>
      </c>
      <c r="AH62" s="186"/>
      <c r="AI62" s="187"/>
      <c r="AJ62" s="187"/>
      <c r="AK62" s="187"/>
      <c r="AL62" s="213"/>
      <c r="AN62" s="243"/>
      <c r="AO62" s="519"/>
      <c r="AP62" s="187"/>
      <c r="AQ62" s="187"/>
      <c r="AR62" s="187"/>
      <c r="AS62" s="213"/>
      <c r="AU62" s="190"/>
      <c r="AW62" s="296">
        <f>NEWSCHEDULES!$I$23</f>
        <v>0</v>
      </c>
      <c r="AX62" s="297">
        <f>NEWSCHEDULES!$I$66</f>
        <v>0</v>
      </c>
      <c r="AY62" s="297">
        <f>NEWSCHEDULES!$I$108</f>
        <v>0</v>
      </c>
      <c r="AZ62" s="297">
        <f>NEWSCHEDULES!$I$149</f>
        <v>0</v>
      </c>
      <c r="BA62" s="297">
        <f>NEWSCHEDULES!$I$190</f>
        <v>0</v>
      </c>
      <c r="BB62" s="297">
        <f>NEWSCHEDULES!$I$231</f>
        <v>0</v>
      </c>
      <c r="BC62" s="298">
        <f>NEWSCHEDULES!$I$272</f>
        <v>0</v>
      </c>
      <c r="BD62" s="243"/>
    </row>
    <row r="63" spans="2:56" ht="23.25" customHeight="1" x14ac:dyDescent="0.4">
      <c r="B63" s="273"/>
      <c r="C63" s="311">
        <v>0.66666666666666663</v>
      </c>
      <c r="D63" s="274"/>
      <c r="E63" s="506">
        <f>ORISCHE!$I$24</f>
        <v>0</v>
      </c>
      <c r="F63" s="507">
        <f>ORISCHE!$I$67</f>
        <v>0</v>
      </c>
      <c r="G63" s="507">
        <f>ORISCHE!$I$109</f>
        <v>0</v>
      </c>
      <c r="H63" s="507">
        <f>ORISCHE!$I$150</f>
        <v>0</v>
      </c>
      <c r="I63" s="507">
        <f>ORISCHE!$I$191</f>
        <v>0</v>
      </c>
      <c r="J63" s="507">
        <f>ORISCHE!$I$232</f>
        <v>0</v>
      </c>
      <c r="K63" s="303">
        <f>ORISCHE!$I$273</f>
        <v>0</v>
      </c>
      <c r="L63" s="275"/>
      <c r="M63" s="449"/>
      <c r="N63" s="450"/>
      <c r="O63" s="450"/>
      <c r="P63" s="450"/>
      <c r="Q63" s="450"/>
      <c r="R63" s="450"/>
      <c r="S63" s="514"/>
      <c r="T63" s="450"/>
      <c r="U63" s="450"/>
      <c r="V63" s="450"/>
      <c r="W63" s="451"/>
      <c r="X63" s="451"/>
      <c r="Y63" s="451"/>
      <c r="Z63" s="514"/>
      <c r="AA63" s="451"/>
      <c r="AB63" s="451"/>
      <c r="AC63" s="452"/>
      <c r="AD63" s="217"/>
      <c r="AE63" s="311">
        <v>0.62500000003637901</v>
      </c>
      <c r="AF63" s="313">
        <v>0.79166666666666696</v>
      </c>
      <c r="AH63" s="186"/>
      <c r="AI63" s="187"/>
      <c r="AJ63" s="187"/>
      <c r="AK63" s="187"/>
      <c r="AL63" s="213"/>
      <c r="AN63" s="243"/>
      <c r="AO63" s="519"/>
      <c r="AP63" s="187"/>
      <c r="AQ63" s="187"/>
      <c r="AR63" s="187"/>
      <c r="AS63" s="213"/>
      <c r="AU63" s="190"/>
      <c r="AW63" s="296">
        <f>NEWSCHEDULES!$I$24</f>
        <v>0</v>
      </c>
      <c r="AX63" s="297">
        <f>NEWSCHEDULES!$I$67</f>
        <v>0</v>
      </c>
      <c r="AY63" s="297">
        <f>NEWSCHEDULES!$I$109</f>
        <v>0</v>
      </c>
      <c r="AZ63" s="297">
        <f>NEWSCHEDULES!$I$150</f>
        <v>0</v>
      </c>
      <c r="BA63" s="297">
        <f>NEWSCHEDULES!$I$191</f>
        <v>0</v>
      </c>
      <c r="BB63" s="297">
        <f>NEWSCHEDULES!$I$232</f>
        <v>0</v>
      </c>
      <c r="BC63" s="298">
        <f>NEWSCHEDULES!$I$273</f>
        <v>0</v>
      </c>
      <c r="BD63" s="243"/>
    </row>
    <row r="64" spans="2:56" ht="23.25" customHeight="1" x14ac:dyDescent="0.4">
      <c r="B64" s="273"/>
      <c r="C64" s="311">
        <v>0.6875</v>
      </c>
      <c r="D64" s="274"/>
      <c r="E64" s="506">
        <f>ORISCHE!$I$25</f>
        <v>0</v>
      </c>
      <c r="F64" s="507">
        <f>ORISCHE!$I$68</f>
        <v>0</v>
      </c>
      <c r="G64" s="507">
        <f>ORISCHE!$I$110</f>
        <v>0</v>
      </c>
      <c r="H64" s="507">
        <f>ORISCHE!$I$151</f>
        <v>0</v>
      </c>
      <c r="I64" s="507">
        <f>ORISCHE!$I$192</f>
        <v>0</v>
      </c>
      <c r="J64" s="507">
        <f>ORISCHE!$I$233</f>
        <v>0</v>
      </c>
      <c r="K64" s="303">
        <f>ORISCHE!$I$274</f>
        <v>0</v>
      </c>
      <c r="L64" s="275"/>
      <c r="M64" s="449"/>
      <c r="N64" s="502" t="s">
        <v>37</v>
      </c>
      <c r="O64" s="450"/>
      <c r="P64" s="472" t="s">
        <v>23</v>
      </c>
      <c r="Q64" s="473" t="s">
        <v>24</v>
      </c>
      <c r="R64" s="473" t="s">
        <v>25</v>
      </c>
      <c r="S64" s="473" t="s">
        <v>26</v>
      </c>
      <c r="T64" s="473" t="s">
        <v>27</v>
      </c>
      <c r="U64" s="473" t="s">
        <v>28</v>
      </c>
      <c r="V64" s="474" t="s">
        <v>29</v>
      </c>
      <c r="W64" s="498" t="s">
        <v>23</v>
      </c>
      <c r="X64" s="499" t="s">
        <v>24</v>
      </c>
      <c r="Y64" s="499" t="s">
        <v>25</v>
      </c>
      <c r="Z64" s="499" t="s">
        <v>26</v>
      </c>
      <c r="AA64" s="499" t="s">
        <v>27</v>
      </c>
      <c r="AB64" s="499" t="s">
        <v>28</v>
      </c>
      <c r="AC64" s="500" t="s">
        <v>29</v>
      </c>
      <c r="AD64" s="217"/>
      <c r="AE64" s="311">
        <v>0.645833333372138</v>
      </c>
      <c r="AF64" s="313">
        <v>0.8125</v>
      </c>
      <c r="AH64" s="186"/>
      <c r="AI64" s="187"/>
      <c r="AJ64" s="187"/>
      <c r="AK64" s="187"/>
      <c r="AL64" s="213"/>
      <c r="AN64" s="243"/>
      <c r="AO64" s="519"/>
      <c r="AP64" s="187"/>
      <c r="AQ64" s="187"/>
      <c r="AR64" s="187"/>
      <c r="AS64" s="213"/>
      <c r="AU64" s="190"/>
      <c r="AW64" s="296">
        <f>NEWSCHEDULES!$I$25</f>
        <v>0</v>
      </c>
      <c r="AX64" s="297">
        <f>NEWSCHEDULES!$I$68</f>
        <v>0</v>
      </c>
      <c r="AY64" s="297">
        <f>NEWSCHEDULES!$I$110</f>
        <v>0</v>
      </c>
      <c r="AZ64" s="297">
        <f>NEWSCHEDULES!$I$151</f>
        <v>0</v>
      </c>
      <c r="BA64" s="297">
        <f>NEWSCHEDULES!$I$192</f>
        <v>0</v>
      </c>
      <c r="BB64" s="297">
        <f>NEWSCHEDULES!$I$233</f>
        <v>0</v>
      </c>
      <c r="BC64" s="298">
        <f>NEWSCHEDULES!$I$274</f>
        <v>0</v>
      </c>
      <c r="BD64" s="243"/>
    </row>
    <row r="65" spans="2:56" ht="23.25" customHeight="1" x14ac:dyDescent="0.4">
      <c r="B65" s="273"/>
      <c r="C65" s="311">
        <v>0.70833333333333337</v>
      </c>
      <c r="D65" s="274"/>
      <c r="E65" s="506">
        <f>ORISCHE!$I$26</f>
        <v>0</v>
      </c>
      <c r="F65" s="507">
        <f>ORISCHE!$I$69</f>
        <v>0</v>
      </c>
      <c r="G65" s="507">
        <f>ORISCHE!$I$111</f>
        <v>0</v>
      </c>
      <c r="H65" s="507">
        <f>ORISCHE!$I$152</f>
        <v>0</v>
      </c>
      <c r="I65" s="507">
        <f>ORISCHE!$I$193</f>
        <v>0</v>
      </c>
      <c r="J65" s="507">
        <f>ORISCHE!$I$234</f>
        <v>0</v>
      </c>
      <c r="K65" s="303">
        <f>ORISCHE!$I$275</f>
        <v>0</v>
      </c>
      <c r="L65" s="275"/>
      <c r="M65" s="456">
        <v>0.33333333333333331</v>
      </c>
      <c r="N65" s="457">
        <v>0.39583333333333331</v>
      </c>
      <c r="O65" s="450"/>
      <c r="P65" s="479" t="e">
        <f t="shared" ref="P65:AC65" si="31">P70/P$73</f>
        <v>#DIV/0!</v>
      </c>
      <c r="Q65" s="480" t="e">
        <f t="shared" si="31"/>
        <v>#DIV/0!</v>
      </c>
      <c r="R65" s="480" t="e">
        <f t="shared" si="31"/>
        <v>#DIV/0!</v>
      </c>
      <c r="S65" s="480" t="e">
        <f t="shared" si="31"/>
        <v>#DIV/0!</v>
      </c>
      <c r="T65" s="480" t="e">
        <f t="shared" si="31"/>
        <v>#DIV/0!</v>
      </c>
      <c r="U65" s="480" t="e">
        <f t="shared" si="31"/>
        <v>#DIV/0!</v>
      </c>
      <c r="V65" s="480" t="e">
        <f t="shared" si="31"/>
        <v>#DIV/0!</v>
      </c>
      <c r="W65" s="479" t="e">
        <f t="shared" si="31"/>
        <v>#DIV/0!</v>
      </c>
      <c r="X65" s="480" t="e">
        <f t="shared" si="31"/>
        <v>#DIV/0!</v>
      </c>
      <c r="Y65" s="480" t="e">
        <f t="shared" si="31"/>
        <v>#DIV/0!</v>
      </c>
      <c r="Z65" s="480" t="e">
        <f t="shared" si="31"/>
        <v>#DIV/0!</v>
      </c>
      <c r="AA65" s="480" t="e">
        <f t="shared" si="31"/>
        <v>#DIV/0!</v>
      </c>
      <c r="AB65" s="480" t="e">
        <f t="shared" si="31"/>
        <v>#DIV/0!</v>
      </c>
      <c r="AC65" s="497" t="e">
        <f t="shared" si="31"/>
        <v>#DIV/0!</v>
      </c>
      <c r="AD65" s="217"/>
      <c r="AE65" s="311">
        <v>0.66666666670789698</v>
      </c>
      <c r="AF65" s="313">
        <v>0.83333333333333404</v>
      </c>
      <c r="AH65" s="186"/>
      <c r="AI65" s="187"/>
      <c r="AJ65" s="187"/>
      <c r="AK65" s="187"/>
      <c r="AL65" s="213"/>
      <c r="AN65" s="243"/>
      <c r="AO65" s="519"/>
      <c r="AP65" s="187"/>
      <c r="AQ65" s="187"/>
      <c r="AR65" s="187"/>
      <c r="AS65" s="213"/>
      <c r="AU65" s="190"/>
      <c r="AW65" s="296">
        <f>NEWSCHEDULES!$I$26</f>
        <v>0</v>
      </c>
      <c r="AX65" s="297">
        <f>NEWSCHEDULES!$I$69</f>
        <v>0</v>
      </c>
      <c r="AY65" s="297">
        <f>NEWSCHEDULES!$I$111</f>
        <v>0</v>
      </c>
      <c r="AZ65" s="297">
        <f>NEWSCHEDULES!$I$152</f>
        <v>0</v>
      </c>
      <c r="BA65" s="297">
        <f>NEWSCHEDULES!$I$193</f>
        <v>0</v>
      </c>
      <c r="BB65" s="297">
        <f>NEWSCHEDULES!$I$234</f>
        <v>0</v>
      </c>
      <c r="BC65" s="298">
        <f>NEWSCHEDULES!$I$275</f>
        <v>0</v>
      </c>
      <c r="BD65" s="243"/>
    </row>
    <row r="66" spans="2:56" ht="23.25" customHeight="1" x14ac:dyDescent="0.4">
      <c r="B66" s="273"/>
      <c r="C66" s="311">
        <v>0.72916666666666663</v>
      </c>
      <c r="D66" s="274"/>
      <c r="E66" s="506">
        <f>ORISCHE!$I$27</f>
        <v>0</v>
      </c>
      <c r="F66" s="507">
        <f>ORISCHE!$I$70</f>
        <v>0</v>
      </c>
      <c r="G66" s="507">
        <f>ORISCHE!$I$112</f>
        <v>0</v>
      </c>
      <c r="H66" s="507">
        <f>ORISCHE!$I$153</f>
        <v>0</v>
      </c>
      <c r="I66" s="507">
        <f>ORISCHE!$I$194</f>
        <v>0</v>
      </c>
      <c r="J66" s="507">
        <f>ORISCHE!$I$235</f>
        <v>0</v>
      </c>
      <c r="K66" s="303">
        <f>ORISCHE!$I$276</f>
        <v>0</v>
      </c>
      <c r="L66" s="275"/>
      <c r="M66" s="456">
        <v>0.41666666666666669</v>
      </c>
      <c r="N66" s="457">
        <v>0.5</v>
      </c>
      <c r="O66" s="450"/>
      <c r="P66" s="481" t="e">
        <f t="shared" ref="P66:AC66" si="32">P71/P$73</f>
        <v>#DIV/0!</v>
      </c>
      <c r="Q66" s="477" t="e">
        <f t="shared" si="32"/>
        <v>#DIV/0!</v>
      </c>
      <c r="R66" s="477" t="e">
        <f t="shared" si="32"/>
        <v>#DIV/0!</v>
      </c>
      <c r="S66" s="477" t="e">
        <f t="shared" si="32"/>
        <v>#DIV/0!</v>
      </c>
      <c r="T66" s="477" t="e">
        <f t="shared" si="32"/>
        <v>#DIV/0!</v>
      </c>
      <c r="U66" s="477" t="e">
        <f t="shared" si="32"/>
        <v>#DIV/0!</v>
      </c>
      <c r="V66" s="477" t="e">
        <f t="shared" si="32"/>
        <v>#DIV/0!</v>
      </c>
      <c r="W66" s="481" t="e">
        <f t="shared" si="32"/>
        <v>#DIV/0!</v>
      </c>
      <c r="X66" s="477" t="e">
        <f t="shared" si="32"/>
        <v>#DIV/0!</v>
      </c>
      <c r="Y66" s="477" t="e">
        <f t="shared" si="32"/>
        <v>#DIV/0!</v>
      </c>
      <c r="Z66" s="477" t="e">
        <f t="shared" si="32"/>
        <v>#DIV/0!</v>
      </c>
      <c r="AA66" s="477" t="e">
        <f t="shared" si="32"/>
        <v>#DIV/0!</v>
      </c>
      <c r="AB66" s="477" t="e">
        <f t="shared" si="32"/>
        <v>#DIV/0!</v>
      </c>
      <c r="AC66" s="478" t="e">
        <f t="shared" si="32"/>
        <v>#DIV/0!</v>
      </c>
      <c r="AD66" s="217"/>
      <c r="AE66" s="311">
        <v>0.68750000004365497</v>
      </c>
      <c r="AF66" s="313">
        <v>0.85416666666666696</v>
      </c>
      <c r="AH66" s="186"/>
      <c r="AI66" s="187"/>
      <c r="AJ66" s="187"/>
      <c r="AK66" s="187"/>
      <c r="AL66" s="213"/>
      <c r="AN66" s="243"/>
      <c r="AO66" s="519"/>
      <c r="AP66" s="187"/>
      <c r="AQ66" s="187"/>
      <c r="AR66" s="187"/>
      <c r="AS66" s="213"/>
      <c r="AU66" s="190"/>
      <c r="AW66" s="296">
        <f>NEWSCHEDULES!$I$27</f>
        <v>0</v>
      </c>
      <c r="AX66" s="297">
        <f>NEWSCHEDULES!$I$70</f>
        <v>0</v>
      </c>
      <c r="AY66" s="297">
        <f>NEWSCHEDULES!$I$112</f>
        <v>0</v>
      </c>
      <c r="AZ66" s="297">
        <f>NEWSCHEDULES!$I$153</f>
        <v>0</v>
      </c>
      <c r="BA66" s="297">
        <f>NEWSCHEDULES!$I$194</f>
        <v>0</v>
      </c>
      <c r="BB66" s="297">
        <f>NEWSCHEDULES!$I$235</f>
        <v>0</v>
      </c>
      <c r="BC66" s="298">
        <f>NEWSCHEDULES!$I$276</f>
        <v>0</v>
      </c>
      <c r="BD66" s="243"/>
    </row>
    <row r="67" spans="2:56" ht="23.25" customHeight="1" x14ac:dyDescent="0.4">
      <c r="B67" s="273"/>
      <c r="C67" s="311">
        <v>0.75</v>
      </c>
      <c r="D67" s="274"/>
      <c r="E67" s="506">
        <f>ORISCHE!$I$28</f>
        <v>0</v>
      </c>
      <c r="F67" s="507">
        <f>ORISCHE!$I$71</f>
        <v>0</v>
      </c>
      <c r="G67" s="507">
        <f>ORISCHE!$I$113</f>
        <v>0</v>
      </c>
      <c r="H67" s="507">
        <f>ORISCHE!$I$154</f>
        <v>0</v>
      </c>
      <c r="I67" s="507">
        <f>ORISCHE!$I$195</f>
        <v>0</v>
      </c>
      <c r="J67" s="507">
        <f>ORISCHE!$I$236</f>
        <v>0</v>
      </c>
      <c r="K67" s="303">
        <f>ORISCHE!$I$277</f>
        <v>0</v>
      </c>
      <c r="L67" s="275"/>
      <c r="M67" s="456">
        <v>0.52083333333333337</v>
      </c>
      <c r="N67" s="457">
        <v>0.60416666666666663</v>
      </c>
      <c r="O67" s="450"/>
      <c r="P67" s="482" t="e">
        <f t="shared" ref="P67:AC67" si="33">P72/P$73</f>
        <v>#DIV/0!</v>
      </c>
      <c r="Q67" s="483" t="e">
        <f t="shared" si="33"/>
        <v>#DIV/0!</v>
      </c>
      <c r="R67" s="483" t="e">
        <f t="shared" si="33"/>
        <v>#DIV/0!</v>
      </c>
      <c r="S67" s="483" t="e">
        <f t="shared" si="33"/>
        <v>#DIV/0!</v>
      </c>
      <c r="T67" s="483" t="e">
        <f t="shared" si="33"/>
        <v>#DIV/0!</v>
      </c>
      <c r="U67" s="483" t="e">
        <f t="shared" si="33"/>
        <v>#DIV/0!</v>
      </c>
      <c r="V67" s="483" t="e">
        <f t="shared" si="33"/>
        <v>#DIV/0!</v>
      </c>
      <c r="W67" s="482" t="e">
        <f t="shared" si="33"/>
        <v>#DIV/0!</v>
      </c>
      <c r="X67" s="483" t="e">
        <f t="shared" si="33"/>
        <v>#DIV/0!</v>
      </c>
      <c r="Y67" s="483" t="e">
        <f t="shared" si="33"/>
        <v>#DIV/0!</v>
      </c>
      <c r="Z67" s="483" t="e">
        <f t="shared" si="33"/>
        <v>#DIV/0!</v>
      </c>
      <c r="AA67" s="483" t="e">
        <f t="shared" si="33"/>
        <v>#DIV/0!</v>
      </c>
      <c r="AB67" s="483" t="e">
        <f t="shared" si="33"/>
        <v>#DIV/0!</v>
      </c>
      <c r="AC67" s="484" t="e">
        <f t="shared" si="33"/>
        <v>#DIV/0!</v>
      </c>
      <c r="AD67" s="217"/>
      <c r="AE67" s="311">
        <v>0.70833333337941395</v>
      </c>
      <c r="AF67" s="313">
        <v>0.875</v>
      </c>
      <c r="AH67" s="186"/>
      <c r="AI67" s="187"/>
      <c r="AJ67" s="187"/>
      <c r="AK67" s="187"/>
      <c r="AL67" s="213"/>
      <c r="AN67" s="243"/>
      <c r="AO67" s="519"/>
      <c r="AP67" s="187"/>
      <c r="AQ67" s="187"/>
      <c r="AR67" s="187"/>
      <c r="AS67" s="213"/>
      <c r="AU67" s="190"/>
      <c r="AW67" s="296">
        <f>NEWSCHEDULES!$I$28</f>
        <v>0</v>
      </c>
      <c r="AX67" s="297">
        <f>NEWSCHEDULES!$I$71</f>
        <v>0</v>
      </c>
      <c r="AY67" s="297">
        <f>NEWSCHEDULES!$I$113</f>
        <v>0</v>
      </c>
      <c r="AZ67" s="297">
        <f>NEWSCHEDULES!$I$154</f>
        <v>0</v>
      </c>
      <c r="BA67" s="297">
        <f>NEWSCHEDULES!$I$195</f>
        <v>0</v>
      </c>
      <c r="BB67" s="297">
        <f>NEWSCHEDULES!$I$236</f>
        <v>0</v>
      </c>
      <c r="BC67" s="298">
        <f>NEWSCHEDULES!$I$277</f>
        <v>0</v>
      </c>
      <c r="BD67" s="243"/>
    </row>
    <row r="68" spans="2:56" ht="23.25" customHeight="1" x14ac:dyDescent="0.4">
      <c r="B68" s="273"/>
      <c r="C68" s="311">
        <v>0.77083333333333337</v>
      </c>
      <c r="D68" s="274"/>
      <c r="E68" s="506">
        <f>ORISCHE!$I$29</f>
        <v>0</v>
      </c>
      <c r="F68" s="507">
        <f>ORISCHE!$I$72</f>
        <v>0</v>
      </c>
      <c r="G68" s="507">
        <f>ORISCHE!$I$114</f>
        <v>0</v>
      </c>
      <c r="H68" s="507">
        <f>ORISCHE!$I$155</f>
        <v>0</v>
      </c>
      <c r="I68" s="507">
        <f>ORISCHE!$I$196</f>
        <v>0</v>
      </c>
      <c r="J68" s="507">
        <f>ORISCHE!$I$237</f>
        <v>0</v>
      </c>
      <c r="K68" s="303">
        <f>ORISCHE!$I$278</f>
        <v>0</v>
      </c>
      <c r="L68" s="275"/>
      <c r="M68" s="449"/>
      <c r="N68" s="501"/>
      <c r="O68" s="450"/>
      <c r="AC68" s="452"/>
      <c r="AD68" s="217"/>
      <c r="AE68" s="311">
        <v>0.72916666671517305</v>
      </c>
      <c r="AF68" s="313">
        <v>0.89583333333333404</v>
      </c>
      <c r="AH68" s="186"/>
      <c r="AI68" s="187"/>
      <c r="AJ68" s="187"/>
      <c r="AK68" s="187"/>
      <c r="AL68" s="213"/>
      <c r="AN68" s="243"/>
      <c r="AO68" s="519"/>
      <c r="AP68" s="187"/>
      <c r="AQ68" s="187"/>
      <c r="AR68" s="187"/>
      <c r="AS68" s="213"/>
      <c r="AU68" s="190"/>
      <c r="AW68" s="296">
        <f>NEWSCHEDULES!$I$29</f>
        <v>0</v>
      </c>
      <c r="AX68" s="297">
        <f>NEWSCHEDULES!$I$72</f>
        <v>0</v>
      </c>
      <c r="AY68" s="297">
        <f>NEWSCHEDULES!$I$114</f>
        <v>0</v>
      </c>
      <c r="AZ68" s="297">
        <f>NEWSCHEDULES!$I$155</f>
        <v>0</v>
      </c>
      <c r="BA68" s="297">
        <f>NEWSCHEDULES!$I$196</f>
        <v>0</v>
      </c>
      <c r="BB68" s="297">
        <f>NEWSCHEDULES!$I$237</f>
        <v>0</v>
      </c>
      <c r="BC68" s="298">
        <f>NEWSCHEDULES!$I$278</f>
        <v>0</v>
      </c>
      <c r="BD68" s="243"/>
    </row>
    <row r="69" spans="2:56" ht="23.25" customHeight="1" x14ac:dyDescent="0.4">
      <c r="B69" s="273"/>
      <c r="C69" s="311">
        <v>0.79166666666666663</v>
      </c>
      <c r="D69" s="274"/>
      <c r="E69" s="506">
        <f>ORISCHE!$I$30</f>
        <v>0</v>
      </c>
      <c r="F69" s="507">
        <f>ORISCHE!$I$73</f>
        <v>0</v>
      </c>
      <c r="G69" s="507">
        <f>ORISCHE!$I$115</f>
        <v>0</v>
      </c>
      <c r="H69" s="507">
        <f>ORISCHE!$I$156</f>
        <v>0</v>
      </c>
      <c r="I69" s="507">
        <f>ORISCHE!$I$197</f>
        <v>0</v>
      </c>
      <c r="J69" s="507">
        <f>ORISCHE!$I$238</f>
        <v>0</v>
      </c>
      <c r="K69" s="303">
        <f>ORISCHE!$I$279</f>
        <v>0</v>
      </c>
      <c r="L69" s="275"/>
      <c r="M69" s="449"/>
      <c r="N69" s="502" t="s">
        <v>38</v>
      </c>
      <c r="O69" s="450"/>
      <c r="P69" s="472" t="s">
        <v>23</v>
      </c>
      <c r="Q69" s="473" t="s">
        <v>24</v>
      </c>
      <c r="R69" s="473" t="s">
        <v>25</v>
      </c>
      <c r="S69" s="473" t="s">
        <v>26</v>
      </c>
      <c r="T69" s="473" t="s">
        <v>27</v>
      </c>
      <c r="U69" s="473" t="s">
        <v>28</v>
      </c>
      <c r="V69" s="474" t="s">
        <v>29</v>
      </c>
      <c r="W69" s="472" t="s">
        <v>23</v>
      </c>
      <c r="X69" s="473" t="s">
        <v>24</v>
      </c>
      <c r="Y69" s="473" t="s">
        <v>25</v>
      </c>
      <c r="Z69" s="473" t="s">
        <v>26</v>
      </c>
      <c r="AA69" s="473" t="s">
        <v>27</v>
      </c>
      <c r="AB69" s="473" t="s">
        <v>28</v>
      </c>
      <c r="AC69" s="476" t="s">
        <v>29</v>
      </c>
      <c r="AD69" s="217"/>
      <c r="AE69" s="311">
        <v>0.75000000005093104</v>
      </c>
      <c r="AF69" s="313">
        <v>0.91666666666666696</v>
      </c>
      <c r="AH69" s="186"/>
      <c r="AI69" s="187"/>
      <c r="AJ69" s="187"/>
      <c r="AK69" s="187"/>
      <c r="AL69" s="213"/>
      <c r="AN69" s="243"/>
      <c r="AO69" s="519"/>
      <c r="AP69" s="187"/>
      <c r="AQ69" s="187"/>
      <c r="AR69" s="187"/>
      <c r="AS69" s="213"/>
      <c r="AU69" s="190"/>
      <c r="AW69" s="296">
        <f>NEWSCHEDULES!$I$30</f>
        <v>0</v>
      </c>
      <c r="AX69" s="297">
        <f>NEWSCHEDULES!$I$73</f>
        <v>0</v>
      </c>
      <c r="AY69" s="297">
        <f>NEWSCHEDULES!$I$115</f>
        <v>0</v>
      </c>
      <c r="AZ69" s="297">
        <f>NEWSCHEDULES!$I$156</f>
        <v>0</v>
      </c>
      <c r="BA69" s="297">
        <f>NEWSCHEDULES!$I$197</f>
        <v>0</v>
      </c>
      <c r="BB69" s="297">
        <f>NEWSCHEDULES!$I$238</f>
        <v>0</v>
      </c>
      <c r="BC69" s="298">
        <f>NEWSCHEDULES!$I$279</f>
        <v>0</v>
      </c>
      <c r="BD69" s="243"/>
    </row>
    <row r="70" spans="2:56" ht="23.25" customHeight="1" x14ac:dyDescent="0.4">
      <c r="B70" s="273"/>
      <c r="C70" s="311">
        <v>0.8125</v>
      </c>
      <c r="D70" s="274"/>
      <c r="E70" s="506">
        <f>ORISCHE!$I$31</f>
        <v>0</v>
      </c>
      <c r="F70" s="507">
        <f>ORISCHE!$I$74</f>
        <v>0</v>
      </c>
      <c r="G70" s="507">
        <f>ORISCHE!$I$116</f>
        <v>0</v>
      </c>
      <c r="H70" s="507">
        <f>ORISCHE!$I$157</f>
        <v>0</v>
      </c>
      <c r="I70" s="507">
        <f>ORISCHE!$I$198</f>
        <v>0</v>
      </c>
      <c r="J70" s="507">
        <f>ORISCHE!$I$239</f>
        <v>0</v>
      </c>
      <c r="K70" s="303">
        <f>ORISCHE!$I$280</f>
        <v>0</v>
      </c>
      <c r="L70" s="275"/>
      <c r="M70" s="456">
        <v>0.33333333333333331</v>
      </c>
      <c r="N70" s="457">
        <v>0.39583333333333331</v>
      </c>
      <c r="O70" s="450"/>
      <c r="P70" s="464">
        <f t="shared" ref="P70:V70" si="34">SUM(P47:P50)</f>
        <v>0</v>
      </c>
      <c r="Q70" s="465">
        <f t="shared" si="34"/>
        <v>0</v>
      </c>
      <c r="R70" s="465">
        <f t="shared" si="34"/>
        <v>0</v>
      </c>
      <c r="S70" s="465">
        <f t="shared" si="34"/>
        <v>0</v>
      </c>
      <c r="T70" s="465">
        <f t="shared" si="34"/>
        <v>0</v>
      </c>
      <c r="U70" s="465">
        <f t="shared" si="34"/>
        <v>0</v>
      </c>
      <c r="V70" s="466">
        <f t="shared" si="34"/>
        <v>0</v>
      </c>
      <c r="W70" s="464">
        <f t="shared" ref="W70:AC72" si="35">SUM(W79,AH79,AO79)</f>
        <v>0</v>
      </c>
      <c r="X70" s="465">
        <f t="shared" si="35"/>
        <v>0</v>
      </c>
      <c r="Y70" s="465">
        <f t="shared" si="35"/>
        <v>0</v>
      </c>
      <c r="Z70" s="465">
        <f t="shared" si="35"/>
        <v>0</v>
      </c>
      <c r="AA70" s="465">
        <f t="shared" si="35"/>
        <v>0</v>
      </c>
      <c r="AB70" s="465">
        <f t="shared" si="35"/>
        <v>0</v>
      </c>
      <c r="AC70" s="485">
        <f t="shared" si="35"/>
        <v>0</v>
      </c>
      <c r="AD70" s="217"/>
      <c r="AE70" s="277"/>
      <c r="AF70" s="216"/>
      <c r="AH70" s="186"/>
      <c r="AI70" s="187"/>
      <c r="AJ70" s="187"/>
      <c r="AK70" s="187"/>
      <c r="AL70" s="213"/>
      <c r="AN70" s="243"/>
      <c r="AO70" s="519"/>
      <c r="AP70" s="187"/>
      <c r="AQ70" s="187"/>
      <c r="AR70" s="187"/>
      <c r="AS70" s="213"/>
      <c r="AU70" s="190"/>
      <c r="AW70" s="296">
        <f>NEWSCHEDULES!$I$31</f>
        <v>0</v>
      </c>
      <c r="AX70" s="297">
        <f>NEWSCHEDULES!$I$74</f>
        <v>0</v>
      </c>
      <c r="AY70" s="297">
        <f>NEWSCHEDULES!$I$116</f>
        <v>0</v>
      </c>
      <c r="AZ70" s="297">
        <f>NEWSCHEDULES!$I$157</f>
        <v>0</v>
      </c>
      <c r="BA70" s="297">
        <f>NEWSCHEDULES!$I$198</f>
        <v>0</v>
      </c>
      <c r="BB70" s="297">
        <f>NEWSCHEDULES!$I$239</f>
        <v>0</v>
      </c>
      <c r="BC70" s="298">
        <f>NEWSCHEDULES!$I$280</f>
        <v>0</v>
      </c>
      <c r="BD70" s="243"/>
    </row>
    <row r="71" spans="2:56" ht="23.25" customHeight="1" x14ac:dyDescent="0.4">
      <c r="B71" s="273"/>
      <c r="C71" s="311">
        <v>0.83333333333333337</v>
      </c>
      <c r="D71" s="274"/>
      <c r="E71" s="506">
        <f>ORISCHE!$I$32</f>
        <v>0</v>
      </c>
      <c r="F71" s="507">
        <f>ORISCHE!$I$75</f>
        <v>0</v>
      </c>
      <c r="G71" s="507">
        <f>ORISCHE!$I$117</f>
        <v>0</v>
      </c>
      <c r="H71" s="507">
        <f>ORISCHE!$I$158</f>
        <v>0</v>
      </c>
      <c r="I71" s="507">
        <f>ORISCHE!$I$199</f>
        <v>0</v>
      </c>
      <c r="J71" s="507">
        <f>ORISCHE!$I$240</f>
        <v>0</v>
      </c>
      <c r="K71" s="303">
        <f>ORISCHE!$I$281</f>
        <v>0</v>
      </c>
      <c r="L71" s="275"/>
      <c r="M71" s="456">
        <v>0.41666666666666669</v>
      </c>
      <c r="N71" s="457">
        <v>0.5</v>
      </c>
      <c r="O71" s="450"/>
      <c r="P71" s="467">
        <f t="shared" ref="P71:V71" si="36">SUM(P51:P55)</f>
        <v>0</v>
      </c>
      <c r="Q71" s="458">
        <f t="shared" si="36"/>
        <v>0</v>
      </c>
      <c r="R71" s="458">
        <f t="shared" si="36"/>
        <v>0</v>
      </c>
      <c r="S71" s="458">
        <f t="shared" si="36"/>
        <v>0</v>
      </c>
      <c r="T71" s="458">
        <f t="shared" si="36"/>
        <v>0</v>
      </c>
      <c r="U71" s="458">
        <f t="shared" si="36"/>
        <v>0</v>
      </c>
      <c r="V71" s="468">
        <f t="shared" si="36"/>
        <v>0</v>
      </c>
      <c r="W71" s="467">
        <f t="shared" si="35"/>
        <v>0</v>
      </c>
      <c r="X71" s="458">
        <f t="shared" si="35"/>
        <v>0</v>
      </c>
      <c r="Y71" s="458">
        <f t="shared" si="35"/>
        <v>0</v>
      </c>
      <c r="Z71" s="458">
        <f t="shared" si="35"/>
        <v>0</v>
      </c>
      <c r="AA71" s="458">
        <f t="shared" si="35"/>
        <v>0</v>
      </c>
      <c r="AB71" s="458">
        <f t="shared" si="35"/>
        <v>0</v>
      </c>
      <c r="AC71" s="486">
        <f t="shared" si="35"/>
        <v>0</v>
      </c>
      <c r="AD71" s="217"/>
      <c r="AE71" s="277"/>
      <c r="AF71" s="216"/>
      <c r="AH71" s="186"/>
      <c r="AI71" s="187"/>
      <c r="AJ71" s="187"/>
      <c r="AK71" s="187"/>
      <c r="AL71" s="213"/>
      <c r="AN71" s="243"/>
      <c r="AO71" s="519"/>
      <c r="AP71" s="187"/>
      <c r="AQ71" s="187"/>
      <c r="AR71" s="187"/>
      <c r="AS71" s="213"/>
      <c r="AU71" s="190"/>
      <c r="AW71" s="296">
        <f>NEWSCHEDULES!$I$32</f>
        <v>0</v>
      </c>
      <c r="AX71" s="297">
        <f>NEWSCHEDULES!$I$75</f>
        <v>0</v>
      </c>
      <c r="AY71" s="297">
        <f>NEWSCHEDULES!$I$117</f>
        <v>0</v>
      </c>
      <c r="AZ71" s="297">
        <f>NEWSCHEDULES!$I$158</f>
        <v>0</v>
      </c>
      <c r="BA71" s="297">
        <f>NEWSCHEDULES!$I$199</f>
        <v>0</v>
      </c>
      <c r="BB71" s="297">
        <f>NEWSCHEDULES!$I$240</f>
        <v>0</v>
      </c>
      <c r="BC71" s="298">
        <f>NEWSCHEDULES!$I$281</f>
        <v>0</v>
      </c>
      <c r="BD71" s="243"/>
    </row>
    <row r="72" spans="2:56" ht="23.25" customHeight="1" x14ac:dyDescent="0.4">
      <c r="B72" s="273"/>
      <c r="C72" s="311">
        <v>0.85416666666666663</v>
      </c>
      <c r="D72" s="274"/>
      <c r="E72" s="506">
        <f>ORISCHE!$I$33</f>
        <v>0</v>
      </c>
      <c r="F72" s="507">
        <f>ORISCHE!$I$76</f>
        <v>0</v>
      </c>
      <c r="G72" s="507">
        <f>ORISCHE!$I$118</f>
        <v>0</v>
      </c>
      <c r="H72" s="507">
        <f>ORISCHE!$I$159</f>
        <v>0</v>
      </c>
      <c r="I72" s="507">
        <f>ORISCHE!$I$200</f>
        <v>0</v>
      </c>
      <c r="J72" s="507">
        <f>ORISCHE!$I$241</f>
        <v>0</v>
      </c>
      <c r="K72" s="303">
        <f>ORISCHE!$I$282</f>
        <v>0</v>
      </c>
      <c r="L72" s="275"/>
      <c r="M72" s="456">
        <v>0.52083333333333337</v>
      </c>
      <c r="N72" s="457">
        <v>0.60416666666666663</v>
      </c>
      <c r="O72" s="450"/>
      <c r="P72" s="469">
        <f t="shared" ref="P72:V72" si="37">SUM(P56:P60)</f>
        <v>0</v>
      </c>
      <c r="Q72" s="470">
        <f t="shared" si="37"/>
        <v>0</v>
      </c>
      <c r="R72" s="470">
        <f t="shared" si="37"/>
        <v>0</v>
      </c>
      <c r="S72" s="470">
        <f t="shared" si="37"/>
        <v>0</v>
      </c>
      <c r="T72" s="470">
        <f t="shared" si="37"/>
        <v>0</v>
      </c>
      <c r="U72" s="470">
        <f t="shared" si="37"/>
        <v>0</v>
      </c>
      <c r="V72" s="471">
        <f t="shared" si="37"/>
        <v>0</v>
      </c>
      <c r="W72" s="469">
        <f t="shared" si="35"/>
        <v>0</v>
      </c>
      <c r="X72" s="470">
        <f t="shared" si="35"/>
        <v>0</v>
      </c>
      <c r="Y72" s="470">
        <f t="shared" si="35"/>
        <v>0</v>
      </c>
      <c r="Z72" s="470">
        <f t="shared" si="35"/>
        <v>0</v>
      </c>
      <c r="AA72" s="470">
        <f t="shared" si="35"/>
        <v>0</v>
      </c>
      <c r="AB72" s="470">
        <f t="shared" si="35"/>
        <v>0</v>
      </c>
      <c r="AC72" s="487">
        <f t="shared" si="35"/>
        <v>0</v>
      </c>
      <c r="AD72" s="217"/>
      <c r="AE72" s="277"/>
      <c r="AF72" s="216"/>
      <c r="AH72" s="186"/>
      <c r="AI72" s="187"/>
      <c r="AJ72" s="187"/>
      <c r="AK72" s="187"/>
      <c r="AL72" s="213"/>
      <c r="AN72" s="243"/>
      <c r="AO72" s="519"/>
      <c r="AP72" s="187"/>
      <c r="AQ72" s="187"/>
      <c r="AR72" s="187"/>
      <c r="AS72" s="213"/>
      <c r="AU72" s="190"/>
      <c r="AW72" s="296">
        <f>NEWSCHEDULES!$I$33</f>
        <v>0</v>
      </c>
      <c r="AX72" s="297">
        <f>NEWSCHEDULES!$I$76</f>
        <v>0</v>
      </c>
      <c r="AY72" s="297">
        <f>NEWSCHEDULES!$I$118</f>
        <v>0</v>
      </c>
      <c r="AZ72" s="297">
        <f>NEWSCHEDULES!$I$159</f>
        <v>0</v>
      </c>
      <c r="BA72" s="297">
        <f>NEWSCHEDULES!$I$200</f>
        <v>0</v>
      </c>
      <c r="BB72" s="297">
        <f>NEWSCHEDULES!$I$241</f>
        <v>0</v>
      </c>
      <c r="BC72" s="298">
        <f>NEWSCHEDULES!$I$282</f>
        <v>0</v>
      </c>
      <c r="BD72" s="243"/>
    </row>
    <row r="73" spans="2:56" ht="23.25" customHeight="1" x14ac:dyDescent="0.4">
      <c r="B73" s="273"/>
      <c r="C73" s="311">
        <v>0.875</v>
      </c>
      <c r="D73" s="274"/>
      <c r="E73" s="506">
        <f>ORISCHE!$I$34</f>
        <v>0</v>
      </c>
      <c r="F73" s="507">
        <f>ORISCHE!$I$77</f>
        <v>0</v>
      </c>
      <c r="G73" s="507">
        <f>ORISCHE!$I$119</f>
        <v>0</v>
      </c>
      <c r="H73" s="507">
        <f>ORISCHE!$I$160</f>
        <v>0</v>
      </c>
      <c r="I73" s="507">
        <f>ORISCHE!$I$201</f>
        <v>0</v>
      </c>
      <c r="J73" s="507">
        <f>ORISCHE!$I$242</f>
        <v>0</v>
      </c>
      <c r="K73" s="303">
        <f>ORISCHE!$I$283</f>
        <v>0</v>
      </c>
      <c r="L73" s="275"/>
      <c r="M73" s="449"/>
      <c r="N73" s="450"/>
      <c r="O73" s="450"/>
      <c r="P73" s="458">
        <f t="shared" ref="P73:V73" si="38">SUM(P70:P72)</f>
        <v>0</v>
      </c>
      <c r="Q73" s="458">
        <f t="shared" si="38"/>
        <v>0</v>
      </c>
      <c r="R73" s="458">
        <f t="shared" si="38"/>
        <v>0</v>
      </c>
      <c r="S73" s="458">
        <f t="shared" si="38"/>
        <v>0</v>
      </c>
      <c r="T73" s="458">
        <f t="shared" si="38"/>
        <v>0</v>
      </c>
      <c r="U73" s="458">
        <f t="shared" si="38"/>
        <v>0</v>
      </c>
      <c r="V73" s="458">
        <f t="shared" si="38"/>
        <v>0</v>
      </c>
      <c r="W73" s="458">
        <f t="shared" ref="W73:AC73" si="39">SUM(W79:W81,AH79:AH81,AO79:AO81)</f>
        <v>0</v>
      </c>
      <c r="X73" s="458">
        <f t="shared" si="39"/>
        <v>0</v>
      </c>
      <c r="Y73" s="458">
        <f t="shared" si="39"/>
        <v>0</v>
      </c>
      <c r="Z73" s="458">
        <f t="shared" si="39"/>
        <v>0</v>
      </c>
      <c r="AA73" s="458">
        <f t="shared" si="39"/>
        <v>0</v>
      </c>
      <c r="AB73" s="458">
        <f t="shared" si="39"/>
        <v>0</v>
      </c>
      <c r="AC73" s="486">
        <f t="shared" si="39"/>
        <v>0</v>
      </c>
      <c r="AD73" s="217"/>
      <c r="AE73" s="215"/>
      <c r="AH73" s="186"/>
      <c r="AI73" s="187"/>
      <c r="AJ73" s="187"/>
      <c r="AK73" s="187"/>
      <c r="AL73" s="213"/>
      <c r="AN73" s="243"/>
      <c r="AO73" s="519"/>
      <c r="AP73" s="187"/>
      <c r="AQ73" s="187"/>
      <c r="AR73" s="187"/>
      <c r="AS73" s="213"/>
      <c r="AU73" s="190"/>
      <c r="AW73" s="296">
        <f>NEWSCHEDULES!$I$34</f>
        <v>0</v>
      </c>
      <c r="AX73" s="297">
        <f>NEWSCHEDULES!$I$77</f>
        <v>0</v>
      </c>
      <c r="AY73" s="297">
        <f>NEWSCHEDULES!$I$119</f>
        <v>0</v>
      </c>
      <c r="AZ73" s="297">
        <f>NEWSCHEDULES!$I$160</f>
        <v>0</v>
      </c>
      <c r="BA73" s="297">
        <f>NEWSCHEDULES!$I$201</f>
        <v>0</v>
      </c>
      <c r="BB73" s="297">
        <f>NEWSCHEDULES!$I$242</f>
        <v>0</v>
      </c>
      <c r="BC73" s="298">
        <f>NEWSCHEDULES!$I$283</f>
        <v>0</v>
      </c>
      <c r="BD73" s="243"/>
    </row>
    <row r="74" spans="2:56" ht="23.25" customHeight="1" x14ac:dyDescent="0.4">
      <c r="B74" s="273"/>
      <c r="C74" s="311">
        <v>0.89583333333333337</v>
      </c>
      <c r="D74" s="274"/>
      <c r="E74" s="506">
        <f>ORISCHE!$I$35</f>
        <v>0</v>
      </c>
      <c r="F74" s="507">
        <f>ORISCHE!$I$78</f>
        <v>0</v>
      </c>
      <c r="G74" s="507">
        <f>ORISCHE!$I$120</f>
        <v>0</v>
      </c>
      <c r="H74" s="507">
        <f>ORISCHE!$I$161</f>
        <v>0</v>
      </c>
      <c r="I74" s="507">
        <f>ORISCHE!$I$202</f>
        <v>0</v>
      </c>
      <c r="J74" s="507">
        <f>ORISCHE!$I$243</f>
        <v>0</v>
      </c>
      <c r="K74" s="303">
        <f>ORISCHE!$I$284</f>
        <v>0</v>
      </c>
      <c r="L74" s="275"/>
      <c r="M74" s="449"/>
      <c r="N74" s="451"/>
      <c r="O74" s="451"/>
      <c r="P74" s="451"/>
      <c r="Q74" s="451"/>
      <c r="R74" s="451"/>
      <c r="S74" s="451"/>
      <c r="T74" s="451"/>
      <c r="U74" s="451"/>
      <c r="V74" s="451"/>
      <c r="W74" s="451"/>
      <c r="X74" s="451"/>
      <c r="Y74" s="451"/>
      <c r="Z74" s="451"/>
      <c r="AA74" s="451"/>
      <c r="AB74" s="451"/>
      <c r="AC74" s="452"/>
      <c r="AD74" s="217"/>
      <c r="AE74" s="215"/>
      <c r="AH74" s="186"/>
      <c r="AI74" s="187"/>
      <c r="AJ74" s="187"/>
      <c r="AK74" s="187"/>
      <c r="AL74" s="213"/>
      <c r="AN74" s="243"/>
      <c r="AO74" s="519"/>
      <c r="AP74" s="187"/>
      <c r="AQ74" s="187"/>
      <c r="AR74" s="187"/>
      <c r="AS74" s="213"/>
      <c r="AU74" s="190"/>
      <c r="AW74" s="296">
        <f>NEWSCHEDULES!$I$35</f>
        <v>0</v>
      </c>
      <c r="AX74" s="297">
        <f>NEWSCHEDULES!$I$78</f>
        <v>0</v>
      </c>
      <c r="AY74" s="297">
        <f>NEWSCHEDULES!$I$120</f>
        <v>0</v>
      </c>
      <c r="AZ74" s="297">
        <f>NEWSCHEDULES!$I$161</f>
        <v>0</v>
      </c>
      <c r="BA74" s="297">
        <f>NEWSCHEDULES!$I$202</f>
        <v>0</v>
      </c>
      <c r="BB74" s="297">
        <f>NEWSCHEDULES!$I$243</f>
        <v>0</v>
      </c>
      <c r="BC74" s="298">
        <f>NEWSCHEDULES!$I$284</f>
        <v>0</v>
      </c>
      <c r="BD74" s="243"/>
    </row>
    <row r="75" spans="2:56" ht="23.25" customHeight="1" x14ac:dyDescent="0.4">
      <c r="B75" s="273"/>
      <c r="C75" s="311">
        <v>0.91666666666666663</v>
      </c>
      <c r="D75" s="274"/>
      <c r="E75" s="506">
        <f>ORISCHE!$I$36</f>
        <v>0</v>
      </c>
      <c r="F75" s="507">
        <f>ORISCHE!$I$79</f>
        <v>0</v>
      </c>
      <c r="G75" s="507">
        <f>ORISCHE!$I$121</f>
        <v>0</v>
      </c>
      <c r="H75" s="507">
        <f>ORISCHE!$I$162</f>
        <v>0</v>
      </c>
      <c r="I75" s="507">
        <f>ORISCHE!$I$203</f>
        <v>0</v>
      </c>
      <c r="J75" s="507">
        <f>ORISCHE!$I$244</f>
        <v>0</v>
      </c>
      <c r="K75" s="303">
        <f>ORISCHE!$I$285</f>
        <v>0</v>
      </c>
      <c r="L75" s="275"/>
      <c r="M75" s="449"/>
      <c r="N75" s="450"/>
      <c r="O75" s="450"/>
      <c r="P75" s="451"/>
      <c r="Q75" s="451"/>
      <c r="R75" s="451"/>
      <c r="S75" s="451"/>
      <c r="T75" s="451"/>
      <c r="U75" s="451"/>
      <c r="V75" s="451"/>
      <c r="W75" s="451"/>
      <c r="X75" s="451"/>
      <c r="Y75" s="451"/>
      <c r="Z75" s="451"/>
      <c r="AA75" s="451"/>
      <c r="AB75" s="451"/>
      <c r="AC75" s="452"/>
      <c r="AD75" s="217"/>
      <c r="AE75" s="215"/>
      <c r="AH75" s="204"/>
      <c r="AI75" s="205"/>
      <c r="AJ75" s="205"/>
      <c r="AK75" s="205"/>
      <c r="AL75" s="214"/>
      <c r="AN75" s="243"/>
      <c r="AO75" s="520"/>
      <c r="AP75" s="205"/>
      <c r="AQ75" s="205"/>
      <c r="AR75" s="205"/>
      <c r="AS75" s="214"/>
      <c r="AU75" s="190"/>
      <c r="AW75" s="296">
        <f>NEWSCHEDULES!$I$36</f>
        <v>0</v>
      </c>
      <c r="AX75" s="297">
        <f>NEWSCHEDULES!$I$79</f>
        <v>0</v>
      </c>
      <c r="AY75" s="297">
        <f>NEWSCHEDULES!$I$121</f>
        <v>0</v>
      </c>
      <c r="AZ75" s="297">
        <f>NEWSCHEDULES!$I$162</f>
        <v>0</v>
      </c>
      <c r="BA75" s="297">
        <f>NEWSCHEDULES!$I$203</f>
        <v>0</v>
      </c>
      <c r="BB75" s="297">
        <f>NEWSCHEDULES!$I$244</f>
        <v>0</v>
      </c>
      <c r="BC75" s="298">
        <f>NEWSCHEDULES!$I$285</f>
        <v>0</v>
      </c>
      <c r="BD75" s="243"/>
    </row>
    <row r="76" spans="2:56" ht="23.25" customHeight="1" x14ac:dyDescent="0.4">
      <c r="B76" s="273"/>
      <c r="C76" s="311">
        <v>0.9375</v>
      </c>
      <c r="D76" s="274"/>
      <c r="E76" s="508">
        <f>ORISCHE!$I$37</f>
        <v>0</v>
      </c>
      <c r="F76" s="509">
        <f>ORISCHE!$I$80</f>
        <v>0</v>
      </c>
      <c r="G76" s="509">
        <f>ORISCHE!$I$122</f>
        <v>0</v>
      </c>
      <c r="H76" s="509">
        <f>ORISCHE!$I$163</f>
        <v>0</v>
      </c>
      <c r="I76" s="509">
        <f>ORISCHE!$I$204</f>
        <v>0</v>
      </c>
      <c r="J76" s="509">
        <f>ORISCHE!$I$245</f>
        <v>0</v>
      </c>
      <c r="K76" s="510">
        <f>ORISCHE!$I$286</f>
        <v>0</v>
      </c>
      <c r="L76" s="275"/>
      <c r="M76" s="449"/>
      <c r="N76" s="450"/>
      <c r="O76" s="450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  <c r="AA76" s="451"/>
      <c r="AB76" s="451"/>
      <c r="AC76" s="452"/>
      <c r="AD76" s="217"/>
      <c r="AE76" s="215"/>
      <c r="AU76" s="190"/>
      <c r="AW76" s="299">
        <f>NEWSCHEDULES!$I$37</f>
        <v>0</v>
      </c>
      <c r="AX76" s="300">
        <f>NEWSCHEDULES!$I$80</f>
        <v>0</v>
      </c>
      <c r="AY76" s="300">
        <f>NEWSCHEDULES!$I$122</f>
        <v>0</v>
      </c>
      <c r="AZ76" s="300">
        <f>NEWSCHEDULES!$I$163</f>
        <v>0</v>
      </c>
      <c r="BA76" s="300">
        <f>NEWSCHEDULES!$I$204</f>
        <v>0</v>
      </c>
      <c r="BB76" s="300">
        <f>NEWSCHEDULES!$I$245</f>
        <v>0</v>
      </c>
      <c r="BC76" s="301">
        <f>NEWSCHEDULES!$I$286</f>
        <v>0</v>
      </c>
      <c r="BD76" s="243"/>
    </row>
    <row r="77" spans="2:56" ht="23.25" customHeight="1" thickBot="1" x14ac:dyDescent="0.45">
      <c r="B77" s="278"/>
      <c r="C77" s="215"/>
      <c r="D77" s="189"/>
      <c r="E77" s="189"/>
      <c r="F77" s="189"/>
      <c r="G77" s="189"/>
      <c r="H77" s="189"/>
      <c r="I77" s="189"/>
      <c r="J77" s="189"/>
      <c r="K77" s="190"/>
      <c r="L77" s="189"/>
      <c r="M77" s="449"/>
      <c r="N77" s="450"/>
      <c r="O77" s="450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  <c r="AA77" s="451"/>
      <c r="AB77" s="451"/>
      <c r="AC77" s="452"/>
      <c r="AD77" s="217"/>
      <c r="AE77" s="215"/>
      <c r="AU77" s="190"/>
      <c r="AW77" s="215"/>
      <c r="BC77" s="190"/>
      <c r="BD77" s="243"/>
    </row>
    <row r="78" spans="2:56" ht="23.25" customHeight="1" thickBot="1" x14ac:dyDescent="0.45">
      <c r="B78" s="278"/>
      <c r="C78" s="215"/>
      <c r="D78" s="189"/>
      <c r="E78" s="191">
        <f t="shared" ref="E78:K78" si="40">SUM(E47:E76)/16</f>
        <v>0</v>
      </c>
      <c r="F78" s="191">
        <f t="shared" si="40"/>
        <v>0</v>
      </c>
      <c r="G78" s="191">
        <f t="shared" si="40"/>
        <v>0</v>
      </c>
      <c r="H78" s="191">
        <f t="shared" si="40"/>
        <v>0</v>
      </c>
      <c r="I78" s="192">
        <f t="shared" si="40"/>
        <v>0</v>
      </c>
      <c r="J78" s="191">
        <f t="shared" si="40"/>
        <v>0</v>
      </c>
      <c r="K78" s="193">
        <f t="shared" si="40"/>
        <v>0</v>
      </c>
      <c r="L78" s="189"/>
      <c r="M78" s="449"/>
      <c r="N78" s="450"/>
      <c r="O78" s="450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  <c r="AA78" s="451"/>
      <c r="AB78" s="451"/>
      <c r="AC78" s="452"/>
      <c r="AD78" s="217"/>
      <c r="AE78" s="215"/>
      <c r="AH78" s="208">
        <f t="shared" ref="AH78:AU78" si="41">SUM(AH47:AH71)</f>
        <v>0</v>
      </c>
      <c r="AI78" s="208">
        <f t="shared" si="41"/>
        <v>0</v>
      </c>
      <c r="AJ78" s="208">
        <f t="shared" si="41"/>
        <v>0</v>
      </c>
      <c r="AK78" s="208">
        <f t="shared" si="41"/>
        <v>0</v>
      </c>
      <c r="AL78" s="208">
        <f t="shared" si="41"/>
        <v>0</v>
      </c>
      <c r="AM78" s="208">
        <f t="shared" si="41"/>
        <v>0</v>
      </c>
      <c r="AN78" s="208">
        <f t="shared" si="41"/>
        <v>0</v>
      </c>
      <c r="AO78" s="208">
        <f t="shared" si="41"/>
        <v>0</v>
      </c>
      <c r="AP78" s="208">
        <f t="shared" si="41"/>
        <v>0</v>
      </c>
      <c r="AQ78" s="208">
        <f t="shared" si="41"/>
        <v>0</v>
      </c>
      <c r="AR78" s="209">
        <f t="shared" si="41"/>
        <v>0</v>
      </c>
      <c r="AS78" s="210">
        <f t="shared" si="41"/>
        <v>0</v>
      </c>
      <c r="AT78" s="208">
        <f t="shared" si="41"/>
        <v>0</v>
      </c>
      <c r="AU78" s="211">
        <f t="shared" si="41"/>
        <v>0</v>
      </c>
      <c r="AW78" s="279">
        <f t="shared" ref="AW78:BB78" si="42">X61-P61</f>
        <v>0</v>
      </c>
      <c r="AX78" s="280">
        <f t="shared" si="42"/>
        <v>0</v>
      </c>
      <c r="AY78" s="280">
        <f t="shared" si="42"/>
        <v>0</v>
      </c>
      <c r="AZ78" s="280">
        <f t="shared" si="42"/>
        <v>0</v>
      </c>
      <c r="BA78" s="280">
        <f t="shared" si="42"/>
        <v>0</v>
      </c>
      <c r="BB78" s="280">
        <f t="shared" si="42"/>
        <v>0</v>
      </c>
      <c r="BC78" s="281" t="e">
        <f>#REF!-V61</f>
        <v>#REF!</v>
      </c>
      <c r="BD78" s="243"/>
    </row>
    <row r="79" spans="2:56" ht="23.25" customHeight="1" x14ac:dyDescent="0.4">
      <c r="B79" s="227"/>
      <c r="C79" s="215"/>
      <c r="D79" s="189"/>
      <c r="E79" s="189"/>
      <c r="F79" s="189"/>
      <c r="G79" s="189"/>
      <c r="H79" s="189"/>
      <c r="I79" s="189"/>
      <c r="J79" s="189"/>
      <c r="K79" s="190"/>
      <c r="L79" s="189"/>
      <c r="M79" s="449"/>
      <c r="N79" s="450"/>
      <c r="O79" s="450"/>
      <c r="P79" s="451"/>
      <c r="Q79" s="451"/>
      <c r="R79" s="451"/>
      <c r="S79" s="451"/>
      <c r="T79" s="451"/>
      <c r="U79" s="451"/>
      <c r="V79" s="451"/>
      <c r="W79" s="488">
        <f t="shared" ref="W79:AC79" si="43">SUM(W47:W50)</f>
        <v>0</v>
      </c>
      <c r="X79" s="489">
        <f t="shared" si="43"/>
        <v>0</v>
      </c>
      <c r="Y79" s="489">
        <f t="shared" si="43"/>
        <v>0</v>
      </c>
      <c r="Z79" s="489">
        <f t="shared" si="43"/>
        <v>0</v>
      </c>
      <c r="AA79" s="489">
        <f t="shared" si="43"/>
        <v>0</v>
      </c>
      <c r="AB79" s="489">
        <f t="shared" si="43"/>
        <v>0</v>
      </c>
      <c r="AC79" s="490">
        <f t="shared" si="43"/>
        <v>0</v>
      </c>
      <c r="AD79" s="217"/>
      <c r="AE79" s="459"/>
      <c r="AF79" s="460"/>
      <c r="AG79" s="460"/>
      <c r="AH79" s="488">
        <f>SUM(AH47:AH50)</f>
        <v>0</v>
      </c>
      <c r="AI79" s="489">
        <f t="shared" ref="AI79:AU79" si="44">SUM(AI47:AI50)</f>
        <v>0</v>
      </c>
      <c r="AJ79" s="489">
        <f t="shared" si="44"/>
        <v>0</v>
      </c>
      <c r="AK79" s="489">
        <f t="shared" si="44"/>
        <v>0</v>
      </c>
      <c r="AL79" s="489">
        <f t="shared" si="44"/>
        <v>0</v>
      </c>
      <c r="AM79" s="489">
        <f t="shared" si="44"/>
        <v>0</v>
      </c>
      <c r="AN79" s="511">
        <f t="shared" si="44"/>
        <v>0</v>
      </c>
      <c r="AO79" s="489">
        <f t="shared" si="44"/>
        <v>0</v>
      </c>
      <c r="AP79" s="489">
        <f t="shared" si="44"/>
        <v>0</v>
      </c>
      <c r="AQ79" s="489">
        <f t="shared" si="44"/>
        <v>0</v>
      </c>
      <c r="AR79" s="489">
        <f t="shared" si="44"/>
        <v>0</v>
      </c>
      <c r="AS79" s="489">
        <f t="shared" si="44"/>
        <v>0</v>
      </c>
      <c r="AT79" s="489">
        <f t="shared" si="44"/>
        <v>0</v>
      </c>
      <c r="AU79" s="490">
        <f t="shared" si="44"/>
        <v>0</v>
      </c>
      <c r="AW79" s="215"/>
      <c r="BC79" s="190"/>
      <c r="BD79" s="243"/>
    </row>
    <row r="80" spans="2:56" ht="23.25" customHeight="1" x14ac:dyDescent="0.4">
      <c r="B80" s="282"/>
      <c r="C80" s="215"/>
      <c r="D80" s="189"/>
      <c r="E80" s="189"/>
      <c r="F80" s="189"/>
      <c r="G80" s="189"/>
      <c r="H80" s="189"/>
      <c r="I80" s="189"/>
      <c r="J80" s="189"/>
      <c r="K80" s="190"/>
      <c r="L80" s="189"/>
      <c r="M80" s="449"/>
      <c r="N80" s="450"/>
      <c r="O80" s="450"/>
      <c r="P80" s="451"/>
      <c r="Q80" s="451"/>
      <c r="R80" s="451"/>
      <c r="S80" s="451"/>
      <c r="T80" s="451"/>
      <c r="U80" s="451"/>
      <c r="V80" s="451"/>
      <c r="W80" s="491">
        <f t="shared" ref="W80:AC80" si="45">SUM(W51:W55)</f>
        <v>0</v>
      </c>
      <c r="X80" s="492">
        <f t="shared" si="45"/>
        <v>0</v>
      </c>
      <c r="Y80" s="492">
        <f t="shared" si="45"/>
        <v>0</v>
      </c>
      <c r="Z80" s="492">
        <f t="shared" si="45"/>
        <v>0</v>
      </c>
      <c r="AA80" s="492">
        <f t="shared" si="45"/>
        <v>0</v>
      </c>
      <c r="AB80" s="492">
        <f t="shared" si="45"/>
        <v>0</v>
      </c>
      <c r="AC80" s="493">
        <f t="shared" si="45"/>
        <v>0</v>
      </c>
      <c r="AE80" s="459"/>
      <c r="AF80" s="460"/>
      <c r="AG80" s="460"/>
      <c r="AH80" s="491">
        <f>SUM(AH51:AH54)</f>
        <v>0</v>
      </c>
      <c r="AI80" s="492">
        <f t="shared" ref="AI80:AU80" si="46">SUM(AI51:AI54)</f>
        <v>0</v>
      </c>
      <c r="AJ80" s="492">
        <f t="shared" si="46"/>
        <v>0</v>
      </c>
      <c r="AK80" s="492">
        <f t="shared" si="46"/>
        <v>0</v>
      </c>
      <c r="AL80" s="492">
        <f t="shared" si="46"/>
        <v>0</v>
      </c>
      <c r="AM80" s="492">
        <f t="shared" si="46"/>
        <v>0</v>
      </c>
      <c r="AN80" s="512">
        <f t="shared" si="46"/>
        <v>0</v>
      </c>
      <c r="AO80" s="492">
        <f t="shared" si="46"/>
        <v>0</v>
      </c>
      <c r="AP80" s="492">
        <f t="shared" si="46"/>
        <v>0</v>
      </c>
      <c r="AQ80" s="492">
        <f t="shared" si="46"/>
        <v>0</v>
      </c>
      <c r="AR80" s="492">
        <f t="shared" si="46"/>
        <v>0</v>
      </c>
      <c r="AS80" s="492">
        <f t="shared" si="46"/>
        <v>0</v>
      </c>
      <c r="AT80" s="492">
        <f t="shared" si="46"/>
        <v>0</v>
      </c>
      <c r="AU80" s="493">
        <f t="shared" si="46"/>
        <v>0</v>
      </c>
      <c r="AW80" s="215"/>
      <c r="BC80" s="190"/>
      <c r="BD80" s="243"/>
    </row>
    <row r="81" spans="2:56" ht="23.25" customHeight="1" thickBot="1" x14ac:dyDescent="0.45">
      <c r="B81" s="227"/>
      <c r="C81" s="284"/>
      <c r="D81" s="285"/>
      <c r="E81" s="285"/>
      <c r="F81" s="285"/>
      <c r="G81" s="285"/>
      <c r="H81" s="285"/>
      <c r="I81" s="285"/>
      <c r="J81" s="285"/>
      <c r="K81" s="286"/>
      <c r="L81" s="189"/>
      <c r="M81" s="453"/>
      <c r="N81" s="454"/>
      <c r="O81" s="454"/>
      <c r="P81" s="455"/>
      <c r="Q81" s="455"/>
      <c r="R81" s="455"/>
      <c r="S81" s="455"/>
      <c r="T81" s="455"/>
      <c r="U81" s="455"/>
      <c r="V81" s="455"/>
      <c r="W81" s="494">
        <f t="shared" ref="W81:AC81" si="47">SUM(W56:W60)</f>
        <v>0</v>
      </c>
      <c r="X81" s="495">
        <f t="shared" si="47"/>
        <v>0</v>
      </c>
      <c r="Y81" s="495">
        <f t="shared" si="47"/>
        <v>0</v>
      </c>
      <c r="Z81" s="495">
        <f t="shared" si="47"/>
        <v>0</v>
      </c>
      <c r="AA81" s="495">
        <f t="shared" si="47"/>
        <v>0</v>
      </c>
      <c r="AB81" s="495">
        <f t="shared" si="47"/>
        <v>0</v>
      </c>
      <c r="AC81" s="496">
        <f t="shared" si="47"/>
        <v>0</v>
      </c>
      <c r="AE81" s="461"/>
      <c r="AF81" s="462"/>
      <c r="AG81" s="463"/>
      <c r="AH81" s="494">
        <f>SUM(AH56:AH69)</f>
        <v>0</v>
      </c>
      <c r="AI81" s="495">
        <f t="shared" ref="AI81:AU81" si="48">SUM(AI56:AI69)</f>
        <v>0</v>
      </c>
      <c r="AJ81" s="495">
        <f t="shared" si="48"/>
        <v>0</v>
      </c>
      <c r="AK81" s="495">
        <f t="shared" si="48"/>
        <v>0</v>
      </c>
      <c r="AL81" s="495">
        <f t="shared" si="48"/>
        <v>0</v>
      </c>
      <c r="AM81" s="495">
        <f t="shared" si="48"/>
        <v>0</v>
      </c>
      <c r="AN81" s="513">
        <f t="shared" si="48"/>
        <v>0</v>
      </c>
      <c r="AO81" s="495">
        <f t="shared" si="48"/>
        <v>0</v>
      </c>
      <c r="AP81" s="495">
        <f t="shared" si="48"/>
        <v>0</v>
      </c>
      <c r="AQ81" s="495">
        <f t="shared" si="48"/>
        <v>0</v>
      </c>
      <c r="AR81" s="495">
        <f t="shared" si="48"/>
        <v>0</v>
      </c>
      <c r="AS81" s="495">
        <f t="shared" si="48"/>
        <v>0</v>
      </c>
      <c r="AT81" s="495">
        <f t="shared" si="48"/>
        <v>0</v>
      </c>
      <c r="AU81" s="496">
        <f t="shared" si="48"/>
        <v>0</v>
      </c>
      <c r="AW81" s="287"/>
      <c r="AX81" s="285"/>
      <c r="AY81" s="285"/>
      <c r="AZ81" s="285"/>
      <c r="BA81" s="285"/>
      <c r="BB81" s="285"/>
      <c r="BC81" s="286"/>
      <c r="BD81" s="243"/>
    </row>
    <row r="82" spans="2:56" ht="23.25" customHeight="1" x14ac:dyDescent="0.4">
      <c r="B82" s="291"/>
      <c r="C82" s="218"/>
      <c r="D82" s="218"/>
      <c r="E82" s="218"/>
      <c r="F82" s="218"/>
      <c r="G82" s="218"/>
      <c r="H82" s="218"/>
      <c r="I82" s="218"/>
      <c r="J82" s="218"/>
      <c r="K82" s="218"/>
      <c r="L82" s="219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92"/>
    </row>
    <row r="83" spans="2:56" ht="23.25" customHeight="1" x14ac:dyDescent="0.4"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M83" s="189"/>
    </row>
    <row r="84" spans="2:56" ht="23.25" customHeight="1" x14ac:dyDescent="0.4"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M84" s="189"/>
    </row>
    <row r="85" spans="2:56" ht="23.25" customHeight="1" x14ac:dyDescent="0.4"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M85" s="189"/>
    </row>
    <row r="86" spans="2:56" ht="23.25" customHeight="1" x14ac:dyDescent="0.4"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2:56" ht="23.25" customHeight="1" x14ac:dyDescent="0.4"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2:56" ht="23.25" customHeight="1" x14ac:dyDescent="0.4"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2:56" ht="23.25" customHeight="1" x14ac:dyDescent="0.4"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2:56" ht="23.25" customHeight="1" x14ac:dyDescent="0.4"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2:56" ht="23.25" customHeight="1" x14ac:dyDescent="0.4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2:56" ht="23.25" customHeight="1" x14ac:dyDescent="0.4"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2:56" ht="23.25" customHeight="1" x14ac:dyDescent="0.4"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2:56" ht="23.25" customHeight="1" x14ac:dyDescent="0.4"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2:56" ht="23.25" customHeight="1" x14ac:dyDescent="0.4"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2:56" ht="23.25" customHeight="1" x14ac:dyDescent="0.4"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2:76" ht="23.25" customHeight="1" x14ac:dyDescent="0.4"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2:76" ht="23.25" customHeight="1" x14ac:dyDescent="0.4"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2:76" ht="23.25" customHeight="1" x14ac:dyDescent="0.4"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2:76" ht="23.25" customHeight="1" x14ac:dyDescent="0.4"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2:76" ht="23.25" customHeight="1" x14ac:dyDescent="0.4"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2:76" ht="23.25" customHeight="1" x14ac:dyDescent="0.4"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2:76" ht="23.25" customHeight="1" x14ac:dyDescent="0.4"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2:76" ht="23.25" customHeight="1" x14ac:dyDescent="0.4"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2:76" ht="23.25" customHeight="1" x14ac:dyDescent="0.4"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2:76" ht="23.25" customHeight="1" x14ac:dyDescent="0.4"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2:76" x14ac:dyDescent="0.4"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  <c r="AT107" s="217"/>
      <c r="AU107" s="217"/>
      <c r="AV107" s="217"/>
      <c r="AW107" s="217"/>
      <c r="AX107" s="217"/>
      <c r="AY107" s="217"/>
      <c r="AZ107" s="217"/>
      <c r="BA107" s="217"/>
      <c r="BB107" s="217"/>
      <c r="BC107" s="217"/>
      <c r="BD107" s="217"/>
      <c r="BE107" s="217"/>
      <c r="BF107" s="217"/>
      <c r="BG107" s="217"/>
      <c r="BH107" s="217"/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7"/>
      <c r="BS107" s="217"/>
      <c r="BT107" s="217"/>
      <c r="BU107" s="217"/>
      <c r="BV107" s="217"/>
      <c r="BW107" s="217"/>
      <c r="BX107" s="217"/>
    </row>
    <row r="108" spans="2:76" x14ac:dyDescent="0.4"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  <c r="AT108" s="217"/>
      <c r="AU108" s="217"/>
      <c r="AV108" s="217"/>
      <c r="AW108" s="217"/>
      <c r="AX108" s="217"/>
      <c r="AY108" s="217"/>
      <c r="AZ108" s="217"/>
      <c r="BA108" s="217"/>
      <c r="BB108" s="217"/>
      <c r="BC108" s="217"/>
      <c r="BD108" s="217"/>
      <c r="BE108" s="217"/>
      <c r="BF108" s="217"/>
      <c r="BG108" s="217"/>
      <c r="BH108" s="217"/>
      <c r="BI108" s="217"/>
      <c r="BJ108" s="217"/>
      <c r="BK108" s="217"/>
      <c r="BL108" s="217"/>
      <c r="BM108" s="217"/>
      <c r="BN108" s="217"/>
      <c r="BO108" s="217"/>
      <c r="BP108" s="217"/>
      <c r="BQ108" s="217"/>
      <c r="BR108" s="217"/>
      <c r="BS108" s="217"/>
      <c r="BT108" s="217"/>
      <c r="BU108" s="217"/>
      <c r="BV108" s="217"/>
      <c r="BW108" s="217"/>
      <c r="BX108" s="217"/>
    </row>
    <row r="109" spans="2:76" ht="23.25" customHeight="1" x14ac:dyDescent="0.4"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  <c r="AT109" s="217"/>
      <c r="AU109" s="217"/>
      <c r="AV109" s="217"/>
      <c r="AW109" s="217"/>
      <c r="AX109" s="217"/>
      <c r="AY109" s="217"/>
      <c r="AZ109" s="217"/>
      <c r="BA109" s="217"/>
      <c r="BB109" s="217"/>
      <c r="BC109" s="217"/>
      <c r="BD109" s="217"/>
      <c r="BE109" s="217"/>
      <c r="BF109" s="217"/>
      <c r="BG109" s="217"/>
      <c r="BH109" s="217"/>
      <c r="BI109" s="217"/>
      <c r="BJ109" s="217"/>
      <c r="BK109" s="217"/>
      <c r="BL109" s="217"/>
      <c r="BM109" s="217"/>
      <c r="BN109" s="217"/>
      <c r="BO109" s="217"/>
      <c r="BP109" s="217"/>
      <c r="BQ109" s="217"/>
      <c r="BR109" s="217"/>
      <c r="BS109" s="217"/>
      <c r="BT109" s="217"/>
      <c r="BU109" s="217"/>
      <c r="BV109" s="217"/>
      <c r="BW109" s="217"/>
      <c r="BX109" s="217"/>
    </row>
    <row r="110" spans="2:76" ht="23.25" customHeight="1" x14ac:dyDescent="0.4"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  <c r="AT110" s="217"/>
      <c r="AU110" s="217"/>
      <c r="AV110" s="217"/>
      <c r="AW110" s="217"/>
      <c r="AX110" s="217"/>
      <c r="AY110" s="217"/>
      <c r="AZ110" s="217"/>
      <c r="BA110" s="217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7"/>
      <c r="BT110" s="217"/>
      <c r="BU110" s="217"/>
      <c r="BV110" s="217"/>
      <c r="BW110" s="217"/>
      <c r="BX110" s="217"/>
    </row>
    <row r="111" spans="2:76" ht="23.25" customHeight="1" x14ac:dyDescent="0.4"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  <c r="AT111" s="217"/>
      <c r="AU111" s="217"/>
      <c r="AV111" s="217"/>
      <c r="AW111" s="217"/>
      <c r="AX111" s="217"/>
      <c r="AY111" s="217"/>
      <c r="AZ111" s="217"/>
      <c r="BA111" s="217"/>
      <c r="BB111" s="217"/>
      <c r="BC111" s="217"/>
      <c r="BD111" s="217"/>
      <c r="BE111" s="217"/>
      <c r="BF111" s="217"/>
      <c r="BG111" s="217"/>
      <c r="BH111" s="217"/>
      <c r="BI111" s="217"/>
      <c r="BJ111" s="217"/>
      <c r="BK111" s="217"/>
      <c r="BL111" s="217"/>
      <c r="BM111" s="217"/>
      <c r="BN111" s="217"/>
      <c r="BO111" s="217"/>
      <c r="BP111" s="217"/>
      <c r="BQ111" s="217"/>
      <c r="BR111" s="217"/>
      <c r="BS111" s="217"/>
      <c r="BT111" s="217"/>
      <c r="BU111" s="217"/>
      <c r="BV111" s="217"/>
      <c r="BW111" s="217"/>
      <c r="BX111" s="217"/>
    </row>
    <row r="112" spans="2:76" ht="23.25" customHeight="1" x14ac:dyDescent="0.4"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217"/>
      <c r="BK112" s="217"/>
      <c r="BL112" s="217"/>
      <c r="BM112" s="217"/>
      <c r="BN112" s="217"/>
      <c r="BO112" s="217"/>
      <c r="BP112" s="217"/>
      <c r="BQ112" s="217"/>
      <c r="BR112" s="217"/>
      <c r="BS112" s="217"/>
      <c r="BT112" s="217"/>
      <c r="BU112" s="217"/>
      <c r="BV112" s="217"/>
      <c r="BW112" s="217"/>
      <c r="BX112" s="217"/>
    </row>
    <row r="113" spans="2:76" ht="23.25" customHeight="1" x14ac:dyDescent="0.4"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217"/>
      <c r="BK113" s="217"/>
      <c r="BL113" s="217"/>
      <c r="BM113" s="217"/>
      <c r="BN113" s="217"/>
      <c r="BO113" s="217"/>
      <c r="BP113" s="217"/>
      <c r="BQ113" s="217"/>
      <c r="BR113" s="217"/>
      <c r="BS113" s="217"/>
      <c r="BT113" s="217"/>
      <c r="BU113" s="217"/>
      <c r="BV113" s="217"/>
      <c r="BW113" s="217"/>
      <c r="BX113" s="217"/>
    </row>
    <row r="114" spans="2:76" ht="23.25" customHeight="1" x14ac:dyDescent="0.4"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217"/>
      <c r="BT114" s="217"/>
      <c r="BU114" s="217"/>
      <c r="BV114" s="217"/>
      <c r="BW114" s="217"/>
      <c r="BX114" s="217"/>
    </row>
    <row r="115" spans="2:76" ht="23.25" customHeight="1" x14ac:dyDescent="0.4"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217"/>
      <c r="BK115" s="217"/>
      <c r="BL115" s="217"/>
      <c r="BM115" s="217"/>
      <c r="BN115" s="217"/>
      <c r="BO115" s="217"/>
      <c r="BP115" s="217"/>
      <c r="BQ115" s="217"/>
      <c r="BR115" s="217"/>
      <c r="BS115" s="217"/>
      <c r="BT115" s="217"/>
      <c r="BU115" s="217"/>
      <c r="BV115" s="217"/>
      <c r="BW115" s="217"/>
      <c r="BX115" s="217"/>
    </row>
    <row r="116" spans="2:76" ht="23.25" customHeight="1" x14ac:dyDescent="0.4"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17"/>
      <c r="BT116" s="217"/>
      <c r="BU116" s="217"/>
      <c r="BV116" s="217"/>
      <c r="BW116" s="217"/>
      <c r="BX116" s="217"/>
    </row>
    <row r="117" spans="2:76" ht="23.25" customHeight="1" x14ac:dyDescent="0.4">
      <c r="B117" s="302"/>
      <c r="C117" s="189"/>
      <c r="D117" s="189"/>
      <c r="E117" s="189"/>
      <c r="F117" s="189"/>
      <c r="G117" s="189"/>
      <c r="H117" s="189"/>
      <c r="I117" s="189"/>
      <c r="J117" s="189"/>
      <c r="K117" s="189"/>
      <c r="L117" s="275"/>
      <c r="N117" s="304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  <c r="AT117" s="217"/>
      <c r="AU117" s="217"/>
      <c r="AV117" s="217"/>
      <c r="AW117" s="217"/>
      <c r="AX117" s="217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217"/>
      <c r="BK117" s="217"/>
      <c r="BL117" s="217"/>
      <c r="BM117" s="217"/>
      <c r="BN117" s="217"/>
      <c r="BO117" s="217"/>
      <c r="BP117" s="217"/>
      <c r="BQ117" s="217"/>
      <c r="BR117" s="217"/>
      <c r="BS117" s="217"/>
      <c r="BT117" s="217"/>
      <c r="BU117" s="217"/>
      <c r="BV117" s="217"/>
      <c r="BW117" s="217"/>
      <c r="BX117" s="217"/>
    </row>
    <row r="118" spans="2:76" ht="23.25" customHeight="1" x14ac:dyDescent="0.4">
      <c r="B118" s="302"/>
      <c r="C118" s="189"/>
      <c r="D118" s="189"/>
      <c r="E118" s="189"/>
      <c r="F118" s="189"/>
      <c r="G118" s="189"/>
      <c r="H118" s="189"/>
      <c r="I118" s="189"/>
      <c r="J118" s="189"/>
      <c r="K118" s="189"/>
      <c r="L118" s="275"/>
      <c r="N118" s="304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217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217"/>
      <c r="BK118" s="217"/>
      <c r="BL118" s="217"/>
      <c r="BM118" s="217"/>
      <c r="BN118" s="217"/>
      <c r="BO118" s="217"/>
      <c r="BP118" s="217"/>
      <c r="BQ118" s="217"/>
      <c r="BR118" s="217"/>
      <c r="BS118" s="217"/>
      <c r="BT118" s="217"/>
      <c r="BU118" s="217"/>
      <c r="BV118" s="217"/>
      <c r="BW118" s="217"/>
      <c r="BX118" s="217"/>
    </row>
    <row r="119" spans="2:76" ht="23.25" customHeight="1" x14ac:dyDescent="0.4">
      <c r="B119" s="302"/>
      <c r="C119" s="189"/>
      <c r="D119" s="189"/>
      <c r="E119" s="189"/>
      <c r="F119" s="189"/>
      <c r="G119" s="189"/>
      <c r="H119" s="189"/>
      <c r="I119" s="189"/>
      <c r="J119" s="189"/>
      <c r="K119" s="189"/>
      <c r="L119" s="275"/>
      <c r="N119" s="304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</row>
    <row r="120" spans="2:76" ht="23.25" customHeight="1" x14ac:dyDescent="0.4">
      <c r="B120" s="302"/>
      <c r="C120" s="189"/>
      <c r="D120" s="189"/>
      <c r="E120" s="189"/>
      <c r="F120" s="189"/>
      <c r="G120" s="189"/>
      <c r="H120" s="189"/>
      <c r="I120" s="189"/>
      <c r="J120" s="189"/>
      <c r="K120" s="189"/>
      <c r="L120" s="275"/>
      <c r="N120" s="304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  <c r="AT120" s="217"/>
      <c r="AU120" s="217"/>
      <c r="AV120" s="217"/>
      <c r="AW120" s="217"/>
      <c r="AX120" s="217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</row>
    <row r="121" spans="2:76" ht="23.25" customHeight="1" x14ac:dyDescent="0.4">
      <c r="B121" s="302"/>
      <c r="C121" s="189"/>
      <c r="D121" s="189"/>
      <c r="E121" s="189"/>
      <c r="F121" s="189"/>
      <c r="G121" s="189"/>
      <c r="H121" s="189"/>
      <c r="I121" s="189"/>
      <c r="J121" s="189"/>
      <c r="K121" s="189"/>
      <c r="L121" s="275"/>
      <c r="N121" s="304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  <c r="AT121" s="217"/>
      <c r="AU121" s="217"/>
      <c r="AV121" s="217"/>
      <c r="AW121" s="217"/>
      <c r="AX121" s="217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217"/>
      <c r="BK121" s="217"/>
      <c r="BL121" s="217"/>
      <c r="BM121" s="217"/>
      <c r="BN121" s="217"/>
      <c r="BO121" s="217"/>
      <c r="BP121" s="217"/>
      <c r="BQ121" s="217"/>
      <c r="BR121" s="217"/>
      <c r="BS121" s="217"/>
      <c r="BT121" s="217"/>
      <c r="BU121" s="217"/>
      <c r="BV121" s="217"/>
      <c r="BW121" s="217"/>
      <c r="BX121" s="217"/>
    </row>
    <row r="122" spans="2:76" ht="23.25" customHeight="1" x14ac:dyDescent="0.4">
      <c r="B122" s="302"/>
      <c r="C122" s="189"/>
      <c r="D122" s="189"/>
      <c r="E122" s="189"/>
      <c r="F122" s="189"/>
      <c r="G122" s="189"/>
      <c r="H122" s="189"/>
      <c r="I122" s="189"/>
      <c r="J122" s="189"/>
      <c r="K122" s="189"/>
      <c r="L122" s="275"/>
      <c r="N122" s="304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  <c r="AT122" s="217"/>
      <c r="AU122" s="217"/>
      <c r="AV122" s="217"/>
      <c r="AW122" s="217"/>
      <c r="AX122" s="217"/>
      <c r="AY122" s="217"/>
      <c r="AZ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</row>
    <row r="123" spans="2:76" ht="23.25" customHeight="1" x14ac:dyDescent="0.4">
      <c r="B123" s="302"/>
      <c r="C123" s="189"/>
      <c r="D123" s="189"/>
      <c r="E123" s="189"/>
      <c r="F123" s="189"/>
      <c r="G123" s="189"/>
      <c r="H123" s="189"/>
      <c r="I123" s="189"/>
      <c r="J123" s="189"/>
      <c r="K123" s="189"/>
      <c r="L123" s="275"/>
      <c r="N123" s="304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  <c r="AT123" s="217"/>
      <c r="AU123" s="217"/>
      <c r="AV123" s="217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</row>
    <row r="124" spans="2:76" ht="23.25" customHeight="1" x14ac:dyDescent="0.4">
      <c r="B124" s="302"/>
      <c r="C124" s="189"/>
      <c r="D124" s="189"/>
      <c r="E124" s="189"/>
      <c r="F124" s="189"/>
      <c r="G124" s="189"/>
      <c r="H124" s="189"/>
      <c r="I124" s="189"/>
      <c r="J124" s="189"/>
      <c r="K124" s="189"/>
      <c r="L124" s="275"/>
      <c r="N124" s="304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  <c r="AT124" s="217"/>
      <c r="AU124" s="217"/>
      <c r="AV124" s="217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</row>
    <row r="125" spans="2:76" ht="23.25" customHeight="1" x14ac:dyDescent="0.4">
      <c r="B125" s="302"/>
      <c r="C125" s="189"/>
      <c r="D125" s="189"/>
      <c r="E125" s="189"/>
      <c r="F125" s="189"/>
      <c r="G125" s="189"/>
      <c r="H125" s="189"/>
      <c r="I125" s="189"/>
      <c r="J125" s="189"/>
      <c r="K125" s="189"/>
      <c r="L125" s="275"/>
      <c r="N125" s="304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217"/>
      <c r="AY125" s="217"/>
      <c r="AZ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</row>
    <row r="126" spans="2:76" ht="23.25" customHeight="1" x14ac:dyDescent="0.4">
      <c r="B126" s="302"/>
      <c r="C126" s="189"/>
      <c r="D126" s="189"/>
      <c r="E126" s="189"/>
      <c r="F126" s="189"/>
      <c r="G126" s="189"/>
      <c r="H126" s="189"/>
      <c r="I126" s="189"/>
      <c r="J126" s="189"/>
      <c r="K126" s="189"/>
      <c r="L126" s="275"/>
      <c r="N126" s="270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</row>
    <row r="127" spans="2:76" ht="23.25" customHeight="1" x14ac:dyDescent="0.4">
      <c r="B127" s="302"/>
      <c r="C127" s="189"/>
      <c r="D127" s="189"/>
      <c r="E127" s="189"/>
      <c r="F127" s="189"/>
      <c r="G127" s="189"/>
      <c r="H127" s="189"/>
      <c r="I127" s="189"/>
      <c r="J127" s="189"/>
      <c r="K127" s="189"/>
      <c r="L127" s="275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</row>
    <row r="128" spans="2:76" ht="23.25" customHeight="1" x14ac:dyDescent="0.4">
      <c r="B128" s="302"/>
      <c r="C128" s="189"/>
      <c r="D128" s="189"/>
      <c r="E128" s="189"/>
      <c r="F128" s="189"/>
      <c r="G128" s="189"/>
      <c r="H128" s="189"/>
      <c r="I128" s="189"/>
      <c r="J128" s="189"/>
      <c r="K128" s="189"/>
      <c r="L128" s="275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</row>
    <row r="129" spans="2:76" ht="23.25" customHeight="1" x14ac:dyDescent="0.4">
      <c r="B129" s="302"/>
      <c r="C129" s="189"/>
      <c r="D129" s="189"/>
      <c r="E129" s="189"/>
      <c r="F129" s="189"/>
      <c r="G129" s="189"/>
      <c r="H129" s="189"/>
      <c r="I129" s="189"/>
      <c r="J129" s="189"/>
      <c r="K129" s="189"/>
      <c r="L129" s="275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  <c r="AQ129" s="217"/>
      <c r="AR129" s="217"/>
      <c r="AS129" s="217"/>
      <c r="AT129" s="217"/>
      <c r="AU129" s="217"/>
      <c r="AV129" s="217"/>
      <c r="AW129" s="217"/>
      <c r="AX129" s="217"/>
      <c r="AY129" s="217"/>
      <c r="AZ129" s="217"/>
      <c r="BA129" s="217"/>
      <c r="BB129" s="217"/>
      <c r="BC129" s="217"/>
      <c r="BD129" s="217"/>
      <c r="BE129" s="217"/>
      <c r="BF129" s="217"/>
      <c r="BG129" s="217"/>
      <c r="BH129" s="217"/>
      <c r="BI129" s="217"/>
      <c r="BJ129" s="217"/>
      <c r="BK129" s="217"/>
      <c r="BL129" s="217"/>
      <c r="BM129" s="217"/>
      <c r="BN129" s="217"/>
      <c r="BO129" s="217"/>
      <c r="BP129" s="217"/>
      <c r="BQ129" s="217"/>
      <c r="BR129" s="217"/>
      <c r="BS129" s="217"/>
      <c r="BT129" s="217"/>
      <c r="BU129" s="217"/>
      <c r="BV129" s="217"/>
      <c r="BW129" s="217"/>
      <c r="BX129" s="217"/>
    </row>
    <row r="130" spans="2:76" ht="23.25" customHeight="1" x14ac:dyDescent="0.4">
      <c r="B130" s="302"/>
      <c r="C130" s="189"/>
      <c r="D130" s="189"/>
      <c r="E130" s="189"/>
      <c r="F130" s="189"/>
      <c r="G130" s="189"/>
      <c r="H130" s="189"/>
      <c r="I130" s="189"/>
      <c r="J130" s="189"/>
      <c r="K130" s="189"/>
      <c r="L130" s="275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  <c r="AT130" s="217"/>
      <c r="AU130" s="217"/>
      <c r="AV130" s="217"/>
      <c r="AW130" s="217"/>
      <c r="AX130" s="217"/>
      <c r="AY130" s="217"/>
      <c r="AZ130" s="217"/>
      <c r="BA130" s="217"/>
      <c r="BB130" s="217"/>
      <c r="BC130" s="217"/>
      <c r="BD130" s="217"/>
      <c r="BE130" s="217"/>
      <c r="BF130" s="217"/>
      <c r="BG130" s="217"/>
      <c r="BH130" s="217"/>
      <c r="BI130" s="217"/>
      <c r="BJ130" s="217"/>
      <c r="BK130" s="217"/>
      <c r="BL130" s="217"/>
      <c r="BM130" s="217"/>
      <c r="BN130" s="217"/>
      <c r="BO130" s="217"/>
      <c r="BP130" s="217"/>
      <c r="BQ130" s="217"/>
      <c r="BR130" s="217"/>
      <c r="BS130" s="217"/>
      <c r="BT130" s="217"/>
      <c r="BU130" s="217"/>
      <c r="BV130" s="217"/>
      <c r="BW130" s="217"/>
      <c r="BX130" s="217"/>
    </row>
    <row r="131" spans="2:76" ht="23.25" customHeight="1" x14ac:dyDescent="0.4">
      <c r="B131" s="302"/>
      <c r="C131" s="189"/>
      <c r="D131" s="189"/>
      <c r="E131" s="189"/>
      <c r="F131" s="189"/>
      <c r="G131" s="189"/>
      <c r="H131" s="189"/>
      <c r="I131" s="189"/>
      <c r="J131" s="189"/>
      <c r="K131" s="189"/>
      <c r="L131" s="275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  <c r="BA131" s="217"/>
      <c r="BB131" s="217"/>
      <c r="BC131" s="217"/>
      <c r="BD131" s="217"/>
      <c r="BE131" s="217"/>
      <c r="BF131" s="217"/>
      <c r="BG131" s="217"/>
      <c r="BH131" s="217"/>
      <c r="BI131" s="217"/>
      <c r="BJ131" s="217"/>
      <c r="BK131" s="217"/>
      <c r="BL131" s="217"/>
      <c r="BM131" s="217"/>
      <c r="BN131" s="217"/>
      <c r="BO131" s="217"/>
      <c r="BP131" s="217"/>
      <c r="BQ131" s="217"/>
      <c r="BR131" s="217"/>
      <c r="BS131" s="217"/>
      <c r="BT131" s="217"/>
      <c r="BU131" s="217"/>
      <c r="BV131" s="217"/>
      <c r="BW131" s="217"/>
      <c r="BX131" s="217"/>
    </row>
    <row r="132" spans="2:76" ht="23.25" customHeight="1" x14ac:dyDescent="0.4">
      <c r="B132" s="302"/>
      <c r="C132" s="189"/>
      <c r="D132" s="189"/>
      <c r="E132" s="189"/>
      <c r="F132" s="189"/>
      <c r="G132" s="189"/>
      <c r="H132" s="189"/>
      <c r="I132" s="189"/>
      <c r="J132" s="189"/>
      <c r="K132" s="189"/>
      <c r="L132" s="275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  <c r="BA132" s="217"/>
      <c r="BB132" s="217"/>
      <c r="BC132" s="217"/>
      <c r="BD132" s="217"/>
      <c r="BE132" s="217"/>
      <c r="BF132" s="217"/>
      <c r="BG132" s="217"/>
      <c r="BH132" s="217"/>
      <c r="BI132" s="217"/>
      <c r="BJ132" s="217"/>
      <c r="BK132" s="217"/>
      <c r="BL132" s="217"/>
      <c r="BM132" s="217"/>
      <c r="BN132" s="217"/>
      <c r="BO132" s="217"/>
      <c r="BP132" s="217"/>
      <c r="BQ132" s="217"/>
      <c r="BR132" s="217"/>
      <c r="BS132" s="217"/>
      <c r="BT132" s="217"/>
      <c r="BU132" s="217"/>
      <c r="BV132" s="217"/>
      <c r="BW132" s="217"/>
      <c r="BX132" s="217"/>
    </row>
    <row r="133" spans="2:76" ht="23.25" customHeight="1" x14ac:dyDescent="0.4">
      <c r="B133" s="302"/>
      <c r="C133" s="189"/>
      <c r="D133" s="189"/>
      <c r="E133" s="189"/>
      <c r="F133" s="189"/>
      <c r="G133" s="189"/>
      <c r="H133" s="189"/>
      <c r="I133" s="189"/>
      <c r="J133" s="189"/>
      <c r="K133" s="189"/>
      <c r="L133" s="275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  <c r="AT133" s="217"/>
      <c r="AU133" s="217"/>
      <c r="AV133" s="217"/>
      <c r="AW133" s="217"/>
      <c r="AX133" s="217"/>
      <c r="AY133" s="217"/>
      <c r="AZ133" s="217"/>
      <c r="BA133" s="217"/>
      <c r="BB133" s="217"/>
      <c r="BC133" s="217"/>
      <c r="BD133" s="217"/>
      <c r="BE133" s="217"/>
      <c r="BF133" s="217"/>
      <c r="BG133" s="217"/>
      <c r="BH133" s="217"/>
      <c r="BI133" s="217"/>
      <c r="BJ133" s="217"/>
      <c r="BK133" s="217"/>
      <c r="BL133" s="217"/>
      <c r="BM133" s="217"/>
      <c r="BN133" s="217"/>
      <c r="BO133" s="217"/>
      <c r="BP133" s="217"/>
      <c r="BQ133" s="217"/>
      <c r="BR133" s="217"/>
      <c r="BS133" s="217"/>
      <c r="BT133" s="217"/>
      <c r="BU133" s="217"/>
      <c r="BV133" s="217"/>
      <c r="BW133" s="217"/>
      <c r="BX133" s="217"/>
    </row>
    <row r="134" spans="2:76" ht="23.25" customHeight="1" x14ac:dyDescent="0.4">
      <c r="B134" s="302"/>
      <c r="C134" s="189"/>
      <c r="D134" s="189"/>
      <c r="E134" s="189"/>
      <c r="F134" s="189"/>
      <c r="G134" s="189"/>
      <c r="H134" s="189"/>
      <c r="I134" s="189"/>
      <c r="J134" s="189"/>
      <c r="K134" s="189"/>
      <c r="L134" s="275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  <c r="AT134" s="217"/>
      <c r="AU134" s="217"/>
      <c r="AV134" s="217"/>
      <c r="AW134" s="217"/>
      <c r="AX134" s="217"/>
      <c r="AY134" s="217"/>
      <c r="AZ134" s="217"/>
      <c r="BA134" s="217"/>
      <c r="BB134" s="217"/>
      <c r="BC134" s="217"/>
      <c r="BD134" s="217"/>
      <c r="BE134" s="217"/>
      <c r="BF134" s="217"/>
      <c r="BG134" s="217"/>
      <c r="BH134" s="217"/>
      <c r="BI134" s="217"/>
      <c r="BJ134" s="217"/>
      <c r="BK134" s="217"/>
      <c r="BL134" s="217"/>
      <c r="BM134" s="217"/>
      <c r="BN134" s="217"/>
      <c r="BO134" s="217"/>
      <c r="BP134" s="217"/>
      <c r="BQ134" s="217"/>
      <c r="BR134" s="217"/>
      <c r="BS134" s="217"/>
      <c r="BT134" s="217"/>
      <c r="BU134" s="217"/>
      <c r="BV134" s="217"/>
      <c r="BW134" s="217"/>
      <c r="BX134" s="217"/>
    </row>
    <row r="135" spans="2:76" ht="23.25" customHeight="1" x14ac:dyDescent="0.4">
      <c r="B135" s="302"/>
      <c r="C135" s="189"/>
      <c r="D135" s="189"/>
      <c r="E135" s="189"/>
      <c r="F135" s="189"/>
      <c r="G135" s="189"/>
      <c r="H135" s="189"/>
      <c r="I135" s="189"/>
      <c r="J135" s="189"/>
      <c r="K135" s="189"/>
      <c r="L135" s="275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  <c r="AT135" s="217"/>
      <c r="AU135" s="217"/>
      <c r="AV135" s="217"/>
      <c r="AW135" s="217"/>
      <c r="AX135" s="217"/>
      <c r="AY135" s="217"/>
      <c r="AZ135" s="217"/>
      <c r="BA135" s="217"/>
      <c r="BB135" s="217"/>
      <c r="BC135" s="217"/>
      <c r="BD135" s="217"/>
      <c r="BE135" s="217"/>
      <c r="BF135" s="217"/>
      <c r="BG135" s="217"/>
      <c r="BH135" s="217"/>
      <c r="BI135" s="217"/>
      <c r="BJ135" s="217"/>
      <c r="BK135" s="217"/>
      <c r="BL135" s="217"/>
      <c r="BM135" s="217"/>
      <c r="BN135" s="217"/>
      <c r="BO135" s="217"/>
      <c r="BP135" s="217"/>
      <c r="BQ135" s="217"/>
      <c r="BR135" s="217"/>
      <c r="BS135" s="217"/>
      <c r="BT135" s="217"/>
      <c r="BU135" s="217"/>
      <c r="BV135" s="217"/>
      <c r="BW135" s="217"/>
      <c r="BX135" s="217"/>
    </row>
    <row r="136" spans="2:76" ht="23.25" customHeight="1" x14ac:dyDescent="0.4">
      <c r="B136" s="302"/>
      <c r="C136" s="189"/>
      <c r="D136" s="189"/>
      <c r="E136" s="189"/>
      <c r="F136" s="189"/>
      <c r="G136" s="189"/>
      <c r="H136" s="189"/>
      <c r="I136" s="189"/>
      <c r="J136" s="189"/>
      <c r="K136" s="189"/>
      <c r="L136" s="275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  <c r="AT136" s="217"/>
      <c r="AU136" s="217"/>
      <c r="AV136" s="217"/>
      <c r="AW136" s="217"/>
      <c r="AX136" s="217"/>
      <c r="AY136" s="217"/>
      <c r="AZ136" s="217"/>
      <c r="BA136" s="217"/>
      <c r="BB136" s="217"/>
      <c r="BC136" s="217"/>
      <c r="BD136" s="217"/>
      <c r="BE136" s="217"/>
      <c r="BF136" s="217"/>
      <c r="BG136" s="217"/>
      <c r="BH136" s="217"/>
      <c r="BI136" s="217"/>
      <c r="BJ136" s="217"/>
      <c r="BK136" s="217"/>
      <c r="BL136" s="217"/>
      <c r="BM136" s="217"/>
      <c r="BN136" s="217"/>
      <c r="BO136" s="217"/>
      <c r="BP136" s="217"/>
      <c r="BQ136" s="217"/>
      <c r="BR136" s="217"/>
      <c r="BS136" s="217"/>
      <c r="BT136" s="217"/>
      <c r="BU136" s="217"/>
      <c r="BV136" s="217"/>
      <c r="BW136" s="217"/>
      <c r="BX136" s="217"/>
    </row>
    <row r="137" spans="2:76" ht="23.25" customHeight="1" x14ac:dyDescent="0.4">
      <c r="B137" s="302"/>
      <c r="C137" s="189"/>
      <c r="D137" s="189"/>
      <c r="E137" s="189"/>
      <c r="F137" s="189"/>
      <c r="G137" s="189"/>
      <c r="H137" s="189"/>
      <c r="I137" s="189"/>
      <c r="J137" s="189"/>
      <c r="K137" s="189"/>
      <c r="L137" s="275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  <c r="AT137" s="217"/>
      <c r="AU137" s="217"/>
      <c r="AV137" s="217"/>
      <c r="AW137" s="217"/>
      <c r="AX137" s="217"/>
      <c r="AY137" s="217"/>
      <c r="AZ137" s="217"/>
      <c r="BA137" s="217"/>
      <c r="BB137" s="217"/>
      <c r="BC137" s="217"/>
      <c r="BD137" s="217"/>
      <c r="BE137" s="217"/>
      <c r="BF137" s="217"/>
      <c r="BG137" s="217"/>
      <c r="BH137" s="217"/>
      <c r="BI137" s="217"/>
      <c r="BJ137" s="217"/>
      <c r="BK137" s="217"/>
      <c r="BL137" s="217"/>
      <c r="BM137" s="217"/>
      <c r="BN137" s="217"/>
      <c r="BO137" s="217"/>
      <c r="BP137" s="217"/>
      <c r="BQ137" s="217"/>
      <c r="BR137" s="217"/>
      <c r="BS137" s="217"/>
      <c r="BT137" s="217"/>
      <c r="BU137" s="217"/>
      <c r="BV137" s="217"/>
      <c r="BW137" s="217"/>
      <c r="BX137" s="217"/>
    </row>
    <row r="138" spans="2:76" ht="23.25" customHeight="1" x14ac:dyDescent="0.4">
      <c r="B138" s="302"/>
      <c r="C138" s="189"/>
      <c r="D138" s="189"/>
      <c r="E138" s="189"/>
      <c r="F138" s="189"/>
      <c r="G138" s="189"/>
      <c r="H138" s="189"/>
      <c r="I138" s="189"/>
      <c r="J138" s="189"/>
      <c r="K138" s="189"/>
      <c r="L138" s="275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T138" s="217"/>
      <c r="AU138" s="217"/>
      <c r="AV138" s="217"/>
      <c r="AW138" s="217"/>
      <c r="AX138" s="217"/>
      <c r="AY138" s="217"/>
      <c r="AZ138" s="217"/>
      <c r="BA138" s="217"/>
      <c r="BB138" s="217"/>
      <c r="BC138" s="217"/>
      <c r="BD138" s="217"/>
      <c r="BE138" s="217"/>
      <c r="BF138" s="217"/>
      <c r="BG138" s="217"/>
      <c r="BH138" s="217"/>
      <c r="BI138" s="217"/>
      <c r="BJ138" s="217"/>
      <c r="BK138" s="217"/>
      <c r="BL138" s="217"/>
      <c r="BM138" s="217"/>
      <c r="BN138" s="217"/>
      <c r="BO138" s="217"/>
      <c r="BP138" s="217"/>
      <c r="BQ138" s="217"/>
      <c r="BR138" s="217"/>
      <c r="BS138" s="217"/>
      <c r="BT138" s="217"/>
      <c r="BU138" s="217"/>
      <c r="BV138" s="217"/>
      <c r="BW138" s="217"/>
      <c r="BX138" s="217"/>
    </row>
    <row r="139" spans="2:76" ht="23.25" customHeight="1" x14ac:dyDescent="0.4">
      <c r="B139" s="302"/>
      <c r="C139" s="189"/>
      <c r="D139" s="189"/>
      <c r="E139" s="189"/>
      <c r="F139" s="189"/>
      <c r="G139" s="189"/>
      <c r="H139" s="189"/>
      <c r="I139" s="189"/>
      <c r="J139" s="189"/>
      <c r="K139" s="189"/>
      <c r="L139" s="275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T139" s="217"/>
      <c r="AU139" s="217"/>
      <c r="AV139" s="217"/>
      <c r="AW139" s="217"/>
      <c r="AX139" s="217"/>
      <c r="AY139" s="217"/>
      <c r="AZ139" s="217"/>
      <c r="BA139" s="217"/>
      <c r="BB139" s="217"/>
      <c r="BC139" s="217"/>
      <c r="BD139" s="217"/>
      <c r="BE139" s="217"/>
      <c r="BF139" s="217"/>
      <c r="BG139" s="217"/>
      <c r="BH139" s="217"/>
      <c r="BI139" s="217"/>
      <c r="BJ139" s="217"/>
      <c r="BK139" s="217"/>
      <c r="BL139" s="217"/>
      <c r="BM139" s="217"/>
      <c r="BN139" s="217"/>
      <c r="BO139" s="217"/>
      <c r="BP139" s="217"/>
      <c r="BQ139" s="217"/>
      <c r="BR139" s="217"/>
      <c r="BS139" s="217"/>
      <c r="BT139" s="217"/>
      <c r="BU139" s="217"/>
      <c r="BV139" s="217"/>
      <c r="BW139" s="217"/>
      <c r="BX139" s="217"/>
    </row>
    <row r="140" spans="2:76" ht="23.25" customHeight="1" x14ac:dyDescent="0.4">
      <c r="B140" s="302"/>
      <c r="C140" s="189"/>
      <c r="D140" s="189"/>
      <c r="E140" s="189"/>
      <c r="F140" s="189"/>
      <c r="G140" s="189"/>
      <c r="H140" s="189"/>
      <c r="I140" s="189"/>
      <c r="J140" s="189"/>
      <c r="K140" s="189"/>
      <c r="L140" s="275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T140" s="217"/>
      <c r="AU140" s="217"/>
      <c r="AV140" s="217"/>
      <c r="AW140" s="217"/>
      <c r="AX140" s="217"/>
      <c r="AY140" s="217"/>
      <c r="AZ140" s="217"/>
      <c r="BA140" s="217"/>
      <c r="BB140" s="217"/>
      <c r="BC140" s="217"/>
      <c r="BD140" s="217"/>
      <c r="BE140" s="217"/>
      <c r="BF140" s="217"/>
      <c r="BG140" s="217"/>
      <c r="BH140" s="217"/>
      <c r="BI140" s="217"/>
      <c r="BJ140" s="217"/>
      <c r="BK140" s="217"/>
      <c r="BL140" s="217"/>
      <c r="BM140" s="217"/>
      <c r="BN140" s="217"/>
      <c r="BO140" s="217"/>
      <c r="BP140" s="217"/>
      <c r="BQ140" s="217"/>
      <c r="BR140" s="217"/>
      <c r="BS140" s="217"/>
      <c r="BT140" s="217"/>
      <c r="BU140" s="217"/>
      <c r="BV140" s="217"/>
      <c r="BW140" s="217"/>
      <c r="BX140" s="217"/>
    </row>
    <row r="141" spans="2:76" ht="23.25" customHeight="1" x14ac:dyDescent="0.4">
      <c r="B141" s="305"/>
      <c r="C141" s="189"/>
      <c r="D141" s="189"/>
      <c r="E141" s="189"/>
      <c r="F141" s="189"/>
      <c r="G141" s="189"/>
      <c r="H141" s="189"/>
      <c r="I141" s="189"/>
      <c r="J141" s="189"/>
      <c r="K141" s="189"/>
      <c r="L141" s="275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T141" s="217"/>
      <c r="AU141" s="217"/>
      <c r="AV141" s="217"/>
      <c r="AW141" s="217"/>
      <c r="AX141" s="217"/>
      <c r="AY141" s="217"/>
      <c r="AZ141" s="217"/>
      <c r="BA141" s="217"/>
      <c r="BB141" s="217"/>
      <c r="BC141" s="217"/>
      <c r="BD141" s="217"/>
      <c r="BE141" s="217"/>
      <c r="BF141" s="217"/>
      <c r="BG141" s="217"/>
      <c r="BH141" s="217"/>
      <c r="BI141" s="217"/>
      <c r="BJ141" s="217"/>
      <c r="BK141" s="217"/>
      <c r="BL141" s="217"/>
      <c r="BM141" s="217"/>
      <c r="BN141" s="217"/>
      <c r="BO141" s="217"/>
      <c r="BP141" s="217"/>
      <c r="BQ141" s="217"/>
      <c r="BR141" s="217"/>
      <c r="BS141" s="217"/>
      <c r="BT141" s="217"/>
      <c r="BU141" s="217"/>
      <c r="BV141" s="217"/>
      <c r="BW141" s="217"/>
      <c r="BX141" s="217"/>
    </row>
    <row r="142" spans="2:76" ht="23.25" customHeight="1" x14ac:dyDescent="0.4">
      <c r="B142" s="306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  <c r="BA142" s="217"/>
      <c r="BB142" s="217"/>
      <c r="BC142" s="217"/>
      <c r="BD142" s="217"/>
      <c r="BE142" s="217"/>
      <c r="BF142" s="217"/>
      <c r="BG142" s="217"/>
      <c r="BH142" s="217"/>
      <c r="BI142" s="217"/>
      <c r="BJ142" s="217"/>
      <c r="BK142" s="217"/>
      <c r="BL142" s="217"/>
      <c r="BM142" s="217"/>
      <c r="BN142" s="217"/>
      <c r="BO142" s="217"/>
      <c r="BP142" s="217"/>
      <c r="BQ142" s="217"/>
      <c r="BR142" s="217"/>
      <c r="BS142" s="217"/>
      <c r="BT142" s="217"/>
      <c r="BU142" s="217"/>
      <c r="BV142" s="217"/>
      <c r="BW142" s="217"/>
      <c r="BX142" s="217"/>
    </row>
    <row r="143" spans="2:76" ht="23.25" customHeight="1" x14ac:dyDescent="0.4">
      <c r="B143" s="306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  <c r="BA143" s="217"/>
      <c r="BB143" s="217"/>
      <c r="BC143" s="217"/>
      <c r="BD143" s="217"/>
      <c r="BE143" s="217"/>
      <c r="BF143" s="217"/>
      <c r="BG143" s="217"/>
      <c r="BH143" s="217"/>
      <c r="BI143" s="217"/>
      <c r="BJ143" s="217"/>
      <c r="BK143" s="217"/>
      <c r="BL143" s="217"/>
      <c r="BM143" s="217"/>
      <c r="BN143" s="217"/>
      <c r="BO143" s="217"/>
      <c r="BP143" s="217"/>
      <c r="BQ143" s="217"/>
      <c r="BR143" s="217"/>
      <c r="BS143" s="217"/>
      <c r="BT143" s="217"/>
      <c r="BU143" s="217"/>
      <c r="BV143" s="217"/>
      <c r="BW143" s="217"/>
      <c r="BX143" s="217"/>
    </row>
    <row r="144" spans="2:76" ht="23.25" customHeight="1" x14ac:dyDescent="0.4"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</row>
    <row r="145" spans="2:76" ht="23.25" customHeight="1" x14ac:dyDescent="0.4">
      <c r="B145" s="306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246"/>
      <c r="N145" s="246"/>
      <c r="O145" s="246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T145" s="217"/>
      <c r="AU145" s="217"/>
      <c r="AV145" s="217"/>
      <c r="AW145" s="217"/>
      <c r="AX145" s="217"/>
      <c r="AY145" s="217"/>
      <c r="AZ145" s="217"/>
      <c r="BA145" s="217"/>
      <c r="BB145" s="217"/>
      <c r="BC145" s="217"/>
      <c r="BD145" s="217"/>
      <c r="BE145" s="217"/>
      <c r="BF145" s="217"/>
      <c r="BG145" s="217"/>
      <c r="BH145" s="217"/>
      <c r="BI145" s="217"/>
      <c r="BJ145" s="217"/>
      <c r="BK145" s="217"/>
      <c r="BL145" s="217"/>
      <c r="BM145" s="217"/>
      <c r="BN145" s="217"/>
      <c r="BO145" s="217"/>
      <c r="BP145" s="217"/>
      <c r="BQ145" s="217"/>
      <c r="BR145" s="217"/>
      <c r="BS145" s="217"/>
      <c r="BT145" s="217"/>
      <c r="BU145" s="217"/>
      <c r="BV145" s="217"/>
      <c r="BW145" s="217"/>
      <c r="BX145" s="217"/>
    </row>
    <row r="146" spans="2:76" x14ac:dyDescent="0.4"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T146" s="217"/>
      <c r="AU146" s="217"/>
      <c r="AV146" s="217"/>
      <c r="AW146" s="217"/>
      <c r="AX146" s="217"/>
      <c r="AY146" s="217"/>
      <c r="AZ146" s="217"/>
      <c r="BA146" s="217"/>
      <c r="BB146" s="217"/>
      <c r="BC146" s="217"/>
      <c r="BD146" s="217"/>
      <c r="BE146" s="217"/>
      <c r="BF146" s="217"/>
      <c r="BG146" s="217"/>
      <c r="BH146" s="217"/>
      <c r="BI146" s="217"/>
      <c r="BJ146" s="217"/>
      <c r="BK146" s="217"/>
      <c r="BL146" s="217"/>
      <c r="BM146" s="217"/>
      <c r="BN146" s="217"/>
      <c r="BO146" s="217"/>
      <c r="BP146" s="217"/>
      <c r="BQ146" s="217"/>
      <c r="BR146" s="217"/>
      <c r="BS146" s="217"/>
      <c r="BT146" s="217"/>
      <c r="BU146" s="217"/>
      <c r="BV146" s="217"/>
      <c r="BW146" s="217"/>
      <c r="BX146" s="217"/>
    </row>
    <row r="147" spans="2:76" x14ac:dyDescent="0.4"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T147" s="217"/>
      <c r="AU147" s="217"/>
      <c r="AV147" s="217"/>
      <c r="AW147" s="217"/>
      <c r="AX147" s="217"/>
      <c r="AY147" s="217"/>
      <c r="AZ147" s="217"/>
      <c r="BA147" s="217"/>
      <c r="BB147" s="217"/>
      <c r="BC147" s="217"/>
      <c r="BD147" s="217"/>
      <c r="BE147" s="217"/>
      <c r="BF147" s="217"/>
      <c r="BG147" s="217"/>
      <c r="BH147" s="217"/>
      <c r="BI147" s="217"/>
      <c r="BJ147" s="217"/>
      <c r="BK147" s="217"/>
      <c r="BL147" s="217"/>
      <c r="BM147" s="217"/>
      <c r="BN147" s="217"/>
      <c r="BO147" s="217"/>
      <c r="BP147" s="217"/>
      <c r="BQ147" s="217"/>
      <c r="BR147" s="217"/>
      <c r="BS147" s="217"/>
      <c r="BT147" s="217"/>
      <c r="BU147" s="217"/>
      <c r="BV147" s="217"/>
      <c r="BW147" s="217"/>
      <c r="BX147" s="217"/>
    </row>
    <row r="148" spans="2:76" x14ac:dyDescent="0.4"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T148" s="217"/>
      <c r="AU148" s="217"/>
      <c r="AV148" s="217"/>
      <c r="AW148" s="217"/>
      <c r="AX148" s="217"/>
      <c r="AY148" s="217"/>
      <c r="AZ148" s="217"/>
      <c r="BA148" s="217"/>
      <c r="BB148" s="217"/>
      <c r="BC148" s="217"/>
      <c r="BD148" s="217"/>
      <c r="BE148" s="217"/>
      <c r="BF148" s="217"/>
      <c r="BG148" s="217"/>
      <c r="BH148" s="217"/>
      <c r="BI148" s="217"/>
      <c r="BJ148" s="217"/>
      <c r="BK148" s="217"/>
      <c r="BL148" s="217"/>
      <c r="BM148" s="217"/>
      <c r="BN148" s="217"/>
      <c r="BO148" s="217"/>
      <c r="BP148" s="217"/>
      <c r="BQ148" s="217"/>
      <c r="BR148" s="217"/>
      <c r="BS148" s="217"/>
      <c r="BT148" s="217"/>
      <c r="BU148" s="217"/>
      <c r="BV148" s="217"/>
      <c r="BW148" s="217"/>
      <c r="BX148" s="217"/>
    </row>
    <row r="149" spans="2:76" x14ac:dyDescent="0.4"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T149" s="217"/>
      <c r="AU149" s="217"/>
      <c r="AV149" s="217"/>
      <c r="AW149" s="217"/>
      <c r="AX149" s="217"/>
      <c r="AY149" s="217"/>
      <c r="AZ149" s="217"/>
      <c r="BA149" s="217"/>
      <c r="BB149" s="217"/>
      <c r="BC149" s="217"/>
      <c r="BD149" s="217"/>
      <c r="BE149" s="217"/>
      <c r="BF149" s="217"/>
      <c r="BG149" s="217"/>
      <c r="BH149" s="217"/>
      <c r="BI149" s="217"/>
      <c r="BJ149" s="217"/>
      <c r="BK149" s="217"/>
      <c r="BL149" s="217"/>
      <c r="BM149" s="217"/>
      <c r="BN149" s="217"/>
      <c r="BO149" s="217"/>
      <c r="BP149" s="217"/>
      <c r="BQ149" s="217"/>
      <c r="BR149" s="217"/>
      <c r="BS149" s="217"/>
      <c r="BT149" s="217"/>
      <c r="BU149" s="217"/>
      <c r="BV149" s="217"/>
      <c r="BW149" s="217"/>
      <c r="BX149" s="217"/>
    </row>
    <row r="150" spans="2:76" x14ac:dyDescent="0.4"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T150" s="217"/>
      <c r="AU150" s="217"/>
      <c r="AV150" s="217"/>
      <c r="AW150" s="217"/>
      <c r="AX150" s="217"/>
      <c r="AY150" s="217"/>
      <c r="AZ150" s="217"/>
      <c r="BA150" s="217"/>
      <c r="BB150" s="217"/>
      <c r="BC150" s="217"/>
      <c r="BD150" s="217"/>
      <c r="BE150" s="217"/>
      <c r="BF150" s="217"/>
      <c r="BG150" s="217"/>
      <c r="BH150" s="217"/>
      <c r="BI150" s="217"/>
      <c r="BJ150" s="217"/>
      <c r="BK150" s="217"/>
      <c r="BL150" s="217"/>
      <c r="BM150" s="217"/>
      <c r="BN150" s="217"/>
      <c r="BO150" s="217"/>
      <c r="BP150" s="217"/>
      <c r="BQ150" s="217"/>
      <c r="BR150" s="217"/>
      <c r="BS150" s="217"/>
      <c r="BT150" s="217"/>
      <c r="BU150" s="217"/>
      <c r="BV150" s="217"/>
      <c r="BW150" s="217"/>
      <c r="BX150" s="217"/>
    </row>
    <row r="151" spans="2:76" x14ac:dyDescent="0.4"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T151" s="217"/>
      <c r="AU151" s="217"/>
      <c r="AV151" s="217"/>
      <c r="AW151" s="217"/>
      <c r="AX151" s="217"/>
      <c r="AY151" s="217"/>
      <c r="AZ151" s="217"/>
      <c r="BA151" s="217"/>
      <c r="BB151" s="217"/>
      <c r="BC151" s="217"/>
      <c r="BD151" s="217"/>
      <c r="BE151" s="217"/>
      <c r="BF151" s="217"/>
      <c r="BG151" s="217"/>
      <c r="BH151" s="217"/>
      <c r="BI151" s="217"/>
      <c r="BJ151" s="217"/>
      <c r="BK151" s="217"/>
      <c r="BL151" s="217"/>
      <c r="BM151" s="217"/>
      <c r="BN151" s="217"/>
      <c r="BO151" s="217"/>
      <c r="BP151" s="217"/>
      <c r="BQ151" s="217"/>
      <c r="BR151" s="217"/>
      <c r="BS151" s="217"/>
      <c r="BT151" s="217"/>
      <c r="BU151" s="217"/>
      <c r="BV151" s="217"/>
      <c r="BW151" s="217"/>
      <c r="BX151" s="217"/>
    </row>
    <row r="311" spans="2:13" s="307" customFormat="1" x14ac:dyDescent="0.4">
      <c r="B311" s="308"/>
      <c r="C311" s="308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</row>
    <row r="312" spans="2:13" s="307" customFormat="1" x14ac:dyDescent="0.4">
      <c r="B312" s="308"/>
      <c r="C312" s="308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</row>
    <row r="313" spans="2:13" s="307" customFormat="1" x14ac:dyDescent="0.4">
      <c r="B313" s="308"/>
      <c r="C313" s="308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</row>
    <row r="314" spans="2:13" s="307" customFormat="1" x14ac:dyDescent="0.4">
      <c r="B314" s="308"/>
      <c r="C314" s="308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</row>
    <row r="315" spans="2:13" s="307" customFormat="1" x14ac:dyDescent="0.4">
      <c r="B315" s="308"/>
      <c r="C315" s="308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</row>
    <row r="316" spans="2:13" s="307" customFormat="1" x14ac:dyDescent="0.4">
      <c r="B316" s="308"/>
      <c r="C316" s="308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</row>
    <row r="317" spans="2:13" s="307" customFormat="1" x14ac:dyDescent="0.4">
      <c r="B317" s="308"/>
      <c r="C317" s="308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</row>
    <row r="318" spans="2:13" s="307" customFormat="1" x14ac:dyDescent="0.4">
      <c r="B318" s="308"/>
      <c r="C318" s="308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</row>
    <row r="319" spans="2:13" s="307" customFormat="1" x14ac:dyDescent="0.4">
      <c r="B319" s="308"/>
      <c r="C319" s="308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</row>
    <row r="320" spans="2:13" s="307" customFormat="1" x14ac:dyDescent="0.4">
      <c r="B320" s="308"/>
      <c r="C320" s="308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</row>
    <row r="321" spans="2:13" s="307" customFormat="1" x14ac:dyDescent="0.4">
      <c r="B321" s="308"/>
      <c r="C321" s="308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</row>
    <row r="322" spans="2:13" s="307" customFormat="1" x14ac:dyDescent="0.4">
      <c r="B322" s="308"/>
      <c r="C322" s="308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</row>
    <row r="323" spans="2:13" s="307" customFormat="1" x14ac:dyDescent="0.4">
      <c r="B323" s="308"/>
      <c r="C323" s="308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</row>
    <row r="324" spans="2:13" s="307" customFormat="1" x14ac:dyDescent="0.4">
      <c r="B324" s="308"/>
      <c r="C324" s="308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</row>
    <row r="325" spans="2:13" s="307" customFormat="1" x14ac:dyDescent="0.4">
      <c r="B325" s="308"/>
      <c r="C325" s="308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</row>
    <row r="326" spans="2:13" s="307" customFormat="1" x14ac:dyDescent="0.4">
      <c r="B326" s="308"/>
      <c r="C326" s="308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</row>
    <row r="327" spans="2:13" s="307" customFormat="1" x14ac:dyDescent="0.4">
      <c r="B327" s="308"/>
      <c r="C327" s="308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</row>
    <row r="328" spans="2:13" s="307" customFormat="1" x14ac:dyDescent="0.4">
      <c r="B328" s="308"/>
      <c r="C328" s="308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</row>
    <row r="329" spans="2:13" s="307" customFormat="1" x14ac:dyDescent="0.4">
      <c r="B329" s="308"/>
      <c r="C329" s="308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</row>
    <row r="330" spans="2:13" s="307" customFormat="1" x14ac:dyDescent="0.4">
      <c r="B330" s="308"/>
      <c r="C330" s="308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</row>
    <row r="331" spans="2:13" s="307" customFormat="1" x14ac:dyDescent="0.4">
      <c r="B331" s="308"/>
      <c r="C331" s="308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</row>
    <row r="332" spans="2:13" s="307" customFormat="1" x14ac:dyDescent="0.4">
      <c r="B332" s="308"/>
      <c r="C332" s="308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</row>
    <row r="333" spans="2:13" s="307" customFormat="1" x14ac:dyDescent="0.4">
      <c r="B333" s="308"/>
      <c r="C333" s="308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</row>
    <row r="334" spans="2:13" s="307" customFormat="1" x14ac:dyDescent="0.4">
      <c r="B334" s="308"/>
      <c r="C334" s="308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</row>
    <row r="335" spans="2:13" s="307" customFormat="1" x14ac:dyDescent="0.4">
      <c r="B335" s="308"/>
      <c r="C335" s="308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</row>
    <row r="336" spans="2:13" s="307" customFormat="1" x14ac:dyDescent="0.4">
      <c r="B336" s="308"/>
      <c r="C336" s="308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</row>
    <row r="337" spans="2:13" s="307" customFormat="1" x14ac:dyDescent="0.4">
      <c r="B337" s="308"/>
      <c r="C337" s="308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</row>
    <row r="338" spans="2:13" s="307" customFormat="1" x14ac:dyDescent="0.4">
      <c r="B338" s="308"/>
      <c r="C338" s="308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</row>
    <row r="339" spans="2:13" s="307" customFormat="1" x14ac:dyDescent="0.4">
      <c r="B339" s="308"/>
      <c r="C339" s="308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</row>
    <row r="340" spans="2:13" s="307" customFormat="1" x14ac:dyDescent="0.4">
      <c r="B340" s="308"/>
      <c r="C340" s="308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</row>
    <row r="341" spans="2:13" s="307" customFormat="1" x14ac:dyDescent="0.4">
      <c r="B341" s="308"/>
      <c r="C341" s="308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</row>
    <row r="342" spans="2:13" s="307" customFormat="1" x14ac:dyDescent="0.4">
      <c r="B342" s="308"/>
      <c r="C342" s="308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</row>
    <row r="343" spans="2:13" s="307" customFormat="1" x14ac:dyDescent="0.4">
      <c r="B343" s="308"/>
      <c r="C343" s="308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</row>
    <row r="344" spans="2:13" s="307" customFormat="1" x14ac:dyDescent="0.4">
      <c r="B344" s="308"/>
      <c r="C344" s="308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</row>
    <row r="345" spans="2:13" s="307" customFormat="1" x14ac:dyDescent="0.4">
      <c r="B345" s="308"/>
      <c r="C345" s="308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</row>
    <row r="346" spans="2:13" s="307" customFormat="1" x14ac:dyDescent="0.4">
      <c r="B346" s="308"/>
      <c r="C346" s="308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</row>
    <row r="347" spans="2:13" s="307" customFormat="1" x14ac:dyDescent="0.4">
      <c r="B347" s="308"/>
      <c r="C347" s="308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</row>
    <row r="348" spans="2:13" s="307" customFormat="1" x14ac:dyDescent="0.4">
      <c r="B348" s="308"/>
      <c r="C348" s="308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</row>
    <row r="349" spans="2:13" s="307" customFormat="1" x14ac:dyDescent="0.4">
      <c r="B349" s="308"/>
      <c r="C349" s="308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</row>
    <row r="350" spans="2:13" s="307" customFormat="1" x14ac:dyDescent="0.4">
      <c r="B350" s="308"/>
      <c r="C350" s="308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</row>
    <row r="351" spans="2:13" s="307" customFormat="1" x14ac:dyDescent="0.4">
      <c r="B351" s="308"/>
      <c r="C351" s="308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</row>
    <row r="352" spans="2:13" s="307" customFormat="1" x14ac:dyDescent="0.4">
      <c r="B352" s="308"/>
      <c r="C352" s="308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</row>
    <row r="353" spans="2:13" s="307" customFormat="1" x14ac:dyDescent="0.4">
      <c r="B353" s="308"/>
      <c r="C353" s="308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</row>
    <row r="354" spans="2:13" s="307" customFormat="1" x14ac:dyDescent="0.4">
      <c r="B354" s="308"/>
      <c r="C354" s="308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</row>
    <row r="355" spans="2:13" s="307" customFormat="1" x14ac:dyDescent="0.4">
      <c r="B355" s="308"/>
      <c r="C355" s="308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</row>
    <row r="356" spans="2:13" s="307" customFormat="1" x14ac:dyDescent="0.4">
      <c r="B356" s="308"/>
      <c r="C356" s="308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</row>
    <row r="357" spans="2:13" s="307" customFormat="1" x14ac:dyDescent="0.4">
      <c r="B357" s="308"/>
      <c r="C357" s="308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</row>
    <row r="358" spans="2:13" s="307" customFormat="1" x14ac:dyDescent="0.4">
      <c r="B358" s="308"/>
      <c r="C358" s="308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</row>
    <row r="359" spans="2:13" s="307" customFormat="1" x14ac:dyDescent="0.4">
      <c r="B359" s="308"/>
      <c r="C359" s="308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</row>
    <row r="360" spans="2:13" s="307" customFormat="1" x14ac:dyDescent="0.4">
      <c r="B360" s="308"/>
      <c r="C360" s="308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</row>
    <row r="361" spans="2:13" s="307" customFormat="1" x14ac:dyDescent="0.4">
      <c r="B361" s="308"/>
      <c r="C361" s="308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</row>
    <row r="362" spans="2:13" s="307" customFormat="1" x14ac:dyDescent="0.4">
      <c r="B362" s="308"/>
      <c r="C362" s="308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</row>
    <row r="363" spans="2:13" s="307" customFormat="1" x14ac:dyDescent="0.4">
      <c r="B363" s="308"/>
      <c r="C363" s="308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</row>
    <row r="364" spans="2:13" s="307" customFormat="1" x14ac:dyDescent="0.4">
      <c r="B364" s="308"/>
      <c r="C364" s="308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</row>
    <row r="365" spans="2:13" s="307" customFormat="1" x14ac:dyDescent="0.4">
      <c r="B365" s="308"/>
      <c r="C365" s="308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</row>
    <row r="366" spans="2:13" s="307" customFormat="1" x14ac:dyDescent="0.4">
      <c r="B366" s="308"/>
      <c r="C366" s="308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</row>
    <row r="367" spans="2:13" s="307" customFormat="1" x14ac:dyDescent="0.4">
      <c r="B367" s="308"/>
      <c r="C367" s="308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</row>
    <row r="368" spans="2:13" s="307" customFormat="1" x14ac:dyDescent="0.4">
      <c r="B368" s="308"/>
      <c r="C368" s="308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</row>
    <row r="369" spans="2:13" s="307" customFormat="1" x14ac:dyDescent="0.4">
      <c r="B369" s="308"/>
      <c r="C369" s="308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</row>
    <row r="370" spans="2:13" s="307" customFormat="1" x14ac:dyDescent="0.4">
      <c r="B370" s="308"/>
      <c r="C370" s="308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</row>
    <row r="371" spans="2:13" s="307" customFormat="1" x14ac:dyDescent="0.4">
      <c r="B371" s="308"/>
      <c r="C371" s="308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</row>
    <row r="372" spans="2:13" s="307" customFormat="1" x14ac:dyDescent="0.4">
      <c r="B372" s="308"/>
      <c r="C372" s="308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</row>
    <row r="373" spans="2:13" s="307" customFormat="1" x14ac:dyDescent="0.4">
      <c r="B373" s="308"/>
      <c r="C373" s="308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</row>
    <row r="374" spans="2:13" s="307" customFormat="1" x14ac:dyDescent="0.4">
      <c r="B374" s="308"/>
      <c r="C374" s="308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</row>
    <row r="375" spans="2:13" s="307" customFormat="1" x14ac:dyDescent="0.4">
      <c r="B375" s="308"/>
      <c r="C375" s="308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</row>
    <row r="376" spans="2:13" s="307" customFormat="1" x14ac:dyDescent="0.4">
      <c r="B376" s="308"/>
      <c r="C376" s="308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</row>
    <row r="377" spans="2:13" s="307" customFormat="1" x14ac:dyDescent="0.4">
      <c r="B377" s="308"/>
      <c r="C377" s="308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</row>
    <row r="378" spans="2:13" s="307" customFormat="1" x14ac:dyDescent="0.4">
      <c r="B378" s="308"/>
      <c r="C378" s="308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</row>
    <row r="379" spans="2:13" s="307" customFormat="1" x14ac:dyDescent="0.4">
      <c r="B379" s="308"/>
      <c r="C379" s="308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</row>
    <row r="380" spans="2:13" s="307" customFormat="1" x14ac:dyDescent="0.4">
      <c r="B380" s="308"/>
      <c r="C380" s="308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</row>
    <row r="381" spans="2:13" s="307" customFormat="1" x14ac:dyDescent="0.4">
      <c r="B381" s="308"/>
      <c r="C381" s="308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</row>
    <row r="382" spans="2:13" s="307" customFormat="1" x14ac:dyDescent="0.4">
      <c r="B382" s="308"/>
      <c r="C382" s="308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</row>
    <row r="383" spans="2:13" s="307" customFormat="1" x14ac:dyDescent="0.4">
      <c r="B383" s="308"/>
      <c r="C383" s="308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</row>
    <row r="384" spans="2:13" s="307" customFormat="1" x14ac:dyDescent="0.4">
      <c r="B384" s="308"/>
      <c r="C384" s="308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</row>
    <row r="385" spans="2:13" s="307" customFormat="1" x14ac:dyDescent="0.4">
      <c r="B385" s="308"/>
      <c r="C385" s="308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</row>
    <row r="386" spans="2:13" s="307" customFormat="1" x14ac:dyDescent="0.4">
      <c r="B386" s="308"/>
      <c r="C386" s="308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</row>
    <row r="387" spans="2:13" s="307" customFormat="1" x14ac:dyDescent="0.4">
      <c r="B387" s="308"/>
      <c r="C387" s="308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</row>
    <row r="388" spans="2:13" s="307" customFormat="1" x14ac:dyDescent="0.4">
      <c r="B388" s="308"/>
      <c r="C388" s="308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</row>
    <row r="389" spans="2:13" s="307" customFormat="1" x14ac:dyDescent="0.4">
      <c r="B389" s="308"/>
      <c r="C389" s="308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</row>
    <row r="390" spans="2:13" s="307" customFormat="1" x14ac:dyDescent="0.4">
      <c r="B390" s="308"/>
      <c r="C390" s="308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</row>
    <row r="391" spans="2:13" s="307" customFormat="1" x14ac:dyDescent="0.4">
      <c r="B391" s="308"/>
      <c r="C391" s="308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</row>
    <row r="392" spans="2:13" s="307" customFormat="1" x14ac:dyDescent="0.4">
      <c r="B392" s="308"/>
      <c r="C392" s="308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</row>
    <row r="393" spans="2:13" s="307" customFormat="1" x14ac:dyDescent="0.4">
      <c r="B393" s="308"/>
      <c r="C393" s="308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</row>
    <row r="394" spans="2:13" s="307" customFormat="1" x14ac:dyDescent="0.4">
      <c r="B394" s="308"/>
      <c r="C394" s="308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</row>
    <row r="395" spans="2:13" s="307" customFormat="1" x14ac:dyDescent="0.4">
      <c r="B395" s="308"/>
      <c r="C395" s="308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</row>
    <row r="396" spans="2:13" s="307" customFormat="1" x14ac:dyDescent="0.4">
      <c r="B396" s="308"/>
      <c r="C396" s="308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</row>
    <row r="397" spans="2:13" s="307" customFormat="1" x14ac:dyDescent="0.4">
      <c r="B397" s="308"/>
      <c r="C397" s="308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</row>
    <row r="398" spans="2:13" s="307" customFormat="1" x14ac:dyDescent="0.4">
      <c r="B398" s="308"/>
      <c r="C398" s="308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</row>
    <row r="399" spans="2:13" s="307" customFormat="1" x14ac:dyDescent="0.4">
      <c r="B399" s="308"/>
      <c r="C399" s="308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</row>
    <row r="400" spans="2:13" s="307" customFormat="1" x14ac:dyDescent="0.4">
      <c r="B400" s="308"/>
      <c r="C400" s="308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</row>
    <row r="401" spans="2:13" s="307" customFormat="1" x14ac:dyDescent="0.4">
      <c r="B401" s="308"/>
      <c r="C401" s="308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</row>
    <row r="402" spans="2:13" s="307" customFormat="1" x14ac:dyDescent="0.4">
      <c r="B402" s="308"/>
      <c r="C402" s="308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</row>
    <row r="403" spans="2:13" s="307" customFormat="1" x14ac:dyDescent="0.4">
      <c r="B403" s="308"/>
      <c r="C403" s="308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</row>
    <row r="404" spans="2:13" s="307" customFormat="1" x14ac:dyDescent="0.4">
      <c r="B404" s="308"/>
      <c r="C404" s="308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</row>
    <row r="405" spans="2:13" s="307" customFormat="1" x14ac:dyDescent="0.4">
      <c r="B405" s="308"/>
      <c r="C405" s="308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</row>
    <row r="406" spans="2:13" s="307" customFormat="1" x14ac:dyDescent="0.4">
      <c r="B406" s="308"/>
      <c r="C406" s="308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</row>
    <row r="407" spans="2:13" s="307" customFormat="1" x14ac:dyDescent="0.4">
      <c r="B407" s="308"/>
      <c r="C407" s="308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</row>
    <row r="408" spans="2:13" s="307" customFormat="1" x14ac:dyDescent="0.4">
      <c r="B408" s="308"/>
      <c r="C408" s="308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</row>
    <row r="409" spans="2:13" s="307" customFormat="1" x14ac:dyDescent="0.4">
      <c r="B409" s="308"/>
      <c r="C409" s="308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</row>
    <row r="410" spans="2:13" s="307" customFormat="1" x14ac:dyDescent="0.4">
      <c r="B410" s="308"/>
      <c r="C410" s="308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</row>
    <row r="411" spans="2:13" s="307" customFormat="1" x14ac:dyDescent="0.4">
      <c r="B411" s="308"/>
      <c r="C411" s="308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</row>
    <row r="412" spans="2:13" s="307" customFormat="1" x14ac:dyDescent="0.4">
      <c r="B412" s="308"/>
      <c r="C412" s="308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</row>
    <row r="413" spans="2:13" s="307" customFormat="1" x14ac:dyDescent="0.4">
      <c r="B413" s="308"/>
      <c r="C413" s="308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</row>
    <row r="414" spans="2:13" s="307" customFormat="1" x14ac:dyDescent="0.4">
      <c r="B414" s="308"/>
      <c r="C414" s="308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</row>
    <row r="415" spans="2:13" s="307" customFormat="1" x14ac:dyDescent="0.4">
      <c r="B415" s="308"/>
      <c r="C415" s="308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</row>
    <row r="416" spans="2:13" s="307" customFormat="1" x14ac:dyDescent="0.4">
      <c r="B416" s="308"/>
      <c r="C416" s="308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</row>
    <row r="417" spans="2:13" s="307" customFormat="1" x14ac:dyDescent="0.4">
      <c r="B417" s="308"/>
      <c r="C417" s="308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</row>
    <row r="418" spans="2:13" s="307" customFormat="1" x14ac:dyDescent="0.4">
      <c r="B418" s="308"/>
      <c r="C418" s="308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</row>
    <row r="419" spans="2:13" s="307" customFormat="1" x14ac:dyDescent="0.4">
      <c r="B419" s="308"/>
      <c r="C419" s="308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</row>
    <row r="420" spans="2:13" s="307" customFormat="1" x14ac:dyDescent="0.4">
      <c r="B420" s="308"/>
      <c r="C420" s="308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</row>
    <row r="421" spans="2:13" s="307" customFormat="1" x14ac:dyDescent="0.4">
      <c r="B421" s="308"/>
      <c r="C421" s="308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</row>
    <row r="422" spans="2:13" s="307" customFormat="1" x14ac:dyDescent="0.4">
      <c r="B422" s="308"/>
      <c r="C422" s="308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</row>
    <row r="423" spans="2:13" s="307" customFormat="1" x14ac:dyDescent="0.4">
      <c r="B423" s="308"/>
      <c r="C423" s="308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</row>
    <row r="424" spans="2:13" s="307" customFormat="1" x14ac:dyDescent="0.4">
      <c r="B424" s="308"/>
      <c r="C424" s="308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</row>
    <row r="425" spans="2:13" s="307" customFormat="1" x14ac:dyDescent="0.4">
      <c r="B425" s="308"/>
      <c r="C425" s="308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</row>
    <row r="426" spans="2:13" s="307" customFormat="1" x14ac:dyDescent="0.4">
      <c r="B426" s="308"/>
      <c r="C426" s="308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</row>
    <row r="427" spans="2:13" s="307" customFormat="1" x14ac:dyDescent="0.4">
      <c r="B427" s="308"/>
      <c r="C427" s="308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</row>
    <row r="428" spans="2:13" s="307" customFormat="1" x14ac:dyDescent="0.4">
      <c r="B428" s="308"/>
      <c r="C428" s="308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</row>
    <row r="429" spans="2:13" s="307" customFormat="1" x14ac:dyDescent="0.4">
      <c r="B429" s="308"/>
      <c r="C429" s="308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</row>
    <row r="430" spans="2:13" s="307" customFormat="1" x14ac:dyDescent="0.4">
      <c r="B430" s="308"/>
      <c r="C430" s="308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</row>
    <row r="431" spans="2:13" s="307" customFormat="1" x14ac:dyDescent="0.4">
      <c r="B431" s="308"/>
      <c r="C431" s="308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</row>
    <row r="432" spans="2:13" s="307" customFormat="1" x14ac:dyDescent="0.4">
      <c r="B432" s="308"/>
      <c r="C432" s="308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</row>
    <row r="433" spans="2:13" s="307" customFormat="1" x14ac:dyDescent="0.4">
      <c r="B433" s="308"/>
      <c r="C433" s="308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</row>
    <row r="434" spans="2:13" s="307" customFormat="1" x14ac:dyDescent="0.4">
      <c r="B434" s="308"/>
      <c r="C434" s="308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</row>
    <row r="435" spans="2:13" s="307" customFormat="1" x14ac:dyDescent="0.4">
      <c r="B435" s="308"/>
      <c r="C435" s="308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</row>
    <row r="436" spans="2:13" s="307" customFormat="1" x14ac:dyDescent="0.4">
      <c r="B436" s="308"/>
      <c r="C436" s="308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</row>
    <row r="437" spans="2:13" s="307" customFormat="1" x14ac:dyDescent="0.4">
      <c r="B437" s="308"/>
      <c r="C437" s="308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</row>
    <row r="438" spans="2:13" s="307" customFormat="1" x14ac:dyDescent="0.4">
      <c r="B438" s="308"/>
      <c r="C438" s="308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</row>
    <row r="439" spans="2:13" s="307" customFormat="1" x14ac:dyDescent="0.4">
      <c r="B439" s="308"/>
      <c r="C439" s="308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</row>
    <row r="440" spans="2:13" s="307" customFormat="1" x14ac:dyDescent="0.4">
      <c r="B440" s="308"/>
      <c r="C440" s="308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</row>
    <row r="441" spans="2:13" s="307" customFormat="1" x14ac:dyDescent="0.4">
      <c r="B441" s="308"/>
      <c r="C441" s="308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</row>
    <row r="442" spans="2:13" s="307" customFormat="1" x14ac:dyDescent="0.4">
      <c r="B442" s="308"/>
      <c r="C442" s="308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</row>
    <row r="443" spans="2:13" s="307" customFormat="1" x14ac:dyDescent="0.4">
      <c r="B443" s="308"/>
      <c r="C443" s="308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</row>
    <row r="444" spans="2:13" s="307" customFormat="1" x14ac:dyDescent="0.4">
      <c r="B444" s="308"/>
      <c r="C444" s="308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</row>
    <row r="445" spans="2:13" s="307" customFormat="1" x14ac:dyDescent="0.4">
      <c r="B445" s="308"/>
      <c r="C445" s="308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</row>
    <row r="446" spans="2:13" s="307" customFormat="1" x14ac:dyDescent="0.4">
      <c r="B446" s="308"/>
      <c r="C446" s="308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</row>
    <row r="447" spans="2:13" s="307" customFormat="1" x14ac:dyDescent="0.4">
      <c r="B447" s="308"/>
      <c r="C447" s="308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</row>
    <row r="448" spans="2:13" s="307" customFormat="1" x14ac:dyDescent="0.4">
      <c r="B448" s="308"/>
      <c r="C448" s="308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</row>
    <row r="449" spans="2:13" s="307" customFormat="1" x14ac:dyDescent="0.4">
      <c r="B449" s="308"/>
      <c r="C449" s="308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</row>
    <row r="450" spans="2:13" s="307" customFormat="1" x14ac:dyDescent="0.4">
      <c r="B450" s="308"/>
      <c r="C450" s="308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</row>
    <row r="451" spans="2:13" s="307" customFormat="1" x14ac:dyDescent="0.4">
      <c r="B451" s="308"/>
      <c r="C451" s="308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</row>
    <row r="452" spans="2:13" s="307" customFormat="1" x14ac:dyDescent="0.4">
      <c r="B452" s="308"/>
      <c r="C452" s="308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</row>
    <row r="453" spans="2:13" s="307" customFormat="1" x14ac:dyDescent="0.4">
      <c r="B453" s="308"/>
      <c r="C453" s="308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</row>
    <row r="454" spans="2:13" s="307" customFormat="1" x14ac:dyDescent="0.4">
      <c r="B454" s="308"/>
      <c r="C454" s="308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</row>
    <row r="455" spans="2:13" s="307" customFormat="1" x14ac:dyDescent="0.4">
      <c r="B455" s="308"/>
      <c r="C455" s="308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</row>
    <row r="456" spans="2:13" s="307" customFormat="1" x14ac:dyDescent="0.4">
      <c r="B456" s="308"/>
      <c r="C456" s="308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</row>
    <row r="457" spans="2:13" s="307" customFormat="1" x14ac:dyDescent="0.4">
      <c r="B457" s="308"/>
      <c r="C457" s="308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</row>
    <row r="458" spans="2:13" s="307" customFormat="1" x14ac:dyDescent="0.4">
      <c r="B458" s="308"/>
      <c r="C458" s="308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</row>
    <row r="459" spans="2:13" s="307" customFormat="1" x14ac:dyDescent="0.4">
      <c r="B459" s="308"/>
      <c r="C459" s="308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</row>
    <row r="460" spans="2:13" s="307" customFormat="1" x14ac:dyDescent="0.4">
      <c r="B460" s="308"/>
      <c r="C460" s="308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</row>
    <row r="461" spans="2:13" s="307" customFormat="1" x14ac:dyDescent="0.4">
      <c r="B461" s="308"/>
      <c r="C461" s="308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</row>
    <row r="462" spans="2:13" s="307" customFormat="1" x14ac:dyDescent="0.4">
      <c r="B462" s="308"/>
      <c r="C462" s="308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</row>
    <row r="463" spans="2:13" s="307" customFormat="1" x14ac:dyDescent="0.4">
      <c r="B463" s="308"/>
      <c r="C463" s="308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</row>
    <row r="464" spans="2:13" s="307" customFormat="1" x14ac:dyDescent="0.4">
      <c r="B464" s="308"/>
      <c r="C464" s="308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</row>
    <row r="465" spans="2:13" s="307" customFormat="1" x14ac:dyDescent="0.4">
      <c r="B465" s="308"/>
      <c r="C465" s="308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</row>
    <row r="466" spans="2:13" s="307" customFormat="1" x14ac:dyDescent="0.4">
      <c r="B466" s="308"/>
      <c r="C466" s="308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</row>
    <row r="467" spans="2:13" s="307" customFormat="1" x14ac:dyDescent="0.4">
      <c r="B467" s="308"/>
      <c r="C467" s="308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</row>
    <row r="468" spans="2:13" s="307" customFormat="1" x14ac:dyDescent="0.4">
      <c r="B468" s="308"/>
      <c r="C468" s="308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</row>
    <row r="469" spans="2:13" s="307" customFormat="1" x14ac:dyDescent="0.4">
      <c r="B469" s="308"/>
      <c r="C469" s="308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</row>
    <row r="470" spans="2:13" s="307" customFormat="1" x14ac:dyDescent="0.4">
      <c r="B470" s="308"/>
      <c r="C470" s="308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</row>
    <row r="471" spans="2:13" s="307" customFormat="1" x14ac:dyDescent="0.4">
      <c r="B471" s="308"/>
      <c r="C471" s="308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</row>
  </sheetData>
  <phoneticPr fontId="2" type="noConversion"/>
  <conditionalFormatting sqref="L6:L35 L112:L141 L47:L76">
    <cfRule type="cellIs" dxfId="41" priority="6" stopIfTrue="1" operator="lessThanOrEqual">
      <formula>0</formula>
    </cfRule>
    <cfRule type="cellIs" dxfId="40" priority="7" stopIfTrue="1" operator="equal">
      <formula>$B6</formula>
    </cfRule>
    <cfRule type="cellIs" dxfId="39" priority="8" stopIfTrue="1" operator="equal">
      <formula>L$5</formula>
    </cfRule>
  </conditionalFormatting>
  <conditionalFormatting sqref="P6:V19 P47:V60">
    <cfRule type="cellIs" dxfId="38" priority="9" stopIfTrue="1" operator="lessThanOrEqual">
      <formula>0</formula>
    </cfRule>
    <cfRule type="cellIs" dxfId="37" priority="10" stopIfTrue="1" operator="equal">
      <formula>$O6</formula>
    </cfRule>
    <cfRule type="cellIs" dxfId="36" priority="11" stopIfTrue="1" operator="equal">
      <formula>P$5</formula>
    </cfRule>
  </conditionalFormatting>
  <conditionalFormatting sqref="E6:K35 AM8:AN18 AO6:AS34 AB8:AC9 O45 O4 D91 AH6:AL34 AT8:AU14 AB49:AC50 W47:AA60 AM49:AN59 AO47:AS75 AH47:AL75 AT49:AU55">
    <cfRule type="cellIs" dxfId="35" priority="12" stopIfTrue="1" operator="lessThanOrEqual">
      <formula>0</formula>
    </cfRule>
  </conditionalFormatting>
  <conditionalFormatting sqref="AH37:AU37 E107:K107 P61:AC61 P20:AC20 AH78:AU78">
    <cfRule type="cellIs" dxfId="34" priority="13" stopIfTrue="1" operator="equal">
      <formula>$O$20</formula>
    </cfRule>
  </conditionalFormatting>
  <conditionalFormatting sqref="AW37:BC37 BO40:BW40 BD40:BK40 AW78:BC78 BO81:BW81 BD81:BK81 E37:K37 E78:K78">
    <cfRule type="cellIs" dxfId="33" priority="14" stopIfTrue="1" operator="equal">
      <formula>$B$37</formula>
    </cfRule>
  </conditionalFormatting>
  <conditionalFormatting sqref="AG41:BK41 E42:K42">
    <cfRule type="cellIs" dxfId="32" priority="15" stopIfTrue="1" operator="equal">
      <formula>$B$39</formula>
    </cfRule>
  </conditionalFormatting>
  <conditionalFormatting sqref="E93:K106">
    <cfRule type="cellIs" dxfId="31" priority="16" stopIfTrue="1" operator="lessThanOrEqual">
      <formula>0</formula>
    </cfRule>
    <cfRule type="expression" dxfId="30" priority="17" stopIfTrue="1">
      <formula>"iserror"</formula>
    </cfRule>
  </conditionalFormatting>
  <conditionalFormatting sqref="B6:B35 B112:B141 B47:B76">
    <cfRule type="expression" dxfId="29" priority="18" stopIfTrue="1">
      <formula>"max($E$36:$AI$36)"</formula>
    </cfRule>
  </conditionalFormatting>
  <conditionalFormatting sqref="W62:AA62">
    <cfRule type="cellIs" dxfId="28" priority="5" stopIfTrue="1" operator="equal">
      <formula>$O$20</formula>
    </cfRule>
  </conditionalFormatting>
  <conditionalFormatting sqref="W6:AA19">
    <cfRule type="cellIs" dxfId="27" priority="2" stopIfTrue="1" operator="lessThanOrEqual">
      <formula>0</formula>
    </cfRule>
    <cfRule type="cellIs" dxfId="26" priority="3" stopIfTrue="1" operator="equal">
      <formula>$O6</formula>
    </cfRule>
    <cfRule type="cellIs" dxfId="25" priority="4" stopIfTrue="1" operator="equal">
      <formula>W$5</formula>
    </cfRule>
  </conditionalFormatting>
  <conditionalFormatting sqref="AW47:BA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5" bottom="0.5" header="0.25" footer="0.5"/>
  <pageSetup scale="25" orientation="landscape" r:id="rId1"/>
  <headerFooter alignWithMargins="0"/>
  <ignoredErrors>
    <ignoredError sqref="W79:AC81 P29:AC32 P70:AC73 AN38:AN40 AH38:AM40 AO38:AU40 AH79:AU81" unlockedFormula="1"/>
    <ignoredError sqref="W38:AC40" formulaRange="1" unlockedFormula="1"/>
    <ignoredError sqref="W65:AC67 W24:AC26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AQ287"/>
  <sheetViews>
    <sheetView showGridLines="0" zoomScale="75" workbookViewId="0">
      <pane xSplit="12" ySplit="2" topLeftCell="M3" activePane="bottomRight" state="frozen"/>
      <selection pane="topRight" activeCell="L1" sqref="L1"/>
      <selection pane="bottomLeft" activeCell="A3" sqref="A3"/>
      <selection pane="bottomRight" activeCell="K6" sqref="K6"/>
    </sheetView>
  </sheetViews>
  <sheetFormatPr defaultRowHeight="15" x14ac:dyDescent="0.25"/>
  <cols>
    <col min="1" max="1" width="2" style="55" customWidth="1"/>
    <col min="2" max="3" width="9.7109375" style="55" bestFit="1" customWidth="1"/>
    <col min="4" max="4" width="3.140625" style="55" customWidth="1"/>
    <col min="5" max="5" width="6.42578125" style="56" bestFit="1" customWidth="1"/>
    <col min="6" max="6" width="7.140625" style="56" bestFit="1" customWidth="1"/>
    <col min="7" max="7" width="7.140625" style="56" customWidth="1"/>
    <col min="8" max="8" width="8.140625" style="56" bestFit="1" customWidth="1"/>
    <col min="9" max="9" width="6.7109375" style="56" customWidth="1"/>
    <col min="10" max="10" width="6" style="56" bestFit="1" customWidth="1"/>
    <col min="11" max="11" width="7.5703125" style="56" bestFit="1" customWidth="1"/>
    <col min="12" max="12" width="1.42578125" style="56" customWidth="1"/>
    <col min="13" max="13" width="9.7109375" style="56" bestFit="1" customWidth="1"/>
    <col min="14" max="18" width="8.5703125" style="56" bestFit="1" customWidth="1"/>
    <col min="19" max="24" width="9.7109375" style="56" bestFit="1" customWidth="1"/>
    <col min="25" max="42" width="8.5703125" style="56" bestFit="1" customWidth="1"/>
    <col min="43" max="43" width="9.7109375" style="56" bestFit="1" customWidth="1"/>
    <col min="44" max="16384" width="9.140625" style="55"/>
  </cols>
  <sheetData>
    <row r="2" spans="2:43" s="52" customFormat="1" x14ac:dyDescent="0.25">
      <c r="E2" s="53"/>
      <c r="F2" s="53"/>
      <c r="G2" s="53"/>
      <c r="H2" s="53"/>
      <c r="I2" s="53"/>
      <c r="J2" s="53"/>
      <c r="K2" s="53"/>
      <c r="L2" s="53"/>
      <c r="M2" s="181">
        <v>0.29166666666424135</v>
      </c>
      <c r="N2" s="181">
        <v>0.3125</v>
      </c>
      <c r="O2" s="181">
        <v>0.33333333333575899</v>
      </c>
      <c r="P2" s="181">
        <v>0.35416666667151703</v>
      </c>
      <c r="Q2" s="181">
        <v>0.37500000000727601</v>
      </c>
      <c r="R2" s="181">
        <v>0.395833333343034</v>
      </c>
      <c r="S2" s="181">
        <v>0.41666666667879299</v>
      </c>
      <c r="T2" s="181">
        <v>0.43750000001455203</v>
      </c>
      <c r="U2" s="181">
        <v>0.45833333335031001</v>
      </c>
      <c r="V2" s="181">
        <v>0.479166666686069</v>
      </c>
      <c r="W2" s="181">
        <v>0.50000000002182798</v>
      </c>
      <c r="X2" s="181">
        <v>0.52083333335758597</v>
      </c>
      <c r="Y2" s="181">
        <v>0.54166666669334496</v>
      </c>
      <c r="Z2" s="181">
        <v>0.56250000002910305</v>
      </c>
      <c r="AA2" s="181">
        <v>0.58333333336486204</v>
      </c>
      <c r="AB2" s="181">
        <v>0.60416666670062102</v>
      </c>
      <c r="AC2" s="181">
        <v>0.62500000003637901</v>
      </c>
      <c r="AD2" s="181">
        <v>0.645833333372138</v>
      </c>
      <c r="AE2" s="181">
        <v>0.66666666670789698</v>
      </c>
      <c r="AF2" s="181">
        <v>0.68750000004365497</v>
      </c>
      <c r="AG2" s="181">
        <v>0.70833333337941395</v>
      </c>
      <c r="AH2" s="181">
        <v>0.72916666671517305</v>
      </c>
      <c r="AI2" s="181">
        <v>0.75000000005093104</v>
      </c>
      <c r="AJ2" s="181">
        <v>0.77083333338669002</v>
      </c>
      <c r="AK2" s="181">
        <v>0.79166666672244901</v>
      </c>
      <c r="AL2" s="181">
        <v>0.81250000005820699</v>
      </c>
      <c r="AM2" s="181">
        <v>0.83333333339396598</v>
      </c>
      <c r="AN2" s="181">
        <v>0.85416666672972497</v>
      </c>
      <c r="AO2" s="181">
        <v>0.87500000006548295</v>
      </c>
      <c r="AP2" s="181">
        <v>0.89583333340124205</v>
      </c>
      <c r="AQ2" s="181"/>
    </row>
    <row r="3" spans="2:43" s="52" customFormat="1" x14ac:dyDescent="0.25">
      <c r="E3" s="53"/>
      <c r="F3" s="53"/>
      <c r="G3" s="53"/>
      <c r="H3" s="53"/>
      <c r="I3" s="53"/>
      <c r="J3" s="53"/>
      <c r="K3" s="58" t="s">
        <v>32</v>
      </c>
      <c r="L3" s="53"/>
      <c r="M3" s="84">
        <f>G8</f>
        <v>0</v>
      </c>
      <c r="N3" s="84">
        <f>M3+G9</f>
        <v>0</v>
      </c>
      <c r="O3" s="84">
        <f>N3+G10</f>
        <v>0</v>
      </c>
      <c r="P3" s="84">
        <f>+O3+G11</f>
        <v>0</v>
      </c>
      <c r="Q3" s="84">
        <f>P3+G12</f>
        <v>0</v>
      </c>
      <c r="R3" s="84">
        <f>Q3+G13</f>
        <v>0</v>
      </c>
      <c r="S3" s="84">
        <f>R3+G14</f>
        <v>0</v>
      </c>
      <c r="T3" s="84">
        <f>S3+G15</f>
        <v>0</v>
      </c>
      <c r="U3" s="84">
        <f>T3+G16-G8</f>
        <v>0</v>
      </c>
      <c r="V3" s="84">
        <f>U3+G17-G9</f>
        <v>0</v>
      </c>
      <c r="W3" s="84">
        <f>V3+G18-G10</f>
        <v>0</v>
      </c>
      <c r="X3" s="84">
        <f>W3+G19-G11</f>
        <v>0</v>
      </c>
      <c r="Y3" s="84">
        <f>X3+G20-G12</f>
        <v>0</v>
      </c>
      <c r="Z3" s="84">
        <f>Y3+G21-G13</f>
        <v>0</v>
      </c>
      <c r="AA3" s="84">
        <f>Z3+G22-G14</f>
        <v>0</v>
      </c>
      <c r="AB3" s="84">
        <f>AA3+G23-G15</f>
        <v>0</v>
      </c>
      <c r="AC3" s="84">
        <f>AB3+G24-G16</f>
        <v>0</v>
      </c>
      <c r="AD3" s="84">
        <f>AC3+G25-G17</f>
        <v>0</v>
      </c>
      <c r="AE3" s="84">
        <f>AD3+G26-G18</f>
        <v>0</v>
      </c>
      <c r="AF3" s="84">
        <f>AE3+G27-G19</f>
        <v>0</v>
      </c>
      <c r="AG3" s="84">
        <f>AF3+G28-G20</f>
        <v>0</v>
      </c>
      <c r="AH3" s="84">
        <f>AG3+G29-G21</f>
        <v>0</v>
      </c>
      <c r="AI3" s="84">
        <f>AH3+G30-G22</f>
        <v>0</v>
      </c>
      <c r="AJ3" s="84">
        <f>AI3+G31-G23</f>
        <v>0</v>
      </c>
      <c r="AK3" s="84">
        <f>AJ3+G32-G24</f>
        <v>0</v>
      </c>
      <c r="AL3" s="84">
        <f>AK3+G33-G25</f>
        <v>0</v>
      </c>
      <c r="AM3" s="84">
        <f>AL3+G34-G26</f>
        <v>0</v>
      </c>
      <c r="AN3" s="84">
        <f>AM3+G35-G27</f>
        <v>0</v>
      </c>
      <c r="AO3" s="84">
        <f>AN3+G36-G28</f>
        <v>0</v>
      </c>
      <c r="AP3" s="84">
        <f>AO3+G37-G29</f>
        <v>0</v>
      </c>
      <c r="AQ3" s="84">
        <f>SUM(M3:AP3)/8.5</f>
        <v>0</v>
      </c>
    </row>
    <row r="4" spans="2:43" x14ac:dyDescent="0.25">
      <c r="J4" s="57"/>
      <c r="K4" s="58" t="s">
        <v>31</v>
      </c>
      <c r="M4" s="84">
        <f>F8</f>
        <v>0</v>
      </c>
      <c r="N4" s="84">
        <f>M4+F9</f>
        <v>0</v>
      </c>
      <c r="O4" s="84">
        <f>N4+F10</f>
        <v>0</v>
      </c>
      <c r="P4" s="84">
        <f>O4+F11</f>
        <v>0</v>
      </c>
      <c r="Q4" s="84">
        <f>P4+F12</f>
        <v>0</v>
      </c>
      <c r="R4" s="84">
        <f>Q4+F13</f>
        <v>0</v>
      </c>
      <c r="S4" s="84">
        <f>R4+F14</f>
        <v>0</v>
      </c>
      <c r="T4" s="84">
        <f>S4+F15</f>
        <v>0</v>
      </c>
      <c r="U4" s="84">
        <f>T4+F16</f>
        <v>0</v>
      </c>
      <c r="V4" s="84">
        <f>U4</f>
        <v>0</v>
      </c>
      <c r="W4" s="84">
        <f>V4</f>
        <v>0</v>
      </c>
      <c r="X4" s="84">
        <f>W4</f>
        <v>0</v>
      </c>
      <c r="Y4" s="96"/>
      <c r="Z4" s="96"/>
      <c r="AA4" s="96"/>
      <c r="AB4" s="96"/>
      <c r="AC4" s="84">
        <f t="shared" ref="AC4:AN4" si="0">M4</f>
        <v>0</v>
      </c>
      <c r="AD4" s="84">
        <f t="shared" si="0"/>
        <v>0</v>
      </c>
      <c r="AE4" s="84">
        <f t="shared" si="0"/>
        <v>0</v>
      </c>
      <c r="AF4" s="84">
        <f t="shared" si="0"/>
        <v>0</v>
      </c>
      <c r="AG4" s="84">
        <f t="shared" si="0"/>
        <v>0</v>
      </c>
      <c r="AH4" s="84">
        <f t="shared" si="0"/>
        <v>0</v>
      </c>
      <c r="AI4" s="84">
        <f t="shared" si="0"/>
        <v>0</v>
      </c>
      <c r="AJ4" s="84">
        <f t="shared" si="0"/>
        <v>0</v>
      </c>
      <c r="AK4" s="84">
        <f t="shared" si="0"/>
        <v>0</v>
      </c>
      <c r="AL4" s="84">
        <f t="shared" si="0"/>
        <v>0</v>
      </c>
      <c r="AM4" s="84">
        <f t="shared" si="0"/>
        <v>0</v>
      </c>
      <c r="AN4" s="84">
        <f t="shared" si="0"/>
        <v>0</v>
      </c>
      <c r="AO4" s="84"/>
      <c r="AP4" s="84"/>
      <c r="AQ4" s="182"/>
    </row>
    <row r="5" spans="2:43" s="57" customFormat="1" ht="17.25" customHeight="1" x14ac:dyDescent="0.25">
      <c r="K5" s="58" t="s">
        <v>13</v>
      </c>
      <c r="M5" s="84"/>
      <c r="N5" s="84"/>
      <c r="O5" s="84"/>
      <c r="P5" s="84"/>
      <c r="Q5" s="84"/>
      <c r="R5" s="84"/>
      <c r="S5" s="84"/>
      <c r="T5" s="84"/>
      <c r="U5" s="84">
        <f>M4</f>
        <v>0</v>
      </c>
      <c r="V5" s="84">
        <f>N4</f>
        <v>0</v>
      </c>
      <c r="W5" s="84">
        <f>O4</f>
        <v>0</v>
      </c>
      <c r="X5" s="84">
        <f>P4</f>
        <v>0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>
        <f>AC4</f>
        <v>0</v>
      </c>
      <c r="AL5" s="84">
        <f>AD4</f>
        <v>0</v>
      </c>
      <c r="AM5" s="84">
        <f>AE4</f>
        <v>0</v>
      </c>
      <c r="AN5" s="84">
        <f>AF4</f>
        <v>0</v>
      </c>
      <c r="AO5" s="84"/>
      <c r="AP5" s="85"/>
      <c r="AQ5" s="86"/>
    </row>
    <row r="6" spans="2:43" s="57" customFormat="1" ht="17.25" customHeight="1" x14ac:dyDescent="0.25">
      <c r="B6" s="57" t="s">
        <v>14</v>
      </c>
      <c r="E6" s="59" t="s">
        <v>8</v>
      </c>
      <c r="F6" s="59" t="s">
        <v>15</v>
      </c>
      <c r="G6" s="59" t="s">
        <v>32</v>
      </c>
      <c r="H6" s="59" t="s">
        <v>16</v>
      </c>
      <c r="J6" s="58" t="s">
        <v>9</v>
      </c>
      <c r="K6" s="58">
        <f>SUM(M6:AP6)/16</f>
        <v>0</v>
      </c>
      <c r="M6" s="87">
        <f>SUM(M8:M37)+M4+M3-M5</f>
        <v>0</v>
      </c>
      <c r="N6" s="87">
        <f t="shared" ref="N6:AP6" si="1">SUM(N8:N37)+N4+N3-N5</f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87">
        <f t="shared" si="1"/>
        <v>0</v>
      </c>
      <c r="V6" s="87">
        <f t="shared" si="1"/>
        <v>0</v>
      </c>
      <c r="W6" s="87">
        <f t="shared" si="1"/>
        <v>0</v>
      </c>
      <c r="X6" s="87">
        <f t="shared" si="1"/>
        <v>0</v>
      </c>
      <c r="Y6" s="87">
        <f t="shared" si="1"/>
        <v>0</v>
      </c>
      <c r="Z6" s="87">
        <f t="shared" si="1"/>
        <v>0</v>
      </c>
      <c r="AA6" s="87">
        <f t="shared" si="1"/>
        <v>0</v>
      </c>
      <c r="AB6" s="87">
        <f t="shared" si="1"/>
        <v>0</v>
      </c>
      <c r="AC6" s="87">
        <f t="shared" si="1"/>
        <v>0</v>
      </c>
      <c r="AD6" s="87">
        <f t="shared" si="1"/>
        <v>0</v>
      </c>
      <c r="AE6" s="87">
        <f t="shared" si="1"/>
        <v>0</v>
      </c>
      <c r="AF6" s="87">
        <f t="shared" si="1"/>
        <v>0</v>
      </c>
      <c r="AG6" s="87">
        <f t="shared" si="1"/>
        <v>0</v>
      </c>
      <c r="AH6" s="87">
        <f t="shared" si="1"/>
        <v>0</v>
      </c>
      <c r="AI6" s="87">
        <f t="shared" si="1"/>
        <v>0</v>
      </c>
      <c r="AJ6" s="87">
        <f t="shared" si="1"/>
        <v>0</v>
      </c>
      <c r="AK6" s="87">
        <f t="shared" si="1"/>
        <v>0</v>
      </c>
      <c r="AL6" s="87">
        <f t="shared" si="1"/>
        <v>0</v>
      </c>
      <c r="AM6" s="87">
        <f t="shared" si="1"/>
        <v>0</v>
      </c>
      <c r="AN6" s="87">
        <f t="shared" si="1"/>
        <v>0</v>
      </c>
      <c r="AO6" s="87">
        <f t="shared" si="1"/>
        <v>0</v>
      </c>
      <c r="AP6" s="87">
        <f t="shared" si="1"/>
        <v>0</v>
      </c>
      <c r="AQ6" s="87"/>
    </row>
    <row r="7" spans="2:43" s="88" customFormat="1" x14ac:dyDescent="0.25">
      <c r="E7" s="178">
        <f>SUM(E8:E37)</f>
        <v>0</v>
      </c>
      <c r="F7" s="178">
        <f>SUM(F8:F37)</f>
        <v>0</v>
      </c>
      <c r="G7" s="178">
        <f>SUM(G8:G37)</f>
        <v>0</v>
      </c>
      <c r="H7" s="178">
        <f>SUM(H8:H37)</f>
        <v>0</v>
      </c>
      <c r="I7" s="89"/>
      <c r="J7" s="89"/>
      <c r="K7" s="58" t="s">
        <v>7</v>
      </c>
      <c r="L7" s="89"/>
      <c r="M7" s="180">
        <f>SUMMARY!$E$6</f>
        <v>0</v>
      </c>
      <c r="N7" s="180">
        <f>SUMMARY!$E$7</f>
        <v>0</v>
      </c>
      <c r="O7" s="180">
        <f>SUMMARY!$E$8</f>
        <v>0</v>
      </c>
      <c r="P7" s="180">
        <f>SUMMARY!$E$9</f>
        <v>0</v>
      </c>
      <c r="Q7" s="180">
        <f>SUMMARY!$E$10</f>
        <v>0</v>
      </c>
      <c r="R7" s="180">
        <f>SUMMARY!$E$11</f>
        <v>0</v>
      </c>
      <c r="S7" s="180">
        <f>SUMMARY!$E$12</f>
        <v>0</v>
      </c>
      <c r="T7" s="180">
        <f>SUMMARY!$E$13</f>
        <v>0</v>
      </c>
      <c r="U7" s="180">
        <f>SUMMARY!$E$14</f>
        <v>0</v>
      </c>
      <c r="V7" s="180">
        <f>SUMMARY!$E$15</f>
        <v>0</v>
      </c>
      <c r="W7" s="180">
        <f>SUMMARY!$E$16</f>
        <v>0</v>
      </c>
      <c r="X7" s="180">
        <f>SUMMARY!$E$17</f>
        <v>0</v>
      </c>
      <c r="Y7" s="180">
        <f>SUMMARY!$E$18</f>
        <v>0</v>
      </c>
      <c r="Z7" s="180">
        <f>SUMMARY!$E$19</f>
        <v>0</v>
      </c>
      <c r="AA7" s="180">
        <f>SUMMARY!$E$20</f>
        <v>0</v>
      </c>
      <c r="AB7" s="180">
        <f>SUMMARY!$E$21</f>
        <v>0</v>
      </c>
      <c r="AC7" s="180">
        <f>SUMMARY!$E$22</f>
        <v>0</v>
      </c>
      <c r="AD7" s="180">
        <f>SUMMARY!$E$23</f>
        <v>0</v>
      </c>
      <c r="AE7" s="180">
        <f>SUMMARY!$E$24</f>
        <v>0</v>
      </c>
      <c r="AF7" s="180">
        <f>SUMMARY!$E$25</f>
        <v>0</v>
      </c>
      <c r="AG7" s="180">
        <f>SUMMARY!$E$26</f>
        <v>0</v>
      </c>
      <c r="AH7" s="180">
        <f>SUMMARY!$E$27</f>
        <v>0</v>
      </c>
      <c r="AI7" s="180">
        <f>SUMMARY!$E$28</f>
        <v>0</v>
      </c>
      <c r="AJ7" s="180">
        <f>SUMMARY!$E$29</f>
        <v>0</v>
      </c>
      <c r="AK7" s="180">
        <f>SUMMARY!$E$30</f>
        <v>0</v>
      </c>
      <c r="AL7" s="180">
        <f>SUMMARY!$E$31</f>
        <v>0</v>
      </c>
      <c r="AM7" s="180">
        <f>SUMMARY!$E$32</f>
        <v>0</v>
      </c>
      <c r="AN7" s="180">
        <f>SUMMARY!$E$33</f>
        <v>0</v>
      </c>
      <c r="AO7" s="180">
        <f>SUMMARY!$E$34</f>
        <v>0</v>
      </c>
      <c r="AP7" s="180">
        <f>SUMMARY!$E$35</f>
        <v>0</v>
      </c>
      <c r="AQ7" s="90"/>
    </row>
    <row r="8" spans="2:43" x14ac:dyDescent="0.25">
      <c r="B8" s="54">
        <v>0.29166666666424135</v>
      </c>
      <c r="C8" s="54">
        <v>0.645833333372138</v>
      </c>
      <c r="D8" s="60"/>
      <c r="E8" s="91">
        <f>SUMMARY!W6</f>
        <v>0</v>
      </c>
      <c r="F8" s="91">
        <f>SUMMARY!AO6</f>
        <v>0</v>
      </c>
      <c r="G8" s="91">
        <f>SUMMARY!AH6</f>
        <v>0</v>
      </c>
      <c r="H8" s="92">
        <f t="shared" ref="H8:H37" si="2">SUM(E8:G8)</f>
        <v>0</v>
      </c>
      <c r="I8" s="180">
        <f>M$6-M$7</f>
        <v>0</v>
      </c>
      <c r="M8" s="61">
        <f t="shared" ref="M8:V17" si="3">IF(AND(M$2&gt;=$B8,M$2&lt;$C8),$E8,0)</f>
        <v>0</v>
      </c>
      <c r="N8" s="61">
        <f t="shared" si="3"/>
        <v>0</v>
      </c>
      <c r="O8" s="61">
        <f>IF(AND(O$2&gt;=$B8,O$2&lt;$C8),$E8,0)</f>
        <v>0</v>
      </c>
      <c r="P8" s="61">
        <f t="shared" si="3"/>
        <v>0</v>
      </c>
      <c r="Q8" s="61">
        <f t="shared" si="3"/>
        <v>0</v>
      </c>
      <c r="R8" s="61">
        <f t="shared" si="3"/>
        <v>0</v>
      </c>
      <c r="S8" s="61">
        <f t="shared" si="3"/>
        <v>0</v>
      </c>
      <c r="T8" s="61">
        <f t="shared" si="3"/>
        <v>0</v>
      </c>
      <c r="U8" s="93">
        <f t="shared" si="3"/>
        <v>0</v>
      </c>
      <c r="V8" s="93">
        <f t="shared" si="3"/>
        <v>0</v>
      </c>
      <c r="W8" s="93">
        <f t="shared" ref="W8:AC17" si="4">IF(AND(W$2&gt;=$B8,W$2&lt;$C8),$E8,0)</f>
        <v>0</v>
      </c>
      <c r="X8" s="93">
        <f t="shared" si="4"/>
        <v>0</v>
      </c>
      <c r="Y8" s="93">
        <f t="shared" si="4"/>
        <v>0</v>
      </c>
      <c r="Z8" s="93">
        <f t="shared" si="4"/>
        <v>0</v>
      </c>
      <c r="AA8" s="93">
        <f t="shared" si="4"/>
        <v>0</v>
      </c>
      <c r="AB8" s="93">
        <f t="shared" si="4"/>
        <v>0</v>
      </c>
      <c r="AC8" s="93">
        <f t="shared" si="4"/>
        <v>0</v>
      </c>
      <c r="AD8" s="93">
        <f>IF(AND(AD$2&gt;=$B8,AD$2&lt;$C8),#REF!,0)</f>
        <v>0</v>
      </c>
      <c r="AE8" s="93">
        <f>IF(AND(AE$2&gt;=$B8,AE$2&lt;$C8),#REF!,0)</f>
        <v>0</v>
      </c>
      <c r="AF8" s="93">
        <f>IF(AND(AF$2&gt;=$B8,AF$2&lt;$C8),#REF!,0)</f>
        <v>0</v>
      </c>
      <c r="AG8" s="93">
        <f>IF(AND(AG$2&gt;=$B8,AG$2&lt;$C8),#REF!,0)</f>
        <v>0</v>
      </c>
      <c r="AH8" s="93">
        <f>IF(AND(AH$2&gt;=$B8,AH$2&lt;$C8),#REF!,0)</f>
        <v>0</v>
      </c>
      <c r="AI8" s="93">
        <f>IF(AND(AI$2&gt;=$B8,AI$2&lt;$C8),#REF!,0)</f>
        <v>0</v>
      </c>
      <c r="AJ8" s="93">
        <f>IF(AND(AJ$2&gt;=$B8,AJ$2&lt;$C8),#REF!,0)</f>
        <v>0</v>
      </c>
      <c r="AK8" s="93">
        <f>IF(AND(AK$2&gt;=$B8,AK$2&lt;$C8),#REF!,0)</f>
        <v>0</v>
      </c>
      <c r="AL8" s="93">
        <f>IF(AND(AL$2&gt;=$B8,AL$2&lt;$C8),#REF!,0)</f>
        <v>0</v>
      </c>
      <c r="AM8" s="93">
        <f>IF(AND(AM$2&gt;=$B8,AM$2&lt;$C8),#REF!,0)</f>
        <v>0</v>
      </c>
      <c r="AN8" s="93">
        <f>IF(AND(AN$2&gt;=$B8,AN$2&lt;$C8),#REF!,0)</f>
        <v>0</v>
      </c>
      <c r="AO8" s="93">
        <f>IF(AND(AO$2&gt;=$B8,AO$2&lt;$C8),#REF!,0)</f>
        <v>0</v>
      </c>
      <c r="AP8" s="93">
        <f>IF(AND(AP$2&gt;=$B8,AP$2&lt;$C8),#REF!,0)</f>
        <v>0</v>
      </c>
      <c r="AQ8" s="93"/>
    </row>
    <row r="9" spans="2:43" x14ac:dyDescent="0.25">
      <c r="B9" s="54">
        <v>0.3125</v>
      </c>
      <c r="C9" s="54">
        <v>0.66666666670789698</v>
      </c>
      <c r="D9" s="60"/>
      <c r="E9" s="91">
        <f>SUMMARY!W7</f>
        <v>0</v>
      </c>
      <c r="F9" s="91">
        <f>SUMMARY!AO7</f>
        <v>0</v>
      </c>
      <c r="G9" s="91">
        <f>SUMMARY!AH7</f>
        <v>0</v>
      </c>
      <c r="H9" s="92">
        <f t="shared" si="2"/>
        <v>0</v>
      </c>
      <c r="I9" s="180">
        <f>N$6-N$7</f>
        <v>0</v>
      </c>
      <c r="M9" s="61">
        <f t="shared" si="3"/>
        <v>0</v>
      </c>
      <c r="N9" s="61">
        <f t="shared" si="3"/>
        <v>0</v>
      </c>
      <c r="O9" s="61">
        <f t="shared" si="3"/>
        <v>0</v>
      </c>
      <c r="P9" s="61">
        <f t="shared" si="3"/>
        <v>0</v>
      </c>
      <c r="Q9" s="61">
        <f t="shared" si="3"/>
        <v>0</v>
      </c>
      <c r="R9" s="61">
        <f t="shared" si="3"/>
        <v>0</v>
      </c>
      <c r="S9" s="61">
        <f t="shared" si="3"/>
        <v>0</v>
      </c>
      <c r="T9" s="61">
        <f t="shared" si="3"/>
        <v>0</v>
      </c>
      <c r="U9" s="61">
        <f t="shared" si="3"/>
        <v>0</v>
      </c>
      <c r="V9" s="61">
        <f t="shared" si="3"/>
        <v>0</v>
      </c>
      <c r="W9" s="61">
        <f t="shared" si="4"/>
        <v>0</v>
      </c>
      <c r="X9" s="61">
        <f t="shared" si="4"/>
        <v>0</v>
      </c>
      <c r="Y9" s="61">
        <f t="shared" si="4"/>
        <v>0</v>
      </c>
      <c r="Z9" s="61">
        <f t="shared" si="4"/>
        <v>0</v>
      </c>
      <c r="AA9" s="61">
        <f t="shared" si="4"/>
        <v>0</v>
      </c>
      <c r="AB9" s="61">
        <f t="shared" si="4"/>
        <v>0</v>
      </c>
      <c r="AC9" s="61">
        <f t="shared" si="4"/>
        <v>0</v>
      </c>
      <c r="AD9" s="61">
        <f t="shared" ref="AD9:AP9" si="5">IF(AND(AD$2&gt;=$B9,AD$2&lt;$C9),$E9,0)</f>
        <v>0</v>
      </c>
      <c r="AE9" s="61">
        <f t="shared" si="5"/>
        <v>0</v>
      </c>
      <c r="AF9" s="61">
        <f t="shared" si="5"/>
        <v>0</v>
      </c>
      <c r="AG9" s="61">
        <f t="shared" si="5"/>
        <v>0</v>
      </c>
      <c r="AH9" s="61">
        <f t="shared" si="5"/>
        <v>0</v>
      </c>
      <c r="AI9" s="61">
        <f t="shared" si="5"/>
        <v>0</v>
      </c>
      <c r="AJ9" s="61">
        <f t="shared" si="5"/>
        <v>0</v>
      </c>
      <c r="AK9" s="61">
        <f t="shared" si="5"/>
        <v>0</v>
      </c>
      <c r="AL9" s="61">
        <f t="shared" si="5"/>
        <v>0</v>
      </c>
      <c r="AM9" s="61">
        <f t="shared" si="5"/>
        <v>0</v>
      </c>
      <c r="AN9" s="61">
        <f t="shared" si="5"/>
        <v>0</v>
      </c>
      <c r="AO9" s="61">
        <f t="shared" si="5"/>
        <v>0</v>
      </c>
      <c r="AP9" s="61">
        <f t="shared" si="5"/>
        <v>0</v>
      </c>
      <c r="AQ9" s="61"/>
    </row>
    <row r="10" spans="2:43" x14ac:dyDescent="0.25">
      <c r="B10" s="54">
        <v>0.33333333333575865</v>
      </c>
      <c r="C10" s="54">
        <v>0.68750000004365597</v>
      </c>
      <c r="D10" s="60"/>
      <c r="E10" s="91">
        <f>SUMMARY!W8</f>
        <v>0</v>
      </c>
      <c r="F10" s="91">
        <f>SUMMARY!AO8</f>
        <v>0</v>
      </c>
      <c r="G10" s="91">
        <f>SUMMARY!AH8</f>
        <v>0</v>
      </c>
      <c r="H10" s="92">
        <f t="shared" si="2"/>
        <v>0</v>
      </c>
      <c r="I10" s="180">
        <f>O$6-O$7</f>
        <v>0</v>
      </c>
      <c r="M10" s="61">
        <f t="shared" si="3"/>
        <v>0</v>
      </c>
      <c r="N10" s="61">
        <f t="shared" si="3"/>
        <v>0</v>
      </c>
      <c r="O10" s="61">
        <f t="shared" si="3"/>
        <v>0</v>
      </c>
      <c r="P10" s="61">
        <f t="shared" si="3"/>
        <v>0</v>
      </c>
      <c r="Q10" s="61">
        <f t="shared" si="3"/>
        <v>0</v>
      </c>
      <c r="R10" s="61">
        <f t="shared" si="3"/>
        <v>0</v>
      </c>
      <c r="S10" s="61">
        <f t="shared" si="3"/>
        <v>0</v>
      </c>
      <c r="T10" s="61">
        <f t="shared" si="3"/>
        <v>0</v>
      </c>
      <c r="U10" s="61">
        <f t="shared" si="3"/>
        <v>0</v>
      </c>
      <c r="V10" s="61">
        <f t="shared" si="3"/>
        <v>0</v>
      </c>
      <c r="W10" s="61">
        <f t="shared" si="4"/>
        <v>0</v>
      </c>
      <c r="X10" s="61">
        <f t="shared" si="4"/>
        <v>0</v>
      </c>
      <c r="Y10" s="61">
        <f t="shared" si="4"/>
        <v>0</v>
      </c>
      <c r="Z10" s="61">
        <f t="shared" si="4"/>
        <v>0</v>
      </c>
      <c r="AA10" s="61">
        <f t="shared" si="4"/>
        <v>0</v>
      </c>
      <c r="AB10" s="61">
        <f t="shared" si="4"/>
        <v>0</v>
      </c>
      <c r="AC10" s="61">
        <f t="shared" si="4"/>
        <v>0</v>
      </c>
      <c r="AD10" s="61">
        <f t="shared" ref="AD10:AE37" si="6">IF(AND(AD$2&gt;=$B10,AD$2&lt;$C10),$E10,0)</f>
        <v>0</v>
      </c>
      <c r="AE10" s="61">
        <f t="shared" si="6"/>
        <v>0</v>
      </c>
      <c r="AF10" s="61"/>
      <c r="AG10" s="61">
        <f t="shared" ref="AG10:AP10" si="7">IF(AND(AG$2&gt;=$B10,AG$2&lt;$C10),$E10,0)</f>
        <v>0</v>
      </c>
      <c r="AH10" s="61">
        <f t="shared" si="7"/>
        <v>0</v>
      </c>
      <c r="AI10" s="61">
        <f t="shared" si="7"/>
        <v>0</v>
      </c>
      <c r="AJ10" s="61">
        <f t="shared" si="7"/>
        <v>0</v>
      </c>
      <c r="AK10" s="61">
        <f t="shared" si="7"/>
        <v>0</v>
      </c>
      <c r="AL10" s="61">
        <f t="shared" si="7"/>
        <v>0</v>
      </c>
      <c r="AM10" s="61">
        <f t="shared" si="7"/>
        <v>0</v>
      </c>
      <c r="AN10" s="61">
        <f t="shared" si="7"/>
        <v>0</v>
      </c>
      <c r="AO10" s="61">
        <f t="shared" si="7"/>
        <v>0</v>
      </c>
      <c r="AP10" s="61">
        <f t="shared" si="7"/>
        <v>0</v>
      </c>
      <c r="AQ10" s="61"/>
    </row>
    <row r="11" spans="2:43" x14ac:dyDescent="0.25">
      <c r="B11" s="54">
        <v>0.35416666666424135</v>
      </c>
      <c r="C11" s="54">
        <v>0.70833333337941495</v>
      </c>
      <c r="D11" s="60"/>
      <c r="E11" s="91">
        <f>SUMMARY!W9</f>
        <v>0</v>
      </c>
      <c r="F11" s="91">
        <f>SUMMARY!AO9</f>
        <v>0</v>
      </c>
      <c r="G11" s="91">
        <f>SUMMARY!AH9</f>
        <v>0</v>
      </c>
      <c r="H11" s="92">
        <f t="shared" si="2"/>
        <v>0</v>
      </c>
      <c r="I11" s="180">
        <f>P$6-P$7</f>
        <v>0</v>
      </c>
      <c r="M11" s="61">
        <f t="shared" si="3"/>
        <v>0</v>
      </c>
      <c r="N11" s="61">
        <f t="shared" si="3"/>
        <v>0</v>
      </c>
      <c r="O11" s="61">
        <f t="shared" si="3"/>
        <v>0</v>
      </c>
      <c r="P11" s="61">
        <f t="shared" si="3"/>
        <v>0</v>
      </c>
      <c r="Q11" s="61">
        <f t="shared" si="3"/>
        <v>0</v>
      </c>
      <c r="R11" s="61">
        <f t="shared" si="3"/>
        <v>0</v>
      </c>
      <c r="S11" s="61">
        <f t="shared" si="3"/>
        <v>0</v>
      </c>
      <c r="T11" s="61">
        <f t="shared" si="3"/>
        <v>0</v>
      </c>
      <c r="U11" s="61">
        <f t="shared" si="3"/>
        <v>0</v>
      </c>
      <c r="V11" s="61">
        <f t="shared" si="3"/>
        <v>0</v>
      </c>
      <c r="W11" s="61">
        <f t="shared" si="4"/>
        <v>0</v>
      </c>
      <c r="X11" s="61">
        <f t="shared" si="4"/>
        <v>0</v>
      </c>
      <c r="Y11" s="61">
        <f t="shared" si="4"/>
        <v>0</v>
      </c>
      <c r="Z11" s="61">
        <f t="shared" si="4"/>
        <v>0</v>
      </c>
      <c r="AA11" s="61">
        <f t="shared" si="4"/>
        <v>0</v>
      </c>
      <c r="AB11" s="61">
        <f t="shared" si="4"/>
        <v>0</v>
      </c>
      <c r="AC11" s="61">
        <f t="shared" si="4"/>
        <v>0</v>
      </c>
      <c r="AD11" s="61">
        <f t="shared" si="6"/>
        <v>0</v>
      </c>
      <c r="AE11" s="61">
        <f t="shared" si="6"/>
        <v>0</v>
      </c>
      <c r="AF11" s="61">
        <f t="shared" ref="AF11:AF37" si="8">IF(AND(AF$2&gt;=$B11,AF$2&lt;$C11),$E11,0)</f>
        <v>0</v>
      </c>
      <c r="AG11" s="61"/>
      <c r="AH11" s="61">
        <f t="shared" ref="AH11:AP11" si="9">IF(AND(AH$2&gt;=$B11,AH$2&lt;$C11),$E11,0)</f>
        <v>0</v>
      </c>
      <c r="AI11" s="61">
        <f t="shared" si="9"/>
        <v>0</v>
      </c>
      <c r="AJ11" s="61">
        <f t="shared" si="9"/>
        <v>0</v>
      </c>
      <c r="AK11" s="61">
        <f t="shared" si="9"/>
        <v>0</v>
      </c>
      <c r="AL11" s="61">
        <f t="shared" si="9"/>
        <v>0</v>
      </c>
      <c r="AM11" s="61">
        <f t="shared" si="9"/>
        <v>0</v>
      </c>
      <c r="AN11" s="61">
        <f t="shared" si="9"/>
        <v>0</v>
      </c>
      <c r="AO11" s="61">
        <f t="shared" si="9"/>
        <v>0</v>
      </c>
      <c r="AP11" s="61">
        <f t="shared" si="9"/>
        <v>0</v>
      </c>
      <c r="AQ11" s="61"/>
    </row>
    <row r="12" spans="2:43" x14ac:dyDescent="0.25">
      <c r="B12" s="54">
        <v>0.375</v>
      </c>
      <c r="C12" s="54">
        <v>0.72916666671517405</v>
      </c>
      <c r="D12" s="60"/>
      <c r="E12" s="91">
        <f>SUMMARY!W10</f>
        <v>0</v>
      </c>
      <c r="F12" s="91">
        <f>SUMMARY!AO10</f>
        <v>0</v>
      </c>
      <c r="G12" s="91">
        <f>SUMMARY!AH10</f>
        <v>0</v>
      </c>
      <c r="H12" s="92">
        <f>SUM(E12:G12)</f>
        <v>0</v>
      </c>
      <c r="I12" s="180">
        <f>Q$6-Q$7</f>
        <v>0</v>
      </c>
      <c r="M12" s="61">
        <f t="shared" si="3"/>
        <v>0</v>
      </c>
      <c r="N12" s="61">
        <f t="shared" si="3"/>
        <v>0</v>
      </c>
      <c r="O12" s="61">
        <f t="shared" si="3"/>
        <v>0</v>
      </c>
      <c r="P12" s="61">
        <f t="shared" si="3"/>
        <v>0</v>
      </c>
      <c r="Q12" s="61">
        <f t="shared" si="3"/>
        <v>0</v>
      </c>
      <c r="R12" s="61">
        <f t="shared" si="3"/>
        <v>0</v>
      </c>
      <c r="S12" s="61">
        <f t="shared" si="3"/>
        <v>0</v>
      </c>
      <c r="T12" s="61">
        <f t="shared" si="3"/>
        <v>0</v>
      </c>
      <c r="U12" s="61">
        <f t="shared" si="3"/>
        <v>0</v>
      </c>
      <c r="V12" s="61">
        <f t="shared" si="3"/>
        <v>0</v>
      </c>
      <c r="W12" s="61">
        <f t="shared" si="4"/>
        <v>0</v>
      </c>
      <c r="X12" s="61">
        <f t="shared" si="4"/>
        <v>0</v>
      </c>
      <c r="Y12" s="61">
        <f t="shared" si="4"/>
        <v>0</v>
      </c>
      <c r="Z12" s="61">
        <f t="shared" si="4"/>
        <v>0</v>
      </c>
      <c r="AA12" s="61">
        <f t="shared" si="4"/>
        <v>0</v>
      </c>
      <c r="AB12" s="61">
        <f t="shared" si="4"/>
        <v>0</v>
      </c>
      <c r="AC12" s="61">
        <f t="shared" si="4"/>
        <v>0</v>
      </c>
      <c r="AD12" s="61">
        <f t="shared" si="6"/>
        <v>0</v>
      </c>
      <c r="AE12" s="61">
        <f t="shared" si="6"/>
        <v>0</v>
      </c>
      <c r="AF12" s="61">
        <f t="shared" si="8"/>
        <v>0</v>
      </c>
      <c r="AG12" s="61">
        <f t="shared" ref="AG12:AG37" si="10">IF(AND(AG$2&gt;=$B12,AG$2&lt;$C12),$E12,0)</f>
        <v>0</v>
      </c>
      <c r="AH12" s="61"/>
      <c r="AI12" s="61">
        <f t="shared" ref="AI12:AP12" si="11">IF(AND(AI$2&gt;=$B12,AI$2&lt;$C12),$E12,0)</f>
        <v>0</v>
      </c>
      <c r="AJ12" s="61">
        <f t="shared" si="11"/>
        <v>0</v>
      </c>
      <c r="AK12" s="61">
        <f t="shared" si="11"/>
        <v>0</v>
      </c>
      <c r="AL12" s="61">
        <f t="shared" si="11"/>
        <v>0</v>
      </c>
      <c r="AM12" s="61">
        <f t="shared" si="11"/>
        <v>0</v>
      </c>
      <c r="AN12" s="61">
        <f t="shared" si="11"/>
        <v>0</v>
      </c>
      <c r="AO12" s="61">
        <f t="shared" si="11"/>
        <v>0</v>
      </c>
      <c r="AP12" s="61">
        <f t="shared" si="11"/>
        <v>0</v>
      </c>
      <c r="AQ12" s="61"/>
    </row>
    <row r="13" spans="2:43" x14ac:dyDescent="0.25">
      <c r="B13" s="54">
        <v>0.39583333333575865</v>
      </c>
      <c r="C13" s="54">
        <v>0.75000000005093304</v>
      </c>
      <c r="D13" s="60"/>
      <c r="E13" s="91">
        <f>SUMMARY!W11</f>
        <v>0</v>
      </c>
      <c r="F13" s="91">
        <f>SUMMARY!AO11</f>
        <v>0</v>
      </c>
      <c r="G13" s="91">
        <f>SUMMARY!AH11</f>
        <v>0</v>
      </c>
      <c r="H13" s="92">
        <f t="shared" si="2"/>
        <v>0</v>
      </c>
      <c r="I13" s="180">
        <f>R$6-R$7</f>
        <v>0</v>
      </c>
      <c r="M13" s="61">
        <f t="shared" si="3"/>
        <v>0</v>
      </c>
      <c r="N13" s="61">
        <f t="shared" si="3"/>
        <v>0</v>
      </c>
      <c r="O13" s="61">
        <f t="shared" si="3"/>
        <v>0</v>
      </c>
      <c r="P13" s="61">
        <f t="shared" si="3"/>
        <v>0</v>
      </c>
      <c r="Q13" s="61">
        <f t="shared" si="3"/>
        <v>0</v>
      </c>
      <c r="R13" s="61">
        <f t="shared" si="3"/>
        <v>0</v>
      </c>
      <c r="S13" s="61">
        <f t="shared" si="3"/>
        <v>0</v>
      </c>
      <c r="T13" s="61">
        <f t="shared" si="3"/>
        <v>0</v>
      </c>
      <c r="U13" s="61">
        <f t="shared" si="3"/>
        <v>0</v>
      </c>
      <c r="V13" s="61">
        <f t="shared" si="3"/>
        <v>0</v>
      </c>
      <c r="W13" s="61">
        <f t="shared" si="4"/>
        <v>0</v>
      </c>
      <c r="X13" s="61">
        <f t="shared" si="4"/>
        <v>0</v>
      </c>
      <c r="Y13" s="61">
        <f t="shared" si="4"/>
        <v>0</v>
      </c>
      <c r="Z13" s="61">
        <f t="shared" si="4"/>
        <v>0</v>
      </c>
      <c r="AA13" s="61">
        <f t="shared" si="4"/>
        <v>0</v>
      </c>
      <c r="AB13" s="61">
        <f t="shared" si="4"/>
        <v>0</v>
      </c>
      <c r="AC13" s="61">
        <f t="shared" si="4"/>
        <v>0</v>
      </c>
      <c r="AD13" s="61">
        <f t="shared" si="6"/>
        <v>0</v>
      </c>
      <c r="AE13" s="61">
        <f t="shared" si="6"/>
        <v>0</v>
      </c>
      <c r="AF13" s="61">
        <f t="shared" si="8"/>
        <v>0</v>
      </c>
      <c r="AG13" s="61">
        <f t="shared" si="10"/>
        <v>0</v>
      </c>
      <c r="AH13" s="61">
        <f t="shared" ref="AH13:AH37" si="12">IF(AND(AH$2&gt;=$B13,AH$2&lt;$C13),$E13,0)</f>
        <v>0</v>
      </c>
      <c r="AI13" s="61"/>
      <c r="AJ13" s="61">
        <f t="shared" ref="AJ13:AP13" si="13">IF(AND(AJ$2&gt;=$B13,AJ$2&lt;$C13),$E13,0)</f>
        <v>0</v>
      </c>
      <c r="AK13" s="61">
        <f t="shared" si="13"/>
        <v>0</v>
      </c>
      <c r="AL13" s="61">
        <f t="shared" si="13"/>
        <v>0</v>
      </c>
      <c r="AM13" s="61">
        <f t="shared" si="13"/>
        <v>0</v>
      </c>
      <c r="AN13" s="61">
        <f t="shared" si="13"/>
        <v>0</v>
      </c>
      <c r="AO13" s="61">
        <f t="shared" si="13"/>
        <v>0</v>
      </c>
      <c r="AP13" s="61">
        <f t="shared" si="13"/>
        <v>0</v>
      </c>
      <c r="AQ13" s="61"/>
    </row>
    <row r="14" spans="2:43" x14ac:dyDescent="0.25">
      <c r="B14" s="54">
        <v>0.41666666666424135</v>
      </c>
      <c r="C14" s="54">
        <v>0.77083333338669202</v>
      </c>
      <c r="D14" s="60"/>
      <c r="E14" s="91">
        <f>SUMMARY!W12</f>
        <v>0</v>
      </c>
      <c r="F14" s="91">
        <f>SUMMARY!AO12</f>
        <v>0</v>
      </c>
      <c r="G14" s="91">
        <f>SUMMARY!AH12</f>
        <v>0</v>
      </c>
      <c r="H14" s="92">
        <f t="shared" si="2"/>
        <v>0</v>
      </c>
      <c r="I14" s="180">
        <f>S$6-S$7</f>
        <v>0</v>
      </c>
      <c r="M14" s="61">
        <f t="shared" si="3"/>
        <v>0</v>
      </c>
      <c r="N14" s="61">
        <f t="shared" si="3"/>
        <v>0</v>
      </c>
      <c r="O14" s="61">
        <f t="shared" si="3"/>
        <v>0</v>
      </c>
      <c r="P14" s="61">
        <f t="shared" si="3"/>
        <v>0</v>
      </c>
      <c r="Q14" s="61">
        <f t="shared" si="3"/>
        <v>0</v>
      </c>
      <c r="R14" s="61">
        <f t="shared" si="3"/>
        <v>0</v>
      </c>
      <c r="S14" s="61">
        <f t="shared" si="3"/>
        <v>0</v>
      </c>
      <c r="T14" s="61">
        <f t="shared" si="3"/>
        <v>0</v>
      </c>
      <c r="U14" s="61">
        <f t="shared" si="3"/>
        <v>0</v>
      </c>
      <c r="V14" s="61">
        <f t="shared" si="3"/>
        <v>0</v>
      </c>
      <c r="W14" s="61">
        <f t="shared" si="4"/>
        <v>0</v>
      </c>
      <c r="X14" s="61">
        <f t="shared" si="4"/>
        <v>0</v>
      </c>
      <c r="Y14" s="61">
        <f t="shared" si="4"/>
        <v>0</v>
      </c>
      <c r="Z14" s="61">
        <f t="shared" si="4"/>
        <v>0</v>
      </c>
      <c r="AA14" s="61">
        <f t="shared" si="4"/>
        <v>0</v>
      </c>
      <c r="AB14" s="61">
        <f t="shared" si="4"/>
        <v>0</v>
      </c>
      <c r="AC14" s="61">
        <f t="shared" si="4"/>
        <v>0</v>
      </c>
      <c r="AD14" s="61">
        <f t="shared" si="6"/>
        <v>0</v>
      </c>
      <c r="AE14" s="61">
        <f t="shared" si="6"/>
        <v>0</v>
      </c>
      <c r="AF14" s="61">
        <f t="shared" si="8"/>
        <v>0</v>
      </c>
      <c r="AG14" s="61">
        <f t="shared" si="10"/>
        <v>0</v>
      </c>
      <c r="AH14" s="61">
        <f t="shared" si="12"/>
        <v>0</v>
      </c>
      <c r="AI14" s="61">
        <f t="shared" ref="AI14:AI37" si="14">IF(AND(AI$2&gt;=$B14,AI$2&lt;$C14),$E14,0)</f>
        <v>0</v>
      </c>
      <c r="AJ14" s="61"/>
      <c r="AK14" s="61">
        <f t="shared" ref="AK14:AP14" si="15">IF(AND(AK$2&gt;=$B14,AK$2&lt;$C14),$E14,0)</f>
        <v>0</v>
      </c>
      <c r="AL14" s="61">
        <f t="shared" si="15"/>
        <v>0</v>
      </c>
      <c r="AM14" s="61">
        <f t="shared" si="15"/>
        <v>0</v>
      </c>
      <c r="AN14" s="61">
        <f t="shared" si="15"/>
        <v>0</v>
      </c>
      <c r="AO14" s="61">
        <f t="shared" si="15"/>
        <v>0</v>
      </c>
      <c r="AP14" s="61">
        <f t="shared" si="15"/>
        <v>0</v>
      </c>
      <c r="AQ14" s="61"/>
    </row>
    <row r="15" spans="2:43" x14ac:dyDescent="0.25">
      <c r="B15" s="54">
        <v>0.4375</v>
      </c>
      <c r="C15" s="54">
        <v>0.79166666672245101</v>
      </c>
      <c r="D15" s="60"/>
      <c r="E15" s="91">
        <f>SUMMARY!W13</f>
        <v>0</v>
      </c>
      <c r="F15" s="91">
        <f>SUMMARY!AO13</f>
        <v>0</v>
      </c>
      <c r="G15" s="91">
        <f>SUMMARY!AH13</f>
        <v>0</v>
      </c>
      <c r="H15" s="92">
        <f t="shared" si="2"/>
        <v>0</v>
      </c>
      <c r="I15" s="180">
        <f>T$6-T$7</f>
        <v>0</v>
      </c>
      <c r="M15" s="61">
        <f t="shared" si="3"/>
        <v>0</v>
      </c>
      <c r="N15" s="61">
        <f t="shared" si="3"/>
        <v>0</v>
      </c>
      <c r="O15" s="61">
        <f t="shared" si="3"/>
        <v>0</v>
      </c>
      <c r="P15" s="61">
        <f t="shared" si="3"/>
        <v>0</v>
      </c>
      <c r="Q15" s="61">
        <f t="shared" si="3"/>
        <v>0</v>
      </c>
      <c r="R15" s="61">
        <f t="shared" si="3"/>
        <v>0</v>
      </c>
      <c r="S15" s="61">
        <f t="shared" si="3"/>
        <v>0</v>
      </c>
      <c r="T15" s="61">
        <f t="shared" si="3"/>
        <v>0</v>
      </c>
      <c r="U15" s="61">
        <f t="shared" si="3"/>
        <v>0</v>
      </c>
      <c r="V15" s="61">
        <f t="shared" si="3"/>
        <v>0</v>
      </c>
      <c r="W15" s="61">
        <f t="shared" si="4"/>
        <v>0</v>
      </c>
      <c r="X15" s="61">
        <f t="shared" si="4"/>
        <v>0</v>
      </c>
      <c r="Y15" s="61">
        <f t="shared" si="4"/>
        <v>0</v>
      </c>
      <c r="Z15" s="61">
        <f t="shared" si="4"/>
        <v>0</v>
      </c>
      <c r="AA15" s="61">
        <f t="shared" si="4"/>
        <v>0</v>
      </c>
      <c r="AB15" s="61">
        <f t="shared" si="4"/>
        <v>0</v>
      </c>
      <c r="AC15" s="61">
        <f t="shared" si="4"/>
        <v>0</v>
      </c>
      <c r="AD15" s="61">
        <f t="shared" si="6"/>
        <v>0</v>
      </c>
      <c r="AE15" s="61">
        <f t="shared" si="6"/>
        <v>0</v>
      </c>
      <c r="AF15" s="61">
        <f t="shared" si="8"/>
        <v>0</v>
      </c>
      <c r="AG15" s="61">
        <f t="shared" si="10"/>
        <v>0</v>
      </c>
      <c r="AH15" s="61">
        <f t="shared" si="12"/>
        <v>0</v>
      </c>
      <c r="AI15" s="61">
        <f t="shared" si="14"/>
        <v>0</v>
      </c>
      <c r="AJ15" s="61">
        <f t="shared" ref="AJ15:AJ37" si="16">IF(AND(AJ$2&gt;=$B15,AJ$2&lt;$C15),$E15,0)</f>
        <v>0</v>
      </c>
      <c r="AK15" s="61"/>
      <c r="AL15" s="61">
        <f>IF(AND(AL$2&gt;=$B15,AL$2&lt;$C15),$E15,0)</f>
        <v>0</v>
      </c>
      <c r="AM15" s="61">
        <f>IF(AND(AM$2&gt;=$B15,AM$2&lt;$C15),$E15,0)</f>
        <v>0</v>
      </c>
      <c r="AN15" s="61">
        <f>IF(AND(AN$2&gt;=$B15,AN$2&lt;$C15),$E15,0)</f>
        <v>0</v>
      </c>
      <c r="AO15" s="61">
        <f>IF(AND(AO$2&gt;=$B15,AO$2&lt;$C15),$E15,0)</f>
        <v>0</v>
      </c>
      <c r="AP15" s="61">
        <f>IF(AND(AP$2&gt;=$B15,AP$2&lt;$C15),$E15,0)</f>
        <v>0</v>
      </c>
      <c r="AQ15" s="61"/>
    </row>
    <row r="16" spans="2:43" x14ac:dyDescent="0.25">
      <c r="B16" s="54">
        <v>0.45833333333575865</v>
      </c>
      <c r="C16" s="54">
        <v>0.81250000005820999</v>
      </c>
      <c r="D16" s="60"/>
      <c r="E16" s="91">
        <f>SUMMARY!W14</f>
        <v>0</v>
      </c>
      <c r="F16" s="91">
        <f>SUMMARY!AO14</f>
        <v>0</v>
      </c>
      <c r="G16" s="91">
        <f>SUMMARY!AH14</f>
        <v>0</v>
      </c>
      <c r="H16" s="92">
        <f t="shared" si="2"/>
        <v>0</v>
      </c>
      <c r="I16" s="180">
        <f>U$6-U$7</f>
        <v>0</v>
      </c>
      <c r="M16" s="61">
        <f t="shared" si="3"/>
        <v>0</v>
      </c>
      <c r="N16" s="61">
        <f t="shared" si="3"/>
        <v>0</v>
      </c>
      <c r="O16" s="61">
        <f t="shared" si="3"/>
        <v>0</v>
      </c>
      <c r="P16" s="61">
        <f t="shared" si="3"/>
        <v>0</v>
      </c>
      <c r="Q16" s="61">
        <f t="shared" si="3"/>
        <v>0</v>
      </c>
      <c r="R16" s="61">
        <f t="shared" si="3"/>
        <v>0</v>
      </c>
      <c r="S16" s="61">
        <f t="shared" si="3"/>
        <v>0</v>
      </c>
      <c r="T16" s="61">
        <f t="shared" si="3"/>
        <v>0</v>
      </c>
      <c r="U16" s="61">
        <f t="shared" si="3"/>
        <v>0</v>
      </c>
      <c r="V16" s="61">
        <f t="shared" si="3"/>
        <v>0</v>
      </c>
      <c r="W16" s="61">
        <f t="shared" si="4"/>
        <v>0</v>
      </c>
      <c r="X16" s="61">
        <f t="shared" si="4"/>
        <v>0</v>
      </c>
      <c r="Y16" s="61">
        <f t="shared" si="4"/>
        <v>0</v>
      </c>
      <c r="Z16" s="61">
        <f t="shared" si="4"/>
        <v>0</v>
      </c>
      <c r="AA16" s="61">
        <f t="shared" si="4"/>
        <v>0</v>
      </c>
      <c r="AB16" s="61">
        <f t="shared" si="4"/>
        <v>0</v>
      </c>
      <c r="AC16" s="61">
        <f t="shared" si="4"/>
        <v>0</v>
      </c>
      <c r="AD16" s="61">
        <f t="shared" si="6"/>
        <v>0</v>
      </c>
      <c r="AE16" s="61">
        <f t="shared" si="6"/>
        <v>0</v>
      </c>
      <c r="AF16" s="61">
        <f t="shared" si="8"/>
        <v>0</v>
      </c>
      <c r="AG16" s="61">
        <f t="shared" si="10"/>
        <v>0</v>
      </c>
      <c r="AH16" s="61">
        <f t="shared" si="12"/>
        <v>0</v>
      </c>
      <c r="AI16" s="61">
        <f t="shared" si="14"/>
        <v>0</v>
      </c>
      <c r="AJ16" s="61">
        <f t="shared" si="16"/>
        <v>0</v>
      </c>
      <c r="AK16" s="61">
        <f t="shared" ref="AK16:AK37" si="17">IF(AND(AK$2&gt;=$B16,AK$2&lt;$C16),$E16,0)</f>
        <v>0</v>
      </c>
      <c r="AL16" s="61"/>
      <c r="AM16" s="61">
        <f>IF(AND(AM$2&gt;=$B16,AM$2&lt;$C16),$E16,0)</f>
        <v>0</v>
      </c>
      <c r="AN16" s="61">
        <f>IF(AND(AN$2&gt;=$B16,AN$2&lt;$C16),$E16,0)</f>
        <v>0</v>
      </c>
      <c r="AO16" s="61">
        <f>IF(AND(AO$2&gt;=$B16,AO$2&lt;$C16),$E16,0)</f>
        <v>0</v>
      </c>
      <c r="AP16" s="61">
        <f>IF(AND(AP$2&gt;=$B16,AP$2&lt;$C16),$E16,0)</f>
        <v>0</v>
      </c>
      <c r="AQ16" s="61"/>
    </row>
    <row r="17" spans="2:43" x14ac:dyDescent="0.25">
      <c r="B17" s="54">
        <v>0.47916666666424135</v>
      </c>
      <c r="C17" s="54">
        <v>0.83333333339396898</v>
      </c>
      <c r="D17" s="60"/>
      <c r="E17" s="91">
        <f>SUMMARY!W15</f>
        <v>0</v>
      </c>
      <c r="G17" s="91">
        <f>SUMMARY!AH15</f>
        <v>0</v>
      </c>
      <c r="H17" s="92">
        <f t="shared" si="2"/>
        <v>0</v>
      </c>
      <c r="I17" s="180">
        <f>V$6-V$7</f>
        <v>0</v>
      </c>
      <c r="M17" s="61">
        <f t="shared" si="3"/>
        <v>0</v>
      </c>
      <c r="N17" s="61">
        <f t="shared" si="3"/>
        <v>0</v>
      </c>
      <c r="O17" s="61">
        <f t="shared" si="3"/>
        <v>0</v>
      </c>
      <c r="P17" s="61">
        <f t="shared" si="3"/>
        <v>0</v>
      </c>
      <c r="Q17" s="61">
        <f t="shared" si="3"/>
        <v>0</v>
      </c>
      <c r="R17" s="61">
        <f t="shared" si="3"/>
        <v>0</v>
      </c>
      <c r="S17" s="61">
        <f t="shared" si="3"/>
        <v>0</v>
      </c>
      <c r="T17" s="61">
        <f t="shared" si="3"/>
        <v>0</v>
      </c>
      <c r="U17" s="61">
        <f t="shared" si="3"/>
        <v>0</v>
      </c>
      <c r="V17" s="61">
        <f t="shared" si="3"/>
        <v>0</v>
      </c>
      <c r="W17" s="61">
        <f t="shared" si="4"/>
        <v>0</v>
      </c>
      <c r="X17" s="61">
        <f t="shared" si="4"/>
        <v>0</v>
      </c>
      <c r="Y17" s="61">
        <f t="shared" si="4"/>
        <v>0</v>
      </c>
      <c r="Z17" s="61">
        <f t="shared" si="4"/>
        <v>0</v>
      </c>
      <c r="AA17" s="61">
        <f t="shared" si="4"/>
        <v>0</v>
      </c>
      <c r="AB17" s="61">
        <f t="shared" si="4"/>
        <v>0</v>
      </c>
      <c r="AC17" s="61">
        <f t="shared" si="4"/>
        <v>0</v>
      </c>
      <c r="AD17" s="61">
        <f t="shared" si="6"/>
        <v>0</v>
      </c>
      <c r="AE17" s="61">
        <f t="shared" si="6"/>
        <v>0</v>
      </c>
      <c r="AF17" s="61">
        <f t="shared" si="8"/>
        <v>0</v>
      </c>
      <c r="AG17" s="61">
        <f t="shared" si="10"/>
        <v>0</v>
      </c>
      <c r="AH17" s="61">
        <f t="shared" si="12"/>
        <v>0</v>
      </c>
      <c r="AI17" s="61">
        <f t="shared" si="14"/>
        <v>0</v>
      </c>
      <c r="AJ17" s="61">
        <f t="shared" si="16"/>
        <v>0</v>
      </c>
      <c r="AK17" s="61">
        <f t="shared" si="17"/>
        <v>0</v>
      </c>
      <c r="AL17" s="61">
        <f t="shared" ref="AL17:AL37" si="18">IF(AND(AL$2&gt;=$B17,AL$2&lt;$C17),$E17,0)</f>
        <v>0</v>
      </c>
      <c r="AM17" s="61"/>
      <c r="AN17" s="61">
        <f>IF(AND(AN$2&gt;=$B17,AN$2&lt;$C17),$E17,0)</f>
        <v>0</v>
      </c>
      <c r="AO17" s="61">
        <f>IF(AND(AO$2&gt;=$B17,AO$2&lt;$C17),$E17,0)</f>
        <v>0</v>
      </c>
      <c r="AP17" s="61">
        <f>IF(AND(AP$2&gt;=$B17,AP$2&lt;$C17),$E17,0)</f>
        <v>0</v>
      </c>
      <c r="AQ17" s="61"/>
    </row>
    <row r="18" spans="2:43" x14ac:dyDescent="0.25">
      <c r="B18" s="54">
        <v>0.5</v>
      </c>
      <c r="C18" s="54">
        <v>0.85416666672972796</v>
      </c>
      <c r="D18" s="60"/>
      <c r="E18" s="91">
        <f>SUMMARY!W16</f>
        <v>0</v>
      </c>
      <c r="G18" s="91">
        <f>SUMMARY!AH16</f>
        <v>0</v>
      </c>
      <c r="H18" s="92">
        <f t="shared" si="2"/>
        <v>0</v>
      </c>
      <c r="I18" s="180">
        <f>W$6-W$7</f>
        <v>0</v>
      </c>
      <c r="M18" s="61">
        <f t="shared" ref="M18:V27" si="19">IF(AND(M$2&gt;=$B18,M$2&lt;$C18),$E18,0)</f>
        <v>0</v>
      </c>
      <c r="N18" s="61">
        <f t="shared" si="19"/>
        <v>0</v>
      </c>
      <c r="O18" s="61">
        <f t="shared" si="19"/>
        <v>0</v>
      </c>
      <c r="P18" s="61">
        <f t="shared" si="19"/>
        <v>0</v>
      </c>
      <c r="Q18" s="61">
        <f t="shared" si="19"/>
        <v>0</v>
      </c>
      <c r="R18" s="61">
        <f t="shared" si="19"/>
        <v>0</v>
      </c>
      <c r="S18" s="61">
        <f t="shared" si="19"/>
        <v>0</v>
      </c>
      <c r="T18" s="61">
        <f t="shared" si="19"/>
        <v>0</v>
      </c>
      <c r="U18" s="61">
        <f t="shared" si="19"/>
        <v>0</v>
      </c>
      <c r="V18" s="61">
        <f t="shared" si="19"/>
        <v>0</v>
      </c>
      <c r="W18" s="61">
        <f t="shared" ref="W18:AC27" si="20">IF(AND(W$2&gt;=$B18,W$2&lt;$C18),$E18,0)</f>
        <v>0</v>
      </c>
      <c r="X18" s="61">
        <f t="shared" si="20"/>
        <v>0</v>
      </c>
      <c r="Y18" s="61">
        <f t="shared" si="20"/>
        <v>0</v>
      </c>
      <c r="Z18" s="61">
        <f t="shared" si="20"/>
        <v>0</v>
      </c>
      <c r="AA18" s="61">
        <f t="shared" si="20"/>
        <v>0</v>
      </c>
      <c r="AB18" s="61">
        <f t="shared" si="20"/>
        <v>0</v>
      </c>
      <c r="AC18" s="61">
        <f t="shared" si="20"/>
        <v>0</v>
      </c>
      <c r="AD18" s="61">
        <f t="shared" si="6"/>
        <v>0</v>
      </c>
      <c r="AE18" s="61">
        <f t="shared" si="6"/>
        <v>0</v>
      </c>
      <c r="AF18" s="61">
        <f t="shared" si="8"/>
        <v>0</v>
      </c>
      <c r="AG18" s="61">
        <f t="shared" si="10"/>
        <v>0</v>
      </c>
      <c r="AH18" s="61">
        <f t="shared" si="12"/>
        <v>0</v>
      </c>
      <c r="AI18" s="61">
        <f t="shared" si="14"/>
        <v>0</v>
      </c>
      <c r="AJ18" s="61">
        <f t="shared" si="16"/>
        <v>0</v>
      </c>
      <c r="AK18" s="61">
        <f t="shared" si="17"/>
        <v>0</v>
      </c>
      <c r="AL18" s="61">
        <f t="shared" si="18"/>
        <v>0</v>
      </c>
      <c r="AM18" s="61">
        <f t="shared" ref="AM18:AM37" si="21">IF(AND(AM$2&gt;=$B18,AM$2&lt;$C18),$E18,0)</f>
        <v>0</v>
      </c>
      <c r="AN18" s="61"/>
      <c r="AO18" s="61">
        <f>IF(AND(AO$2&gt;=$B18,AO$2&lt;$C18),$E18,0)</f>
        <v>0</v>
      </c>
      <c r="AP18" s="61">
        <f>IF(AND(AP$2&gt;=$B18,AP$2&lt;$C18),$E18,0)</f>
        <v>0</v>
      </c>
      <c r="AQ18" s="61"/>
    </row>
    <row r="19" spans="2:43" x14ac:dyDescent="0.25">
      <c r="B19" s="54">
        <v>0.52083333333575865</v>
      </c>
      <c r="C19" s="54">
        <v>0.87500000006548695</v>
      </c>
      <c r="D19" s="60"/>
      <c r="E19" s="91">
        <f>SUMMARY!W17</f>
        <v>0</v>
      </c>
      <c r="G19" s="91">
        <f>SUMMARY!AH17</f>
        <v>0</v>
      </c>
      <c r="H19" s="92">
        <f t="shared" si="2"/>
        <v>0</v>
      </c>
      <c r="I19" s="180">
        <f>X$6-X$7</f>
        <v>0</v>
      </c>
      <c r="M19" s="61">
        <f t="shared" si="19"/>
        <v>0</v>
      </c>
      <c r="N19" s="61">
        <f t="shared" si="19"/>
        <v>0</v>
      </c>
      <c r="O19" s="61">
        <f t="shared" si="19"/>
        <v>0</v>
      </c>
      <c r="P19" s="61">
        <f t="shared" si="19"/>
        <v>0</v>
      </c>
      <c r="Q19" s="61">
        <f t="shared" si="19"/>
        <v>0</v>
      </c>
      <c r="R19" s="61">
        <f t="shared" si="19"/>
        <v>0</v>
      </c>
      <c r="S19" s="61">
        <f t="shared" si="19"/>
        <v>0</v>
      </c>
      <c r="T19" s="61">
        <f t="shared" si="19"/>
        <v>0</v>
      </c>
      <c r="U19" s="61">
        <f t="shared" si="19"/>
        <v>0</v>
      </c>
      <c r="V19" s="61">
        <f t="shared" si="19"/>
        <v>0</v>
      </c>
      <c r="W19" s="61">
        <f t="shared" si="20"/>
        <v>0</v>
      </c>
      <c r="X19" s="61">
        <f t="shared" si="20"/>
        <v>0</v>
      </c>
      <c r="Y19" s="61">
        <f t="shared" si="20"/>
        <v>0</v>
      </c>
      <c r="Z19" s="61">
        <f t="shared" si="20"/>
        <v>0</v>
      </c>
      <c r="AA19" s="61">
        <f t="shared" si="20"/>
        <v>0</v>
      </c>
      <c r="AB19" s="61">
        <f t="shared" si="20"/>
        <v>0</v>
      </c>
      <c r="AC19" s="61">
        <f t="shared" si="20"/>
        <v>0</v>
      </c>
      <c r="AD19" s="61">
        <f t="shared" si="6"/>
        <v>0</v>
      </c>
      <c r="AE19" s="61">
        <f t="shared" si="6"/>
        <v>0</v>
      </c>
      <c r="AF19" s="61">
        <f t="shared" si="8"/>
        <v>0</v>
      </c>
      <c r="AG19" s="61">
        <f t="shared" si="10"/>
        <v>0</v>
      </c>
      <c r="AH19" s="61">
        <f t="shared" si="12"/>
        <v>0</v>
      </c>
      <c r="AI19" s="61">
        <f t="shared" si="14"/>
        <v>0</v>
      </c>
      <c r="AJ19" s="61">
        <f t="shared" si="16"/>
        <v>0</v>
      </c>
      <c r="AK19" s="61">
        <f t="shared" si="17"/>
        <v>0</v>
      </c>
      <c r="AL19" s="61">
        <f t="shared" si="18"/>
        <v>0</v>
      </c>
      <c r="AM19" s="61">
        <f t="shared" si="21"/>
        <v>0</v>
      </c>
      <c r="AN19" s="61">
        <f t="shared" ref="AN19:AN37" si="22">IF(AND(AN$2&gt;=$B19,AN$2&lt;$C19),$E19,0)</f>
        <v>0</v>
      </c>
      <c r="AO19" s="61"/>
      <c r="AP19" s="61">
        <f>IF(AND(AP$2&gt;=$B19,AP$2&lt;$C19),$E19,0)</f>
        <v>0</v>
      </c>
      <c r="AQ19" s="61"/>
    </row>
    <row r="20" spans="2:43" x14ac:dyDescent="0.25">
      <c r="B20" s="54">
        <v>0.54166666666424135</v>
      </c>
      <c r="C20" s="54">
        <v>0.89583333340124605</v>
      </c>
      <c r="D20" s="60"/>
      <c r="E20" s="91">
        <f>SUMMARY!W18</f>
        <v>0</v>
      </c>
      <c r="G20" s="91">
        <f>SUMMARY!AH18</f>
        <v>0</v>
      </c>
      <c r="H20" s="92">
        <f t="shared" si="2"/>
        <v>0</v>
      </c>
      <c r="I20" s="180">
        <f>Y$6-Y$7</f>
        <v>0</v>
      </c>
      <c r="M20" s="61">
        <f t="shared" si="19"/>
        <v>0</v>
      </c>
      <c r="N20" s="61">
        <f t="shared" si="19"/>
        <v>0</v>
      </c>
      <c r="O20" s="61">
        <f t="shared" si="19"/>
        <v>0</v>
      </c>
      <c r="P20" s="61">
        <f t="shared" si="19"/>
        <v>0</v>
      </c>
      <c r="Q20" s="61">
        <f t="shared" si="19"/>
        <v>0</v>
      </c>
      <c r="R20" s="61">
        <f t="shared" si="19"/>
        <v>0</v>
      </c>
      <c r="S20" s="61">
        <f t="shared" si="19"/>
        <v>0</v>
      </c>
      <c r="T20" s="61">
        <f t="shared" si="19"/>
        <v>0</v>
      </c>
      <c r="U20" s="61">
        <f t="shared" si="19"/>
        <v>0</v>
      </c>
      <c r="V20" s="61">
        <f t="shared" si="19"/>
        <v>0</v>
      </c>
      <c r="W20" s="61">
        <f t="shared" si="20"/>
        <v>0</v>
      </c>
      <c r="X20" s="61">
        <f t="shared" si="20"/>
        <v>0</v>
      </c>
      <c r="Y20" s="61">
        <f t="shared" si="20"/>
        <v>0</v>
      </c>
      <c r="Z20" s="61">
        <f t="shared" si="20"/>
        <v>0</v>
      </c>
      <c r="AA20" s="61">
        <f t="shared" si="20"/>
        <v>0</v>
      </c>
      <c r="AB20" s="61">
        <f t="shared" si="20"/>
        <v>0</v>
      </c>
      <c r="AC20" s="61">
        <f t="shared" si="20"/>
        <v>0</v>
      </c>
      <c r="AD20" s="61">
        <f t="shared" si="6"/>
        <v>0</v>
      </c>
      <c r="AE20" s="61">
        <f t="shared" si="6"/>
        <v>0</v>
      </c>
      <c r="AF20" s="61">
        <f t="shared" si="8"/>
        <v>0</v>
      </c>
      <c r="AG20" s="61">
        <f t="shared" si="10"/>
        <v>0</v>
      </c>
      <c r="AH20" s="61">
        <f t="shared" si="12"/>
        <v>0</v>
      </c>
      <c r="AI20" s="61">
        <f t="shared" si="14"/>
        <v>0</v>
      </c>
      <c r="AJ20" s="61">
        <f t="shared" si="16"/>
        <v>0</v>
      </c>
      <c r="AK20" s="61">
        <f t="shared" si="17"/>
        <v>0</v>
      </c>
      <c r="AL20" s="61">
        <f t="shared" si="18"/>
        <v>0</v>
      </c>
      <c r="AM20" s="61">
        <f t="shared" si="21"/>
        <v>0</v>
      </c>
      <c r="AN20" s="61">
        <f t="shared" si="22"/>
        <v>0</v>
      </c>
      <c r="AO20" s="61">
        <f t="shared" ref="AO20:AO37" si="23">IF(AND(AO$2&gt;=$B20,AO$2&lt;$C20),$E20,0)</f>
        <v>0</v>
      </c>
      <c r="AP20" s="61"/>
      <c r="AQ20" s="61"/>
    </row>
    <row r="21" spans="2:43" x14ac:dyDescent="0.25">
      <c r="B21" s="54">
        <v>0.5625</v>
      </c>
      <c r="C21" s="54">
        <v>0.91666666673700503</v>
      </c>
      <c r="D21" s="60"/>
      <c r="E21" s="91">
        <f>SUMMARY!W19</f>
        <v>0</v>
      </c>
      <c r="G21" s="91">
        <f>SUMMARY!AH19</f>
        <v>0</v>
      </c>
      <c r="H21" s="92">
        <f t="shared" si="2"/>
        <v>0</v>
      </c>
      <c r="I21" s="180">
        <f>Z$6-Z$7</f>
        <v>0</v>
      </c>
      <c r="M21" s="61">
        <f t="shared" si="19"/>
        <v>0</v>
      </c>
      <c r="N21" s="61">
        <f t="shared" si="19"/>
        <v>0</v>
      </c>
      <c r="O21" s="61">
        <f t="shared" si="19"/>
        <v>0</v>
      </c>
      <c r="P21" s="61">
        <f t="shared" si="19"/>
        <v>0</v>
      </c>
      <c r="Q21" s="61">
        <f t="shared" si="19"/>
        <v>0</v>
      </c>
      <c r="R21" s="61">
        <f t="shared" si="19"/>
        <v>0</v>
      </c>
      <c r="S21" s="61">
        <f t="shared" si="19"/>
        <v>0</v>
      </c>
      <c r="T21" s="61">
        <f t="shared" si="19"/>
        <v>0</v>
      </c>
      <c r="U21" s="61">
        <f t="shared" si="19"/>
        <v>0</v>
      </c>
      <c r="V21" s="61">
        <f t="shared" si="19"/>
        <v>0</v>
      </c>
      <c r="W21" s="61">
        <f t="shared" si="20"/>
        <v>0</v>
      </c>
      <c r="X21" s="61">
        <f t="shared" si="20"/>
        <v>0</v>
      </c>
      <c r="Y21" s="61">
        <f t="shared" si="20"/>
        <v>0</v>
      </c>
      <c r="Z21" s="61">
        <f t="shared" si="20"/>
        <v>0</v>
      </c>
      <c r="AA21" s="61">
        <f t="shared" si="20"/>
        <v>0</v>
      </c>
      <c r="AB21" s="61">
        <f t="shared" si="20"/>
        <v>0</v>
      </c>
      <c r="AC21" s="61">
        <f t="shared" si="20"/>
        <v>0</v>
      </c>
      <c r="AD21" s="61">
        <f t="shared" si="6"/>
        <v>0</v>
      </c>
      <c r="AE21" s="61">
        <f t="shared" si="6"/>
        <v>0</v>
      </c>
      <c r="AF21" s="61">
        <f t="shared" si="8"/>
        <v>0</v>
      </c>
      <c r="AG21" s="61">
        <f t="shared" si="10"/>
        <v>0</v>
      </c>
      <c r="AH21" s="61">
        <f t="shared" si="12"/>
        <v>0</v>
      </c>
      <c r="AI21" s="61">
        <f t="shared" si="14"/>
        <v>0</v>
      </c>
      <c r="AJ21" s="61">
        <f t="shared" si="16"/>
        <v>0</v>
      </c>
      <c r="AK21" s="61">
        <f t="shared" si="17"/>
        <v>0</v>
      </c>
      <c r="AL21" s="61">
        <f t="shared" si="18"/>
        <v>0</v>
      </c>
      <c r="AM21" s="61">
        <f t="shared" si="21"/>
        <v>0</v>
      </c>
      <c r="AN21" s="61">
        <f t="shared" si="22"/>
        <v>0</v>
      </c>
      <c r="AO21" s="61">
        <f t="shared" si="23"/>
        <v>0</v>
      </c>
      <c r="AP21" s="61">
        <f t="shared" ref="AP21:AP37" si="24">IF(AND(AP$2&gt;=$B21,AP$2&lt;$C21),$E21,0)</f>
        <v>0</v>
      </c>
      <c r="AQ21" s="61"/>
    </row>
    <row r="22" spans="2:43" x14ac:dyDescent="0.25">
      <c r="B22" s="54">
        <v>0.58333333333575899</v>
      </c>
      <c r="C22" s="54">
        <v>0.93750000007276402</v>
      </c>
      <c r="D22" s="60"/>
      <c r="E22" s="91"/>
      <c r="G22" s="91">
        <f>SUMMARY!AH20</f>
        <v>0</v>
      </c>
      <c r="H22" s="92">
        <f t="shared" si="2"/>
        <v>0</v>
      </c>
      <c r="I22" s="180">
        <f>AA$6-AA$7</f>
        <v>0</v>
      </c>
      <c r="M22" s="61">
        <f t="shared" si="19"/>
        <v>0</v>
      </c>
      <c r="N22" s="61">
        <f t="shared" si="19"/>
        <v>0</v>
      </c>
      <c r="O22" s="61">
        <f t="shared" si="19"/>
        <v>0</v>
      </c>
      <c r="P22" s="61">
        <f t="shared" si="19"/>
        <v>0</v>
      </c>
      <c r="Q22" s="61">
        <f t="shared" si="19"/>
        <v>0</v>
      </c>
      <c r="R22" s="61">
        <f t="shared" si="19"/>
        <v>0</v>
      </c>
      <c r="S22" s="61">
        <f t="shared" si="19"/>
        <v>0</v>
      </c>
      <c r="T22" s="61">
        <f t="shared" si="19"/>
        <v>0</v>
      </c>
      <c r="U22" s="61">
        <f t="shared" si="19"/>
        <v>0</v>
      </c>
      <c r="V22" s="61">
        <f t="shared" si="19"/>
        <v>0</v>
      </c>
      <c r="W22" s="61">
        <f t="shared" si="20"/>
        <v>0</v>
      </c>
      <c r="X22" s="61">
        <f t="shared" si="20"/>
        <v>0</v>
      </c>
      <c r="Y22" s="61">
        <f t="shared" si="20"/>
        <v>0</v>
      </c>
      <c r="Z22" s="61">
        <f t="shared" si="20"/>
        <v>0</v>
      </c>
      <c r="AA22" s="61">
        <f t="shared" si="20"/>
        <v>0</v>
      </c>
      <c r="AB22" s="61">
        <f t="shared" si="20"/>
        <v>0</v>
      </c>
      <c r="AC22" s="61">
        <f t="shared" si="20"/>
        <v>0</v>
      </c>
      <c r="AD22" s="61">
        <f t="shared" si="6"/>
        <v>0</v>
      </c>
      <c r="AE22" s="61">
        <f t="shared" si="6"/>
        <v>0</v>
      </c>
      <c r="AF22" s="61">
        <f t="shared" si="8"/>
        <v>0</v>
      </c>
      <c r="AG22" s="61">
        <f t="shared" si="10"/>
        <v>0</v>
      </c>
      <c r="AH22" s="61">
        <f t="shared" si="12"/>
        <v>0</v>
      </c>
      <c r="AI22" s="61">
        <f t="shared" si="14"/>
        <v>0</v>
      </c>
      <c r="AJ22" s="61">
        <f t="shared" si="16"/>
        <v>0</v>
      </c>
      <c r="AK22" s="61">
        <f t="shared" si="17"/>
        <v>0</v>
      </c>
      <c r="AL22" s="61">
        <f t="shared" si="18"/>
        <v>0</v>
      </c>
      <c r="AM22" s="61">
        <f t="shared" si="21"/>
        <v>0</v>
      </c>
      <c r="AN22" s="61">
        <f t="shared" si="22"/>
        <v>0</v>
      </c>
      <c r="AO22" s="61">
        <f t="shared" si="23"/>
        <v>0</v>
      </c>
      <c r="AP22" s="61">
        <f t="shared" si="24"/>
        <v>0</v>
      </c>
      <c r="AQ22" s="61"/>
    </row>
    <row r="23" spans="2:43" x14ac:dyDescent="0.25">
      <c r="B23" s="54">
        <v>0.60416666667151697</v>
      </c>
      <c r="C23" s="54">
        <v>0.958333333408523</v>
      </c>
      <c r="D23" s="60"/>
      <c r="E23" s="91"/>
      <c r="G23" s="91">
        <f>SUMMARY!AH21</f>
        <v>0</v>
      </c>
      <c r="H23" s="92">
        <f t="shared" si="2"/>
        <v>0</v>
      </c>
      <c r="I23" s="180">
        <f>AB$6-AB$7</f>
        <v>0</v>
      </c>
      <c r="M23" s="61">
        <f t="shared" si="19"/>
        <v>0</v>
      </c>
      <c r="N23" s="61">
        <f t="shared" si="19"/>
        <v>0</v>
      </c>
      <c r="O23" s="61">
        <f t="shared" si="19"/>
        <v>0</v>
      </c>
      <c r="P23" s="61">
        <f t="shared" si="19"/>
        <v>0</v>
      </c>
      <c r="Q23" s="61">
        <f t="shared" si="19"/>
        <v>0</v>
      </c>
      <c r="R23" s="61">
        <f t="shared" si="19"/>
        <v>0</v>
      </c>
      <c r="S23" s="61">
        <f t="shared" si="19"/>
        <v>0</v>
      </c>
      <c r="T23" s="61">
        <f t="shared" si="19"/>
        <v>0</v>
      </c>
      <c r="U23" s="61">
        <f t="shared" si="19"/>
        <v>0</v>
      </c>
      <c r="V23" s="61">
        <f t="shared" si="19"/>
        <v>0</v>
      </c>
      <c r="W23" s="61">
        <f t="shared" si="20"/>
        <v>0</v>
      </c>
      <c r="X23" s="61">
        <f t="shared" si="20"/>
        <v>0</v>
      </c>
      <c r="Y23" s="61">
        <f t="shared" si="20"/>
        <v>0</v>
      </c>
      <c r="Z23" s="61">
        <f t="shared" si="20"/>
        <v>0</v>
      </c>
      <c r="AA23" s="61">
        <f t="shared" si="20"/>
        <v>0</v>
      </c>
      <c r="AB23" s="61">
        <f t="shared" si="20"/>
        <v>0</v>
      </c>
      <c r="AC23" s="61">
        <f t="shared" si="20"/>
        <v>0</v>
      </c>
      <c r="AD23" s="61">
        <f t="shared" si="6"/>
        <v>0</v>
      </c>
      <c r="AE23" s="61">
        <f t="shared" si="6"/>
        <v>0</v>
      </c>
      <c r="AF23" s="61">
        <f t="shared" si="8"/>
        <v>0</v>
      </c>
      <c r="AG23" s="61">
        <f t="shared" si="10"/>
        <v>0</v>
      </c>
      <c r="AH23" s="61">
        <f t="shared" si="12"/>
        <v>0</v>
      </c>
      <c r="AI23" s="61">
        <f t="shared" si="14"/>
        <v>0</v>
      </c>
      <c r="AJ23" s="61">
        <f t="shared" si="16"/>
        <v>0</v>
      </c>
      <c r="AK23" s="61">
        <f t="shared" si="17"/>
        <v>0</v>
      </c>
      <c r="AL23" s="61">
        <f t="shared" si="18"/>
        <v>0</v>
      </c>
      <c r="AM23" s="61">
        <f t="shared" si="21"/>
        <v>0</v>
      </c>
      <c r="AN23" s="61">
        <f t="shared" si="22"/>
        <v>0</v>
      </c>
      <c r="AO23" s="61">
        <f t="shared" si="23"/>
        <v>0</v>
      </c>
      <c r="AP23" s="61">
        <f t="shared" si="24"/>
        <v>0</v>
      </c>
      <c r="AQ23" s="61"/>
    </row>
    <row r="24" spans="2:43" x14ac:dyDescent="0.25">
      <c r="B24" s="54">
        <v>0.62500000000727596</v>
      </c>
      <c r="C24" s="54">
        <v>0.97916666674428199</v>
      </c>
      <c r="D24" s="60"/>
      <c r="E24" s="91"/>
      <c r="G24" s="91">
        <f>SUMMARY!AH22</f>
        <v>0</v>
      </c>
      <c r="H24" s="92">
        <f t="shared" si="2"/>
        <v>0</v>
      </c>
      <c r="I24" s="180">
        <f>AC$6-AC$7</f>
        <v>0</v>
      </c>
      <c r="M24" s="61">
        <f t="shared" si="19"/>
        <v>0</v>
      </c>
      <c r="N24" s="61">
        <f t="shared" si="19"/>
        <v>0</v>
      </c>
      <c r="O24" s="61">
        <f t="shared" si="19"/>
        <v>0</v>
      </c>
      <c r="P24" s="61">
        <f t="shared" si="19"/>
        <v>0</v>
      </c>
      <c r="Q24" s="61">
        <f t="shared" si="19"/>
        <v>0</v>
      </c>
      <c r="R24" s="61">
        <f t="shared" si="19"/>
        <v>0</v>
      </c>
      <c r="S24" s="61">
        <f t="shared" si="19"/>
        <v>0</v>
      </c>
      <c r="T24" s="61">
        <f t="shared" si="19"/>
        <v>0</v>
      </c>
      <c r="U24" s="61">
        <f t="shared" si="19"/>
        <v>0</v>
      </c>
      <c r="V24" s="61">
        <f t="shared" si="19"/>
        <v>0</v>
      </c>
      <c r="W24" s="61">
        <f t="shared" si="20"/>
        <v>0</v>
      </c>
      <c r="X24" s="61">
        <f t="shared" si="20"/>
        <v>0</v>
      </c>
      <c r="Y24" s="61">
        <f t="shared" si="20"/>
        <v>0</v>
      </c>
      <c r="Z24" s="61">
        <f t="shared" si="20"/>
        <v>0</v>
      </c>
      <c r="AA24" s="61">
        <f t="shared" si="20"/>
        <v>0</v>
      </c>
      <c r="AB24" s="61">
        <f t="shared" si="20"/>
        <v>0</v>
      </c>
      <c r="AC24" s="61">
        <f t="shared" si="20"/>
        <v>0</v>
      </c>
      <c r="AD24" s="61">
        <f t="shared" si="6"/>
        <v>0</v>
      </c>
      <c r="AE24" s="61">
        <f t="shared" si="6"/>
        <v>0</v>
      </c>
      <c r="AF24" s="61">
        <f t="shared" si="8"/>
        <v>0</v>
      </c>
      <c r="AG24" s="61">
        <f t="shared" si="10"/>
        <v>0</v>
      </c>
      <c r="AH24" s="61">
        <f t="shared" si="12"/>
        <v>0</v>
      </c>
      <c r="AI24" s="61">
        <f t="shared" si="14"/>
        <v>0</v>
      </c>
      <c r="AJ24" s="61">
        <f t="shared" si="16"/>
        <v>0</v>
      </c>
      <c r="AK24" s="61">
        <f t="shared" si="17"/>
        <v>0</v>
      </c>
      <c r="AL24" s="61">
        <f t="shared" si="18"/>
        <v>0</v>
      </c>
      <c r="AM24" s="61">
        <f t="shared" si="21"/>
        <v>0</v>
      </c>
      <c r="AN24" s="61">
        <f t="shared" si="22"/>
        <v>0</v>
      </c>
      <c r="AO24" s="61">
        <f t="shared" si="23"/>
        <v>0</v>
      </c>
      <c r="AP24" s="61">
        <f t="shared" si="24"/>
        <v>0</v>
      </c>
      <c r="AQ24" s="61"/>
    </row>
    <row r="25" spans="2:43" x14ac:dyDescent="0.25">
      <c r="B25" s="54">
        <v>0.64583333334303406</v>
      </c>
      <c r="C25" s="54">
        <v>1.00000000008004</v>
      </c>
      <c r="D25" s="60"/>
      <c r="E25" s="91"/>
      <c r="G25" s="91">
        <f>SUMMARY!AH23</f>
        <v>0</v>
      </c>
      <c r="H25" s="92">
        <f t="shared" si="2"/>
        <v>0</v>
      </c>
      <c r="I25" s="180">
        <f>AD$6-AD$7</f>
        <v>0</v>
      </c>
      <c r="M25" s="61">
        <f t="shared" si="19"/>
        <v>0</v>
      </c>
      <c r="N25" s="61">
        <f t="shared" si="19"/>
        <v>0</v>
      </c>
      <c r="O25" s="61">
        <f t="shared" si="19"/>
        <v>0</v>
      </c>
      <c r="P25" s="61">
        <f t="shared" si="19"/>
        <v>0</v>
      </c>
      <c r="Q25" s="61">
        <f t="shared" si="19"/>
        <v>0</v>
      </c>
      <c r="R25" s="61">
        <f t="shared" si="19"/>
        <v>0</v>
      </c>
      <c r="S25" s="61">
        <f t="shared" si="19"/>
        <v>0</v>
      </c>
      <c r="T25" s="61">
        <f t="shared" si="19"/>
        <v>0</v>
      </c>
      <c r="U25" s="61">
        <f t="shared" si="19"/>
        <v>0</v>
      </c>
      <c r="V25" s="61">
        <f t="shared" si="19"/>
        <v>0</v>
      </c>
      <c r="W25" s="61">
        <f t="shared" si="20"/>
        <v>0</v>
      </c>
      <c r="X25" s="61">
        <f t="shared" si="20"/>
        <v>0</v>
      </c>
      <c r="Y25" s="61">
        <f t="shared" si="20"/>
        <v>0</v>
      </c>
      <c r="Z25" s="61">
        <f t="shared" si="20"/>
        <v>0</v>
      </c>
      <c r="AA25" s="61">
        <f t="shared" si="20"/>
        <v>0</v>
      </c>
      <c r="AB25" s="61">
        <f t="shared" si="20"/>
        <v>0</v>
      </c>
      <c r="AC25" s="61">
        <f t="shared" si="20"/>
        <v>0</v>
      </c>
      <c r="AD25" s="61">
        <f t="shared" si="6"/>
        <v>0</v>
      </c>
      <c r="AE25" s="61">
        <f t="shared" si="6"/>
        <v>0</v>
      </c>
      <c r="AF25" s="61">
        <f t="shared" si="8"/>
        <v>0</v>
      </c>
      <c r="AG25" s="61">
        <f t="shared" si="10"/>
        <v>0</v>
      </c>
      <c r="AH25" s="61">
        <f t="shared" si="12"/>
        <v>0</v>
      </c>
      <c r="AI25" s="61">
        <f t="shared" si="14"/>
        <v>0</v>
      </c>
      <c r="AJ25" s="61">
        <f t="shared" si="16"/>
        <v>0</v>
      </c>
      <c r="AK25" s="61">
        <f t="shared" si="17"/>
        <v>0</v>
      </c>
      <c r="AL25" s="61">
        <f t="shared" si="18"/>
        <v>0</v>
      </c>
      <c r="AM25" s="61">
        <f t="shared" si="21"/>
        <v>0</v>
      </c>
      <c r="AN25" s="61">
        <f t="shared" si="22"/>
        <v>0</v>
      </c>
      <c r="AO25" s="61">
        <f t="shared" si="23"/>
        <v>0</v>
      </c>
      <c r="AP25" s="61">
        <f t="shared" si="24"/>
        <v>0</v>
      </c>
      <c r="AQ25" s="61"/>
    </row>
    <row r="26" spans="2:43" x14ac:dyDescent="0.25">
      <c r="B26" s="54">
        <v>0.66666666667879304</v>
      </c>
      <c r="C26" s="54">
        <v>1.0208333334158</v>
      </c>
      <c r="D26" s="60"/>
      <c r="E26" s="91"/>
      <c r="G26" s="91">
        <f>SUMMARY!AH24</f>
        <v>0</v>
      </c>
      <c r="H26" s="92">
        <f t="shared" si="2"/>
        <v>0</v>
      </c>
      <c r="I26" s="180">
        <f>AE$6-AE$7</f>
        <v>0</v>
      </c>
      <c r="M26" s="61">
        <f t="shared" si="19"/>
        <v>0</v>
      </c>
      <c r="N26" s="61">
        <f t="shared" si="19"/>
        <v>0</v>
      </c>
      <c r="O26" s="61">
        <f t="shared" si="19"/>
        <v>0</v>
      </c>
      <c r="P26" s="61">
        <f t="shared" si="19"/>
        <v>0</v>
      </c>
      <c r="Q26" s="61">
        <f t="shared" si="19"/>
        <v>0</v>
      </c>
      <c r="R26" s="61">
        <f t="shared" si="19"/>
        <v>0</v>
      </c>
      <c r="S26" s="61">
        <f t="shared" si="19"/>
        <v>0</v>
      </c>
      <c r="T26" s="61">
        <f t="shared" si="19"/>
        <v>0</v>
      </c>
      <c r="U26" s="61">
        <f t="shared" si="19"/>
        <v>0</v>
      </c>
      <c r="V26" s="61">
        <f t="shared" si="19"/>
        <v>0</v>
      </c>
      <c r="W26" s="61">
        <f t="shared" si="20"/>
        <v>0</v>
      </c>
      <c r="X26" s="61">
        <f t="shared" si="20"/>
        <v>0</v>
      </c>
      <c r="Y26" s="61">
        <f t="shared" si="20"/>
        <v>0</v>
      </c>
      <c r="Z26" s="61">
        <f t="shared" si="20"/>
        <v>0</v>
      </c>
      <c r="AA26" s="61">
        <f t="shared" si="20"/>
        <v>0</v>
      </c>
      <c r="AB26" s="61">
        <f t="shared" si="20"/>
        <v>0</v>
      </c>
      <c r="AC26" s="61">
        <f t="shared" si="20"/>
        <v>0</v>
      </c>
      <c r="AD26" s="61">
        <f t="shared" si="6"/>
        <v>0</v>
      </c>
      <c r="AE26" s="61">
        <f t="shared" si="6"/>
        <v>0</v>
      </c>
      <c r="AF26" s="61">
        <f t="shared" si="8"/>
        <v>0</v>
      </c>
      <c r="AG26" s="61">
        <f t="shared" si="10"/>
        <v>0</v>
      </c>
      <c r="AH26" s="61">
        <f t="shared" si="12"/>
        <v>0</v>
      </c>
      <c r="AI26" s="61">
        <f t="shared" si="14"/>
        <v>0</v>
      </c>
      <c r="AJ26" s="61">
        <f t="shared" si="16"/>
        <v>0</v>
      </c>
      <c r="AK26" s="61">
        <f t="shared" si="17"/>
        <v>0</v>
      </c>
      <c r="AL26" s="61">
        <f t="shared" si="18"/>
        <v>0</v>
      </c>
      <c r="AM26" s="61">
        <f t="shared" si="21"/>
        <v>0</v>
      </c>
      <c r="AN26" s="61">
        <f t="shared" si="22"/>
        <v>0</v>
      </c>
      <c r="AO26" s="61">
        <f t="shared" si="23"/>
        <v>0</v>
      </c>
      <c r="AP26" s="61">
        <f t="shared" si="24"/>
        <v>0</v>
      </c>
      <c r="AQ26" s="61"/>
    </row>
    <row r="27" spans="2:43" x14ac:dyDescent="0.25">
      <c r="B27" s="54">
        <v>0.68750000001455203</v>
      </c>
      <c r="C27" s="54">
        <v>1.0416666667515599</v>
      </c>
      <c r="D27" s="60"/>
      <c r="E27" s="91"/>
      <c r="G27" s="91">
        <f>SUMMARY!AH25</f>
        <v>0</v>
      </c>
      <c r="H27" s="92">
        <f t="shared" si="2"/>
        <v>0</v>
      </c>
      <c r="I27" s="180">
        <f>AF$6-AF$7</f>
        <v>0</v>
      </c>
      <c r="M27" s="61">
        <f t="shared" si="19"/>
        <v>0</v>
      </c>
      <c r="N27" s="61">
        <f t="shared" si="19"/>
        <v>0</v>
      </c>
      <c r="O27" s="61">
        <f t="shared" si="19"/>
        <v>0</v>
      </c>
      <c r="P27" s="61">
        <f t="shared" si="19"/>
        <v>0</v>
      </c>
      <c r="Q27" s="61">
        <f t="shared" si="19"/>
        <v>0</v>
      </c>
      <c r="R27" s="61">
        <f t="shared" si="19"/>
        <v>0</v>
      </c>
      <c r="S27" s="61">
        <f t="shared" si="19"/>
        <v>0</v>
      </c>
      <c r="T27" s="61">
        <f t="shared" si="19"/>
        <v>0</v>
      </c>
      <c r="U27" s="61">
        <f t="shared" si="19"/>
        <v>0</v>
      </c>
      <c r="V27" s="61">
        <f t="shared" si="19"/>
        <v>0</v>
      </c>
      <c r="W27" s="61">
        <f t="shared" si="20"/>
        <v>0</v>
      </c>
      <c r="X27" s="61">
        <f t="shared" si="20"/>
        <v>0</v>
      </c>
      <c r="Y27" s="61">
        <f t="shared" si="20"/>
        <v>0</v>
      </c>
      <c r="Z27" s="61">
        <f t="shared" si="20"/>
        <v>0</v>
      </c>
      <c r="AA27" s="61">
        <f t="shared" si="20"/>
        <v>0</v>
      </c>
      <c r="AB27" s="61">
        <f t="shared" si="20"/>
        <v>0</v>
      </c>
      <c r="AC27" s="61">
        <f t="shared" si="20"/>
        <v>0</v>
      </c>
      <c r="AD27" s="61">
        <f t="shared" si="6"/>
        <v>0</v>
      </c>
      <c r="AE27" s="61">
        <f t="shared" si="6"/>
        <v>0</v>
      </c>
      <c r="AF27" s="61">
        <f t="shared" si="8"/>
        <v>0</v>
      </c>
      <c r="AG27" s="61">
        <f t="shared" si="10"/>
        <v>0</v>
      </c>
      <c r="AH27" s="61">
        <f t="shared" si="12"/>
        <v>0</v>
      </c>
      <c r="AI27" s="61">
        <f t="shared" si="14"/>
        <v>0</v>
      </c>
      <c r="AJ27" s="61">
        <f t="shared" si="16"/>
        <v>0</v>
      </c>
      <c r="AK27" s="61">
        <f t="shared" si="17"/>
        <v>0</v>
      </c>
      <c r="AL27" s="61">
        <f t="shared" si="18"/>
        <v>0</v>
      </c>
      <c r="AM27" s="61">
        <f t="shared" si="21"/>
        <v>0</v>
      </c>
      <c r="AN27" s="61">
        <f t="shared" si="22"/>
        <v>0</v>
      </c>
      <c r="AO27" s="61">
        <f t="shared" si="23"/>
        <v>0</v>
      </c>
      <c r="AP27" s="61">
        <f t="shared" si="24"/>
        <v>0</v>
      </c>
      <c r="AQ27" s="61"/>
    </row>
    <row r="28" spans="2:43" x14ac:dyDescent="0.25">
      <c r="B28" s="54">
        <v>0.70833333335031001</v>
      </c>
      <c r="C28" s="54">
        <v>1.0625000000873199</v>
      </c>
      <c r="D28" s="60"/>
      <c r="E28" s="91"/>
      <c r="G28" s="91">
        <f>SUMMARY!AH26</f>
        <v>0</v>
      </c>
      <c r="H28" s="92">
        <f t="shared" si="2"/>
        <v>0</v>
      </c>
      <c r="I28" s="180">
        <f>AG$6-AG$7</f>
        <v>0</v>
      </c>
      <c r="M28" s="61">
        <f t="shared" ref="M28:V37" si="25">IF(AND(M$2&gt;=$B28,M$2&lt;$C28),$E28,0)</f>
        <v>0</v>
      </c>
      <c r="N28" s="61">
        <f t="shared" si="25"/>
        <v>0</v>
      </c>
      <c r="O28" s="61">
        <f t="shared" si="25"/>
        <v>0</v>
      </c>
      <c r="P28" s="61">
        <f t="shared" si="25"/>
        <v>0</v>
      </c>
      <c r="Q28" s="61">
        <f t="shared" si="25"/>
        <v>0</v>
      </c>
      <c r="R28" s="61">
        <f t="shared" si="25"/>
        <v>0</v>
      </c>
      <c r="S28" s="61">
        <f t="shared" si="25"/>
        <v>0</v>
      </c>
      <c r="T28" s="61">
        <f t="shared" si="25"/>
        <v>0</v>
      </c>
      <c r="U28" s="61">
        <f t="shared" si="25"/>
        <v>0</v>
      </c>
      <c r="V28" s="61">
        <f t="shared" si="25"/>
        <v>0</v>
      </c>
      <c r="W28" s="61">
        <f t="shared" ref="W28:AC37" si="26">IF(AND(W$2&gt;=$B28,W$2&lt;$C28),$E28,0)</f>
        <v>0</v>
      </c>
      <c r="X28" s="61">
        <f t="shared" si="26"/>
        <v>0</v>
      </c>
      <c r="Y28" s="61">
        <f t="shared" si="26"/>
        <v>0</v>
      </c>
      <c r="Z28" s="61">
        <f t="shared" si="26"/>
        <v>0</v>
      </c>
      <c r="AA28" s="61">
        <f t="shared" si="26"/>
        <v>0</v>
      </c>
      <c r="AB28" s="61">
        <f t="shared" si="26"/>
        <v>0</v>
      </c>
      <c r="AC28" s="61">
        <f t="shared" si="26"/>
        <v>0</v>
      </c>
      <c r="AD28" s="61">
        <f t="shared" si="6"/>
        <v>0</v>
      </c>
      <c r="AE28" s="61">
        <f t="shared" si="6"/>
        <v>0</v>
      </c>
      <c r="AF28" s="61">
        <f t="shared" si="8"/>
        <v>0</v>
      </c>
      <c r="AG28" s="61">
        <f t="shared" si="10"/>
        <v>0</v>
      </c>
      <c r="AH28" s="61">
        <f t="shared" si="12"/>
        <v>0</v>
      </c>
      <c r="AI28" s="61">
        <f t="shared" si="14"/>
        <v>0</v>
      </c>
      <c r="AJ28" s="61">
        <f t="shared" si="16"/>
        <v>0</v>
      </c>
      <c r="AK28" s="61">
        <f t="shared" si="17"/>
        <v>0</v>
      </c>
      <c r="AL28" s="61">
        <f t="shared" si="18"/>
        <v>0</v>
      </c>
      <c r="AM28" s="61">
        <f t="shared" si="21"/>
        <v>0</v>
      </c>
      <c r="AN28" s="61">
        <f t="shared" si="22"/>
        <v>0</v>
      </c>
      <c r="AO28" s="61">
        <f t="shared" si="23"/>
        <v>0</v>
      </c>
      <c r="AP28" s="61">
        <f t="shared" si="24"/>
        <v>0</v>
      </c>
      <c r="AQ28" s="61"/>
    </row>
    <row r="29" spans="2:43" x14ac:dyDescent="0.25">
      <c r="B29" s="54">
        <v>0.729166666686069</v>
      </c>
      <c r="C29" s="54">
        <v>1.0833333334230799</v>
      </c>
      <c r="D29" s="60"/>
      <c r="E29" s="91"/>
      <c r="G29" s="91">
        <f>SUMMARY!AH27</f>
        <v>0</v>
      </c>
      <c r="H29" s="92">
        <f t="shared" si="2"/>
        <v>0</v>
      </c>
      <c r="I29" s="180">
        <f>AH$6-AH$7</f>
        <v>0</v>
      </c>
      <c r="M29" s="61">
        <f t="shared" si="25"/>
        <v>0</v>
      </c>
      <c r="N29" s="61">
        <f t="shared" si="25"/>
        <v>0</v>
      </c>
      <c r="O29" s="61">
        <f t="shared" si="25"/>
        <v>0</v>
      </c>
      <c r="P29" s="61">
        <f t="shared" si="25"/>
        <v>0</v>
      </c>
      <c r="Q29" s="61">
        <f t="shared" si="25"/>
        <v>0</v>
      </c>
      <c r="R29" s="61">
        <f t="shared" si="25"/>
        <v>0</v>
      </c>
      <c r="S29" s="61">
        <f t="shared" si="25"/>
        <v>0</v>
      </c>
      <c r="T29" s="61">
        <f t="shared" si="25"/>
        <v>0</v>
      </c>
      <c r="U29" s="61">
        <f t="shared" si="25"/>
        <v>0</v>
      </c>
      <c r="V29" s="61">
        <f t="shared" si="25"/>
        <v>0</v>
      </c>
      <c r="W29" s="61">
        <f t="shared" si="26"/>
        <v>0</v>
      </c>
      <c r="X29" s="61">
        <f t="shared" si="26"/>
        <v>0</v>
      </c>
      <c r="Y29" s="61">
        <f t="shared" si="26"/>
        <v>0</v>
      </c>
      <c r="Z29" s="61">
        <f t="shared" si="26"/>
        <v>0</v>
      </c>
      <c r="AA29" s="61">
        <f t="shared" si="26"/>
        <v>0</v>
      </c>
      <c r="AB29" s="61">
        <f t="shared" si="26"/>
        <v>0</v>
      </c>
      <c r="AC29" s="61">
        <f t="shared" si="26"/>
        <v>0</v>
      </c>
      <c r="AD29" s="61">
        <f t="shared" si="6"/>
        <v>0</v>
      </c>
      <c r="AE29" s="61">
        <f t="shared" si="6"/>
        <v>0</v>
      </c>
      <c r="AF29" s="61">
        <f t="shared" si="8"/>
        <v>0</v>
      </c>
      <c r="AG29" s="61">
        <f t="shared" si="10"/>
        <v>0</v>
      </c>
      <c r="AH29" s="61">
        <f t="shared" si="12"/>
        <v>0</v>
      </c>
      <c r="AI29" s="61">
        <f t="shared" si="14"/>
        <v>0</v>
      </c>
      <c r="AJ29" s="61">
        <f t="shared" si="16"/>
        <v>0</v>
      </c>
      <c r="AK29" s="61">
        <f t="shared" si="17"/>
        <v>0</v>
      </c>
      <c r="AL29" s="61">
        <f t="shared" si="18"/>
        <v>0</v>
      </c>
      <c r="AM29" s="61">
        <f t="shared" si="21"/>
        <v>0</v>
      </c>
      <c r="AN29" s="61">
        <f t="shared" si="22"/>
        <v>0</v>
      </c>
      <c r="AO29" s="61">
        <f t="shared" si="23"/>
        <v>0</v>
      </c>
      <c r="AP29" s="61">
        <f t="shared" si="24"/>
        <v>0</v>
      </c>
      <c r="AQ29" s="61"/>
    </row>
    <row r="30" spans="2:43" x14ac:dyDescent="0.25">
      <c r="B30" s="54">
        <v>0.75000000002182798</v>
      </c>
      <c r="C30" s="54">
        <v>1.1041666667588399</v>
      </c>
      <c r="D30" s="60"/>
      <c r="E30" s="91"/>
      <c r="G30" s="91">
        <f>SUMMARY!AH28</f>
        <v>0</v>
      </c>
      <c r="H30" s="92">
        <f t="shared" si="2"/>
        <v>0</v>
      </c>
      <c r="I30" s="180">
        <f>AI$6-AI$7</f>
        <v>0</v>
      </c>
      <c r="M30" s="61">
        <f t="shared" si="25"/>
        <v>0</v>
      </c>
      <c r="N30" s="61">
        <f t="shared" si="25"/>
        <v>0</v>
      </c>
      <c r="O30" s="61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61">
        <f t="shared" si="25"/>
        <v>0</v>
      </c>
      <c r="T30" s="61">
        <f t="shared" si="25"/>
        <v>0</v>
      </c>
      <c r="U30" s="61">
        <f t="shared" si="25"/>
        <v>0</v>
      </c>
      <c r="V30" s="61">
        <f t="shared" si="25"/>
        <v>0</v>
      </c>
      <c r="W30" s="61">
        <f t="shared" si="26"/>
        <v>0</v>
      </c>
      <c r="X30" s="61">
        <f t="shared" si="26"/>
        <v>0</v>
      </c>
      <c r="Y30" s="61">
        <f t="shared" si="26"/>
        <v>0</v>
      </c>
      <c r="Z30" s="61">
        <f t="shared" si="26"/>
        <v>0</v>
      </c>
      <c r="AA30" s="61">
        <f t="shared" si="26"/>
        <v>0</v>
      </c>
      <c r="AB30" s="61">
        <f t="shared" si="26"/>
        <v>0</v>
      </c>
      <c r="AC30" s="61">
        <f t="shared" si="26"/>
        <v>0</v>
      </c>
      <c r="AD30" s="61">
        <f t="shared" si="6"/>
        <v>0</v>
      </c>
      <c r="AE30" s="61">
        <f t="shared" si="6"/>
        <v>0</v>
      </c>
      <c r="AF30" s="61">
        <f t="shared" si="8"/>
        <v>0</v>
      </c>
      <c r="AG30" s="61">
        <f t="shared" si="10"/>
        <v>0</v>
      </c>
      <c r="AH30" s="61">
        <f t="shared" si="12"/>
        <v>0</v>
      </c>
      <c r="AI30" s="61">
        <f t="shared" si="14"/>
        <v>0</v>
      </c>
      <c r="AJ30" s="61">
        <f t="shared" si="16"/>
        <v>0</v>
      </c>
      <c r="AK30" s="61">
        <f t="shared" si="17"/>
        <v>0</v>
      </c>
      <c r="AL30" s="61">
        <f t="shared" si="18"/>
        <v>0</v>
      </c>
      <c r="AM30" s="61">
        <f t="shared" si="21"/>
        <v>0</v>
      </c>
      <c r="AN30" s="61">
        <f t="shared" si="22"/>
        <v>0</v>
      </c>
      <c r="AO30" s="61">
        <f t="shared" si="23"/>
        <v>0</v>
      </c>
      <c r="AP30" s="61">
        <f t="shared" si="24"/>
        <v>0</v>
      </c>
      <c r="AQ30" s="61"/>
    </row>
    <row r="31" spans="2:43" x14ac:dyDescent="0.25">
      <c r="B31" s="54">
        <v>0.77083333335758597</v>
      </c>
      <c r="C31" s="54">
        <v>1.1250000000945899</v>
      </c>
      <c r="D31" s="60"/>
      <c r="E31" s="91"/>
      <c r="G31" s="91">
        <f>SUMMARY!AH29</f>
        <v>0</v>
      </c>
      <c r="H31" s="92">
        <f t="shared" si="2"/>
        <v>0</v>
      </c>
      <c r="I31" s="180">
        <f>AJ$6-AJ$7</f>
        <v>0</v>
      </c>
      <c r="M31" s="61">
        <f t="shared" si="25"/>
        <v>0</v>
      </c>
      <c r="N31" s="61">
        <f t="shared" si="25"/>
        <v>0</v>
      </c>
      <c r="O31" s="61">
        <f t="shared" si="25"/>
        <v>0</v>
      </c>
      <c r="P31" s="61">
        <f t="shared" si="25"/>
        <v>0</v>
      </c>
      <c r="Q31" s="61">
        <f t="shared" si="25"/>
        <v>0</v>
      </c>
      <c r="R31" s="61">
        <f t="shared" si="25"/>
        <v>0</v>
      </c>
      <c r="S31" s="61">
        <f t="shared" si="25"/>
        <v>0</v>
      </c>
      <c r="T31" s="61">
        <f t="shared" si="25"/>
        <v>0</v>
      </c>
      <c r="U31" s="61">
        <f t="shared" si="25"/>
        <v>0</v>
      </c>
      <c r="V31" s="61">
        <f t="shared" si="25"/>
        <v>0</v>
      </c>
      <c r="W31" s="61">
        <f t="shared" si="26"/>
        <v>0</v>
      </c>
      <c r="X31" s="61">
        <f t="shared" si="26"/>
        <v>0</v>
      </c>
      <c r="Y31" s="61">
        <f t="shared" si="26"/>
        <v>0</v>
      </c>
      <c r="Z31" s="61">
        <f t="shared" si="26"/>
        <v>0</v>
      </c>
      <c r="AA31" s="61">
        <f t="shared" si="26"/>
        <v>0</v>
      </c>
      <c r="AB31" s="61">
        <f t="shared" si="26"/>
        <v>0</v>
      </c>
      <c r="AC31" s="61">
        <f t="shared" si="26"/>
        <v>0</v>
      </c>
      <c r="AD31" s="61">
        <f t="shared" si="6"/>
        <v>0</v>
      </c>
      <c r="AE31" s="61">
        <f t="shared" si="6"/>
        <v>0</v>
      </c>
      <c r="AF31" s="61">
        <f t="shared" si="8"/>
        <v>0</v>
      </c>
      <c r="AG31" s="61">
        <f t="shared" si="10"/>
        <v>0</v>
      </c>
      <c r="AH31" s="61">
        <f t="shared" si="12"/>
        <v>0</v>
      </c>
      <c r="AI31" s="61">
        <f t="shared" si="14"/>
        <v>0</v>
      </c>
      <c r="AJ31" s="61">
        <f t="shared" si="16"/>
        <v>0</v>
      </c>
      <c r="AK31" s="61">
        <f t="shared" si="17"/>
        <v>0</v>
      </c>
      <c r="AL31" s="61">
        <f t="shared" si="18"/>
        <v>0</v>
      </c>
      <c r="AM31" s="61">
        <f t="shared" si="21"/>
        <v>0</v>
      </c>
      <c r="AN31" s="61">
        <f t="shared" si="22"/>
        <v>0</v>
      </c>
      <c r="AO31" s="61">
        <f t="shared" si="23"/>
        <v>0</v>
      </c>
      <c r="AP31" s="61">
        <f t="shared" si="24"/>
        <v>0</v>
      </c>
      <c r="AQ31" s="61"/>
    </row>
    <row r="32" spans="2:43" x14ac:dyDescent="0.25">
      <c r="B32" s="54">
        <v>0.79166666669334496</v>
      </c>
      <c r="C32" s="54">
        <v>1.1458333334303501</v>
      </c>
      <c r="D32" s="60"/>
      <c r="E32" s="91"/>
      <c r="G32" s="91">
        <f>SUMMARY!AH30</f>
        <v>0</v>
      </c>
      <c r="H32" s="92">
        <f t="shared" si="2"/>
        <v>0</v>
      </c>
      <c r="I32" s="180">
        <f>AK$6-AK$7</f>
        <v>0</v>
      </c>
      <c r="M32" s="61">
        <f t="shared" si="25"/>
        <v>0</v>
      </c>
      <c r="N32" s="61">
        <f t="shared" si="25"/>
        <v>0</v>
      </c>
      <c r="O32" s="61">
        <f t="shared" si="25"/>
        <v>0</v>
      </c>
      <c r="P32" s="61">
        <f t="shared" si="25"/>
        <v>0</v>
      </c>
      <c r="Q32" s="61">
        <f t="shared" si="25"/>
        <v>0</v>
      </c>
      <c r="R32" s="61">
        <f t="shared" si="25"/>
        <v>0</v>
      </c>
      <c r="S32" s="61">
        <f t="shared" si="25"/>
        <v>0</v>
      </c>
      <c r="T32" s="61">
        <f t="shared" si="25"/>
        <v>0</v>
      </c>
      <c r="U32" s="61">
        <f t="shared" si="25"/>
        <v>0</v>
      </c>
      <c r="V32" s="61">
        <f t="shared" si="25"/>
        <v>0</v>
      </c>
      <c r="W32" s="61">
        <f t="shared" si="26"/>
        <v>0</v>
      </c>
      <c r="X32" s="61">
        <f t="shared" si="26"/>
        <v>0</v>
      </c>
      <c r="Y32" s="61">
        <f t="shared" si="26"/>
        <v>0</v>
      </c>
      <c r="Z32" s="61">
        <f t="shared" si="26"/>
        <v>0</v>
      </c>
      <c r="AA32" s="61">
        <f t="shared" si="26"/>
        <v>0</v>
      </c>
      <c r="AB32" s="61">
        <f t="shared" si="26"/>
        <v>0</v>
      </c>
      <c r="AC32" s="61">
        <f t="shared" si="26"/>
        <v>0</v>
      </c>
      <c r="AD32" s="61">
        <f t="shared" si="6"/>
        <v>0</v>
      </c>
      <c r="AE32" s="61">
        <f t="shared" si="6"/>
        <v>0</v>
      </c>
      <c r="AF32" s="61">
        <f t="shared" si="8"/>
        <v>0</v>
      </c>
      <c r="AG32" s="61">
        <f t="shared" si="10"/>
        <v>0</v>
      </c>
      <c r="AH32" s="61">
        <f t="shared" si="12"/>
        <v>0</v>
      </c>
      <c r="AI32" s="61">
        <f t="shared" si="14"/>
        <v>0</v>
      </c>
      <c r="AJ32" s="61">
        <f t="shared" si="16"/>
        <v>0</v>
      </c>
      <c r="AK32" s="61">
        <f t="shared" si="17"/>
        <v>0</v>
      </c>
      <c r="AL32" s="61">
        <f t="shared" si="18"/>
        <v>0</v>
      </c>
      <c r="AM32" s="61">
        <f t="shared" si="21"/>
        <v>0</v>
      </c>
      <c r="AN32" s="61">
        <f t="shared" si="22"/>
        <v>0</v>
      </c>
      <c r="AO32" s="61">
        <f t="shared" si="23"/>
        <v>0</v>
      </c>
      <c r="AP32" s="61">
        <f t="shared" si="24"/>
        <v>0</v>
      </c>
      <c r="AQ32" s="61"/>
    </row>
    <row r="33" spans="2:43" x14ac:dyDescent="0.25">
      <c r="B33" s="54">
        <v>0.81250000002910305</v>
      </c>
      <c r="C33" s="54">
        <v>1.1666666667661101</v>
      </c>
      <c r="D33" s="60"/>
      <c r="E33" s="91"/>
      <c r="G33" s="91">
        <f>SUMMARY!AH31</f>
        <v>0</v>
      </c>
      <c r="H33" s="92">
        <f t="shared" si="2"/>
        <v>0</v>
      </c>
      <c r="I33" s="180">
        <f>AL$6-AL$7</f>
        <v>0</v>
      </c>
      <c r="M33" s="61">
        <f t="shared" si="25"/>
        <v>0</v>
      </c>
      <c r="N33" s="61">
        <f t="shared" si="25"/>
        <v>0</v>
      </c>
      <c r="O33" s="61">
        <f t="shared" si="25"/>
        <v>0</v>
      </c>
      <c r="P33" s="61">
        <f t="shared" si="25"/>
        <v>0</v>
      </c>
      <c r="Q33" s="61">
        <f t="shared" si="25"/>
        <v>0</v>
      </c>
      <c r="R33" s="61">
        <f t="shared" si="25"/>
        <v>0</v>
      </c>
      <c r="S33" s="61">
        <f t="shared" si="25"/>
        <v>0</v>
      </c>
      <c r="T33" s="61">
        <f t="shared" si="25"/>
        <v>0</v>
      </c>
      <c r="U33" s="61">
        <f t="shared" si="25"/>
        <v>0</v>
      </c>
      <c r="V33" s="61">
        <f t="shared" si="25"/>
        <v>0</v>
      </c>
      <c r="W33" s="61">
        <f t="shared" si="26"/>
        <v>0</v>
      </c>
      <c r="X33" s="61">
        <f t="shared" si="26"/>
        <v>0</v>
      </c>
      <c r="Y33" s="61">
        <f t="shared" si="26"/>
        <v>0</v>
      </c>
      <c r="Z33" s="61">
        <f t="shared" si="26"/>
        <v>0</v>
      </c>
      <c r="AA33" s="61">
        <f t="shared" si="26"/>
        <v>0</v>
      </c>
      <c r="AB33" s="61">
        <f t="shared" si="26"/>
        <v>0</v>
      </c>
      <c r="AC33" s="61">
        <f t="shared" si="26"/>
        <v>0</v>
      </c>
      <c r="AD33" s="61">
        <f t="shared" si="6"/>
        <v>0</v>
      </c>
      <c r="AE33" s="61">
        <f t="shared" si="6"/>
        <v>0</v>
      </c>
      <c r="AF33" s="61">
        <f t="shared" si="8"/>
        <v>0</v>
      </c>
      <c r="AG33" s="61">
        <f t="shared" si="10"/>
        <v>0</v>
      </c>
      <c r="AH33" s="61">
        <f t="shared" si="12"/>
        <v>0</v>
      </c>
      <c r="AI33" s="61">
        <f t="shared" si="14"/>
        <v>0</v>
      </c>
      <c r="AJ33" s="61">
        <f t="shared" si="16"/>
        <v>0</v>
      </c>
      <c r="AK33" s="61">
        <f t="shared" si="17"/>
        <v>0</v>
      </c>
      <c r="AL33" s="61">
        <f t="shared" si="18"/>
        <v>0</v>
      </c>
      <c r="AM33" s="61">
        <f t="shared" si="21"/>
        <v>0</v>
      </c>
      <c r="AN33" s="61">
        <f t="shared" si="22"/>
        <v>0</v>
      </c>
      <c r="AO33" s="61">
        <f t="shared" si="23"/>
        <v>0</v>
      </c>
      <c r="AP33" s="61">
        <f t="shared" si="24"/>
        <v>0</v>
      </c>
      <c r="AQ33" s="61"/>
    </row>
    <row r="34" spans="2:43" x14ac:dyDescent="0.25">
      <c r="B34" s="54">
        <v>0.83333333336486204</v>
      </c>
      <c r="C34" s="54">
        <v>1.1875000001018701</v>
      </c>
      <c r="D34" s="60"/>
      <c r="E34" s="91"/>
      <c r="G34" s="91">
        <f>SUMMARY!AH32</f>
        <v>0</v>
      </c>
      <c r="H34" s="92">
        <f t="shared" si="2"/>
        <v>0</v>
      </c>
      <c r="I34" s="180">
        <f>AM$6-AM$7</f>
        <v>0</v>
      </c>
      <c r="M34" s="61">
        <f t="shared" si="25"/>
        <v>0</v>
      </c>
      <c r="N34" s="61">
        <f t="shared" si="25"/>
        <v>0</v>
      </c>
      <c r="O34" s="61">
        <f t="shared" si="25"/>
        <v>0</v>
      </c>
      <c r="P34" s="61">
        <f t="shared" si="25"/>
        <v>0</v>
      </c>
      <c r="Q34" s="61">
        <f t="shared" si="25"/>
        <v>0</v>
      </c>
      <c r="R34" s="61">
        <f t="shared" si="25"/>
        <v>0</v>
      </c>
      <c r="S34" s="61">
        <f t="shared" si="25"/>
        <v>0</v>
      </c>
      <c r="T34" s="61">
        <f t="shared" si="25"/>
        <v>0</v>
      </c>
      <c r="U34" s="61">
        <f t="shared" si="25"/>
        <v>0</v>
      </c>
      <c r="V34" s="61">
        <f t="shared" si="25"/>
        <v>0</v>
      </c>
      <c r="W34" s="61">
        <f t="shared" si="26"/>
        <v>0</v>
      </c>
      <c r="X34" s="61">
        <f t="shared" si="26"/>
        <v>0</v>
      </c>
      <c r="Y34" s="61">
        <f t="shared" si="26"/>
        <v>0</v>
      </c>
      <c r="Z34" s="61">
        <f t="shared" si="26"/>
        <v>0</v>
      </c>
      <c r="AA34" s="61">
        <f t="shared" si="26"/>
        <v>0</v>
      </c>
      <c r="AB34" s="61">
        <f t="shared" si="26"/>
        <v>0</v>
      </c>
      <c r="AC34" s="61">
        <f t="shared" si="26"/>
        <v>0</v>
      </c>
      <c r="AD34" s="61">
        <f t="shared" si="6"/>
        <v>0</v>
      </c>
      <c r="AE34" s="61">
        <f t="shared" si="6"/>
        <v>0</v>
      </c>
      <c r="AF34" s="61">
        <f t="shared" si="8"/>
        <v>0</v>
      </c>
      <c r="AG34" s="61">
        <f t="shared" si="10"/>
        <v>0</v>
      </c>
      <c r="AH34" s="61">
        <f t="shared" si="12"/>
        <v>0</v>
      </c>
      <c r="AI34" s="61">
        <f t="shared" si="14"/>
        <v>0</v>
      </c>
      <c r="AJ34" s="61">
        <f t="shared" si="16"/>
        <v>0</v>
      </c>
      <c r="AK34" s="61">
        <f t="shared" si="17"/>
        <v>0</v>
      </c>
      <c r="AL34" s="61">
        <f t="shared" si="18"/>
        <v>0</v>
      </c>
      <c r="AM34" s="61">
        <f t="shared" si="21"/>
        <v>0</v>
      </c>
      <c r="AN34" s="61">
        <f t="shared" si="22"/>
        <v>0</v>
      </c>
      <c r="AO34" s="61">
        <f t="shared" si="23"/>
        <v>0</v>
      </c>
      <c r="AP34" s="61">
        <f t="shared" si="24"/>
        <v>0</v>
      </c>
      <c r="AQ34" s="61"/>
    </row>
    <row r="35" spans="2:43" x14ac:dyDescent="0.25">
      <c r="B35" s="54">
        <v>0.85416666670062102</v>
      </c>
      <c r="C35" s="54">
        <v>1.2083333334376301</v>
      </c>
      <c r="D35" s="60"/>
      <c r="E35" s="91"/>
      <c r="G35" s="91">
        <f>SUMMARY!AH33</f>
        <v>0</v>
      </c>
      <c r="H35" s="92">
        <f t="shared" si="2"/>
        <v>0</v>
      </c>
      <c r="I35" s="180">
        <f>AN$6-AN$7</f>
        <v>0</v>
      </c>
      <c r="M35" s="61">
        <f t="shared" si="25"/>
        <v>0</v>
      </c>
      <c r="N35" s="61">
        <f t="shared" si="25"/>
        <v>0</v>
      </c>
      <c r="O35" s="61">
        <f t="shared" si="25"/>
        <v>0</v>
      </c>
      <c r="P35" s="61">
        <f t="shared" si="25"/>
        <v>0</v>
      </c>
      <c r="Q35" s="61">
        <f t="shared" si="25"/>
        <v>0</v>
      </c>
      <c r="R35" s="61">
        <f t="shared" si="25"/>
        <v>0</v>
      </c>
      <c r="S35" s="61">
        <f t="shared" si="25"/>
        <v>0</v>
      </c>
      <c r="T35" s="61">
        <f t="shared" si="25"/>
        <v>0</v>
      </c>
      <c r="U35" s="61">
        <f t="shared" si="25"/>
        <v>0</v>
      </c>
      <c r="V35" s="61">
        <f t="shared" si="25"/>
        <v>0</v>
      </c>
      <c r="W35" s="61">
        <f t="shared" si="26"/>
        <v>0</v>
      </c>
      <c r="X35" s="61">
        <f t="shared" si="26"/>
        <v>0</v>
      </c>
      <c r="Y35" s="61">
        <f t="shared" si="26"/>
        <v>0</v>
      </c>
      <c r="Z35" s="61">
        <f t="shared" si="26"/>
        <v>0</v>
      </c>
      <c r="AA35" s="61">
        <f t="shared" si="26"/>
        <v>0</v>
      </c>
      <c r="AB35" s="61">
        <f t="shared" si="26"/>
        <v>0</v>
      </c>
      <c r="AC35" s="61">
        <f t="shared" si="26"/>
        <v>0</v>
      </c>
      <c r="AD35" s="61">
        <f t="shared" si="6"/>
        <v>0</v>
      </c>
      <c r="AE35" s="61">
        <f t="shared" si="6"/>
        <v>0</v>
      </c>
      <c r="AF35" s="61">
        <f t="shared" si="8"/>
        <v>0</v>
      </c>
      <c r="AG35" s="61">
        <f t="shared" si="10"/>
        <v>0</v>
      </c>
      <c r="AH35" s="61">
        <f t="shared" si="12"/>
        <v>0</v>
      </c>
      <c r="AI35" s="61">
        <f t="shared" si="14"/>
        <v>0</v>
      </c>
      <c r="AJ35" s="61">
        <f t="shared" si="16"/>
        <v>0</v>
      </c>
      <c r="AK35" s="61">
        <f t="shared" si="17"/>
        <v>0</v>
      </c>
      <c r="AL35" s="61">
        <f t="shared" si="18"/>
        <v>0</v>
      </c>
      <c r="AM35" s="61">
        <f t="shared" si="21"/>
        <v>0</v>
      </c>
      <c r="AN35" s="61">
        <f t="shared" si="22"/>
        <v>0</v>
      </c>
      <c r="AO35" s="61">
        <f t="shared" si="23"/>
        <v>0</v>
      </c>
      <c r="AP35" s="61">
        <f t="shared" si="24"/>
        <v>0</v>
      </c>
      <c r="AQ35" s="61"/>
    </row>
    <row r="36" spans="2:43" x14ac:dyDescent="0.25">
      <c r="B36" s="54">
        <v>0.87500000003637901</v>
      </c>
      <c r="C36" s="54">
        <v>1.22916666677339</v>
      </c>
      <c r="D36" s="60"/>
      <c r="E36" s="91"/>
      <c r="G36" s="91">
        <f>SUMMARY!AH34</f>
        <v>0</v>
      </c>
      <c r="H36" s="92">
        <f t="shared" si="2"/>
        <v>0</v>
      </c>
      <c r="I36" s="180">
        <f>AO$6-AO$7</f>
        <v>0</v>
      </c>
      <c r="M36" s="61">
        <f t="shared" si="25"/>
        <v>0</v>
      </c>
      <c r="N36" s="61">
        <f t="shared" si="25"/>
        <v>0</v>
      </c>
      <c r="O36" s="61">
        <f t="shared" si="25"/>
        <v>0</v>
      </c>
      <c r="P36" s="61">
        <f t="shared" si="25"/>
        <v>0</v>
      </c>
      <c r="Q36" s="61">
        <f t="shared" si="25"/>
        <v>0</v>
      </c>
      <c r="R36" s="61">
        <f t="shared" si="25"/>
        <v>0</v>
      </c>
      <c r="S36" s="61">
        <f t="shared" si="25"/>
        <v>0</v>
      </c>
      <c r="T36" s="61">
        <f t="shared" si="25"/>
        <v>0</v>
      </c>
      <c r="U36" s="61">
        <f t="shared" si="25"/>
        <v>0</v>
      </c>
      <c r="V36" s="61">
        <f t="shared" si="25"/>
        <v>0</v>
      </c>
      <c r="W36" s="61">
        <f t="shared" si="26"/>
        <v>0</v>
      </c>
      <c r="X36" s="61">
        <f t="shared" si="26"/>
        <v>0</v>
      </c>
      <c r="Y36" s="61">
        <f t="shared" si="26"/>
        <v>0</v>
      </c>
      <c r="Z36" s="61">
        <f t="shared" si="26"/>
        <v>0</v>
      </c>
      <c r="AA36" s="61">
        <f t="shared" si="26"/>
        <v>0</v>
      </c>
      <c r="AB36" s="61">
        <f t="shared" si="26"/>
        <v>0</v>
      </c>
      <c r="AC36" s="61">
        <f t="shared" si="26"/>
        <v>0</v>
      </c>
      <c r="AD36" s="61">
        <f t="shared" si="6"/>
        <v>0</v>
      </c>
      <c r="AE36" s="61">
        <f t="shared" si="6"/>
        <v>0</v>
      </c>
      <c r="AF36" s="61">
        <f t="shared" si="8"/>
        <v>0</v>
      </c>
      <c r="AG36" s="61">
        <f t="shared" si="10"/>
        <v>0</v>
      </c>
      <c r="AH36" s="61">
        <f t="shared" si="12"/>
        <v>0</v>
      </c>
      <c r="AI36" s="61">
        <f t="shared" si="14"/>
        <v>0</v>
      </c>
      <c r="AJ36" s="61">
        <f t="shared" si="16"/>
        <v>0</v>
      </c>
      <c r="AK36" s="61">
        <f t="shared" si="17"/>
        <v>0</v>
      </c>
      <c r="AL36" s="61">
        <f t="shared" si="18"/>
        <v>0</v>
      </c>
      <c r="AM36" s="61">
        <f t="shared" si="21"/>
        <v>0</v>
      </c>
      <c r="AN36" s="61">
        <f t="shared" si="22"/>
        <v>0</v>
      </c>
      <c r="AO36" s="61">
        <f t="shared" si="23"/>
        <v>0</v>
      </c>
      <c r="AP36" s="61">
        <f t="shared" si="24"/>
        <v>0</v>
      </c>
      <c r="AQ36" s="61"/>
    </row>
    <row r="37" spans="2:43" x14ac:dyDescent="0.25">
      <c r="B37" s="54">
        <v>0.895833333372138</v>
      </c>
      <c r="C37" s="54">
        <v>1.25000000010915</v>
      </c>
      <c r="D37" s="60"/>
      <c r="E37" s="91"/>
      <c r="G37" s="91">
        <f>SUMMARY!AH35</f>
        <v>0</v>
      </c>
      <c r="H37" s="92">
        <f t="shared" si="2"/>
        <v>0</v>
      </c>
      <c r="I37" s="180">
        <f>AP$6-AP$7</f>
        <v>0</v>
      </c>
      <c r="M37" s="61">
        <f t="shared" si="25"/>
        <v>0</v>
      </c>
      <c r="N37" s="61">
        <f t="shared" si="25"/>
        <v>0</v>
      </c>
      <c r="O37" s="61">
        <f t="shared" si="25"/>
        <v>0</v>
      </c>
      <c r="P37" s="61">
        <f t="shared" si="25"/>
        <v>0</v>
      </c>
      <c r="Q37" s="61">
        <f t="shared" si="25"/>
        <v>0</v>
      </c>
      <c r="R37" s="61">
        <f t="shared" si="25"/>
        <v>0</v>
      </c>
      <c r="S37" s="61">
        <f t="shared" si="25"/>
        <v>0</v>
      </c>
      <c r="T37" s="61">
        <f t="shared" si="25"/>
        <v>0</v>
      </c>
      <c r="U37" s="61">
        <f t="shared" si="25"/>
        <v>0</v>
      </c>
      <c r="V37" s="61">
        <f t="shared" si="25"/>
        <v>0</v>
      </c>
      <c r="W37" s="61">
        <f t="shared" si="26"/>
        <v>0</v>
      </c>
      <c r="X37" s="61">
        <f t="shared" si="26"/>
        <v>0</v>
      </c>
      <c r="Y37" s="61">
        <f t="shared" si="26"/>
        <v>0</v>
      </c>
      <c r="Z37" s="61">
        <f t="shared" si="26"/>
        <v>0</v>
      </c>
      <c r="AA37" s="61">
        <f t="shared" si="26"/>
        <v>0</v>
      </c>
      <c r="AB37" s="61">
        <f t="shared" si="26"/>
        <v>0</v>
      </c>
      <c r="AC37" s="61">
        <f t="shared" si="26"/>
        <v>0</v>
      </c>
      <c r="AD37" s="61">
        <f t="shared" si="6"/>
        <v>0</v>
      </c>
      <c r="AE37" s="61">
        <f t="shared" si="6"/>
        <v>0</v>
      </c>
      <c r="AF37" s="61">
        <f t="shared" si="8"/>
        <v>0</v>
      </c>
      <c r="AG37" s="61">
        <f t="shared" si="10"/>
        <v>0</v>
      </c>
      <c r="AH37" s="61">
        <f t="shared" si="12"/>
        <v>0</v>
      </c>
      <c r="AI37" s="61">
        <f t="shared" si="14"/>
        <v>0</v>
      </c>
      <c r="AJ37" s="61">
        <f t="shared" si="16"/>
        <v>0</v>
      </c>
      <c r="AK37" s="61">
        <f t="shared" si="17"/>
        <v>0</v>
      </c>
      <c r="AL37" s="61">
        <f t="shared" si="18"/>
        <v>0</v>
      </c>
      <c r="AM37" s="61">
        <f t="shared" si="21"/>
        <v>0</v>
      </c>
      <c r="AN37" s="61">
        <f t="shared" si="22"/>
        <v>0</v>
      </c>
      <c r="AO37" s="61">
        <f t="shared" si="23"/>
        <v>0</v>
      </c>
      <c r="AP37" s="61">
        <f t="shared" si="24"/>
        <v>0</v>
      </c>
      <c r="AQ37" s="61"/>
    </row>
    <row r="38" spans="2:43" x14ac:dyDescent="0.25">
      <c r="E38" s="91"/>
      <c r="G38" s="91"/>
      <c r="I38" s="180"/>
    </row>
    <row r="39" spans="2:43" x14ac:dyDescent="0.25">
      <c r="B39" s="52"/>
      <c r="C39" s="52"/>
    </row>
    <row r="40" spans="2:43" x14ac:dyDescent="0.25">
      <c r="B40" s="52"/>
      <c r="C40" s="52"/>
      <c r="M40" s="180">
        <f t="shared" ref="M40:AP40" si="27">M$6-M$7</f>
        <v>0</v>
      </c>
      <c r="N40" s="180">
        <f t="shared" si="27"/>
        <v>0</v>
      </c>
      <c r="O40" s="180">
        <f t="shared" si="27"/>
        <v>0</v>
      </c>
      <c r="P40" s="180">
        <f t="shared" si="27"/>
        <v>0</v>
      </c>
      <c r="Q40" s="180">
        <f t="shared" si="27"/>
        <v>0</v>
      </c>
      <c r="R40" s="180">
        <f t="shared" si="27"/>
        <v>0</v>
      </c>
      <c r="S40" s="180">
        <f t="shared" si="27"/>
        <v>0</v>
      </c>
      <c r="T40" s="180">
        <f t="shared" si="27"/>
        <v>0</v>
      </c>
      <c r="U40" s="180">
        <f t="shared" si="27"/>
        <v>0</v>
      </c>
      <c r="V40" s="180">
        <f t="shared" si="27"/>
        <v>0</v>
      </c>
      <c r="W40" s="180">
        <f t="shared" si="27"/>
        <v>0</v>
      </c>
      <c r="X40" s="180">
        <f t="shared" si="27"/>
        <v>0</v>
      </c>
      <c r="Y40" s="180">
        <f t="shared" si="27"/>
        <v>0</v>
      </c>
      <c r="Z40" s="180">
        <f t="shared" si="27"/>
        <v>0</v>
      </c>
      <c r="AA40" s="180">
        <f t="shared" si="27"/>
        <v>0</v>
      </c>
      <c r="AB40" s="180">
        <f t="shared" si="27"/>
        <v>0</v>
      </c>
      <c r="AC40" s="180">
        <f t="shared" si="27"/>
        <v>0</v>
      </c>
      <c r="AD40" s="180">
        <f t="shared" si="27"/>
        <v>0</v>
      </c>
      <c r="AE40" s="180">
        <f t="shared" si="27"/>
        <v>0</v>
      </c>
      <c r="AF40" s="180">
        <f t="shared" si="27"/>
        <v>0</v>
      </c>
      <c r="AG40" s="180">
        <f t="shared" si="27"/>
        <v>0</v>
      </c>
      <c r="AH40" s="180">
        <f t="shared" si="27"/>
        <v>0</v>
      </c>
      <c r="AI40" s="180">
        <f t="shared" si="27"/>
        <v>0</v>
      </c>
      <c r="AJ40" s="180">
        <f t="shared" si="27"/>
        <v>0</v>
      </c>
      <c r="AK40" s="180">
        <f t="shared" si="27"/>
        <v>0</v>
      </c>
      <c r="AL40" s="180">
        <f t="shared" si="27"/>
        <v>0</v>
      </c>
      <c r="AM40" s="180">
        <f t="shared" si="27"/>
        <v>0</v>
      </c>
      <c r="AN40" s="180">
        <f t="shared" si="27"/>
        <v>0</v>
      </c>
      <c r="AO40" s="180">
        <f t="shared" si="27"/>
        <v>0</v>
      </c>
      <c r="AP40" s="180">
        <f t="shared" si="27"/>
        <v>0</v>
      </c>
    </row>
    <row r="41" spans="2:43" x14ac:dyDescent="0.25">
      <c r="B41" s="52"/>
      <c r="C41" s="52"/>
    </row>
    <row r="42" spans="2:43" x14ac:dyDescent="0.25">
      <c r="B42" s="52"/>
      <c r="C42" s="52"/>
    </row>
    <row r="43" spans="2:43" x14ac:dyDescent="0.25">
      <c r="B43" s="52"/>
      <c r="C43" s="52"/>
    </row>
    <row r="44" spans="2:43" x14ac:dyDescent="0.25">
      <c r="B44" s="52"/>
      <c r="C44" s="52"/>
    </row>
    <row r="45" spans="2:43" x14ac:dyDescent="0.25">
      <c r="B45" s="52"/>
      <c r="C45" s="52"/>
    </row>
    <row r="46" spans="2:43" s="52" customFormat="1" x14ac:dyDescent="0.25">
      <c r="E46" s="53"/>
      <c r="F46" s="53"/>
      <c r="G46" s="53"/>
      <c r="H46" s="53"/>
      <c r="I46" s="53"/>
      <c r="J46" s="53"/>
      <c r="K46" s="58" t="s">
        <v>32</v>
      </c>
      <c r="L46" s="53"/>
      <c r="M46" s="84">
        <f>G51</f>
        <v>0</v>
      </c>
      <c r="N46" s="84">
        <f>M46+G52</f>
        <v>0</v>
      </c>
      <c r="O46" s="84">
        <f>N46+G53</f>
        <v>0</v>
      </c>
      <c r="P46" s="84">
        <f>+O46+G54</f>
        <v>0</v>
      </c>
      <c r="Q46" s="84">
        <f>P46+G55</f>
        <v>0</v>
      </c>
      <c r="R46" s="84">
        <f>Q46+G56</f>
        <v>0</v>
      </c>
      <c r="S46" s="84">
        <f>R46+G57</f>
        <v>0</v>
      </c>
      <c r="T46" s="84">
        <f>S46+G58</f>
        <v>0</v>
      </c>
      <c r="U46" s="84">
        <f>T46+G59-G51</f>
        <v>0</v>
      </c>
      <c r="V46" s="84">
        <f>U46+G60-G52</f>
        <v>0</v>
      </c>
      <c r="W46" s="84">
        <f>V46+G61-G53</f>
        <v>0</v>
      </c>
      <c r="X46" s="84">
        <f>W46+G62-G54</f>
        <v>0</v>
      </c>
      <c r="Y46" s="84">
        <f>X46+G63-G55</f>
        <v>0</v>
      </c>
      <c r="Z46" s="84">
        <f>Y46+G64-G56</f>
        <v>0</v>
      </c>
      <c r="AA46" s="84">
        <f>Z46+G65-G57</f>
        <v>0</v>
      </c>
      <c r="AB46" s="84">
        <f>AA46+G66-G58</f>
        <v>0</v>
      </c>
      <c r="AC46" s="84">
        <f>AB46+G67-G59</f>
        <v>0</v>
      </c>
      <c r="AD46" s="84">
        <f>AC46+G68-G60</f>
        <v>0</v>
      </c>
      <c r="AE46" s="84">
        <f>AD46+G69-G61</f>
        <v>0</v>
      </c>
      <c r="AF46" s="84">
        <f>AE46+G70-G62</f>
        <v>0</v>
      </c>
      <c r="AG46" s="84">
        <f>AF46+G71-G63</f>
        <v>0</v>
      </c>
      <c r="AH46" s="84">
        <f>AG46+G72-G64</f>
        <v>0</v>
      </c>
      <c r="AI46" s="84">
        <f>AH46+G73-G65</f>
        <v>0</v>
      </c>
      <c r="AJ46" s="84">
        <f>AI46+G74-G66</f>
        <v>0</v>
      </c>
      <c r="AK46" s="84">
        <f>AJ46+G75-G67</f>
        <v>0</v>
      </c>
      <c r="AL46" s="84">
        <f>AK46+G76-G68</f>
        <v>0</v>
      </c>
      <c r="AM46" s="84">
        <f>AL46+G77-G69</f>
        <v>0</v>
      </c>
      <c r="AN46" s="84">
        <f>AM46+G78-G70</f>
        <v>0</v>
      </c>
      <c r="AO46" s="84">
        <f>AN46+G79-G71</f>
        <v>0</v>
      </c>
      <c r="AP46" s="84">
        <f>AO46+G80-G72</f>
        <v>0</v>
      </c>
      <c r="AQ46" s="84">
        <f>SUM(M46:AP46)/8.5</f>
        <v>0</v>
      </c>
    </row>
    <row r="47" spans="2:43" x14ac:dyDescent="0.25">
      <c r="J47" s="57"/>
      <c r="K47" s="58" t="s">
        <v>31</v>
      </c>
      <c r="M47" s="84">
        <f>F51</f>
        <v>0</v>
      </c>
      <c r="N47" s="84">
        <f>M47+F52</f>
        <v>0</v>
      </c>
      <c r="O47" s="84">
        <f>N47+F53</f>
        <v>0</v>
      </c>
      <c r="P47" s="84">
        <f>O47+F54</f>
        <v>0</v>
      </c>
      <c r="Q47" s="84">
        <f>P47+F55</f>
        <v>0</v>
      </c>
      <c r="R47" s="84">
        <f>Q47+F56</f>
        <v>0</v>
      </c>
      <c r="S47" s="84">
        <f>R47+F57</f>
        <v>0</v>
      </c>
      <c r="T47" s="84">
        <f>S47+F58</f>
        <v>0</v>
      </c>
      <c r="U47" s="84">
        <f>T47+F59</f>
        <v>0</v>
      </c>
      <c r="V47" s="84">
        <f>U47</f>
        <v>0</v>
      </c>
      <c r="W47" s="84">
        <f>V47</f>
        <v>0</v>
      </c>
      <c r="X47" s="84">
        <f>W47</f>
        <v>0</v>
      </c>
      <c r="Y47" s="96"/>
      <c r="Z47" s="96"/>
      <c r="AA47" s="96"/>
      <c r="AB47" s="96"/>
      <c r="AC47" s="84">
        <f t="shared" ref="AC47:AN47" si="28">M47</f>
        <v>0</v>
      </c>
      <c r="AD47" s="84">
        <f t="shared" si="28"/>
        <v>0</v>
      </c>
      <c r="AE47" s="84">
        <f t="shared" si="28"/>
        <v>0</v>
      </c>
      <c r="AF47" s="84">
        <f t="shared" si="28"/>
        <v>0</v>
      </c>
      <c r="AG47" s="84">
        <f t="shared" si="28"/>
        <v>0</v>
      </c>
      <c r="AH47" s="84">
        <f t="shared" si="28"/>
        <v>0</v>
      </c>
      <c r="AI47" s="84">
        <f t="shared" si="28"/>
        <v>0</v>
      </c>
      <c r="AJ47" s="84">
        <f t="shared" si="28"/>
        <v>0</v>
      </c>
      <c r="AK47" s="84">
        <f t="shared" si="28"/>
        <v>0</v>
      </c>
      <c r="AL47" s="84">
        <f t="shared" si="28"/>
        <v>0</v>
      </c>
      <c r="AM47" s="84">
        <f t="shared" si="28"/>
        <v>0</v>
      </c>
      <c r="AN47" s="84">
        <f t="shared" si="28"/>
        <v>0</v>
      </c>
      <c r="AO47" s="84"/>
      <c r="AP47" s="84"/>
      <c r="AQ47" s="182"/>
    </row>
    <row r="48" spans="2:43" s="57" customFormat="1" ht="17.25" customHeight="1" x14ac:dyDescent="0.25">
      <c r="K48" s="58" t="s">
        <v>13</v>
      </c>
      <c r="M48" s="84"/>
      <c r="N48" s="84"/>
      <c r="O48" s="84"/>
      <c r="P48" s="84"/>
      <c r="Q48" s="84"/>
      <c r="R48" s="84"/>
      <c r="S48" s="84"/>
      <c r="T48" s="84"/>
      <c r="U48" s="84">
        <f>M47</f>
        <v>0</v>
      </c>
      <c r="V48" s="84">
        <f>N47</f>
        <v>0</v>
      </c>
      <c r="W48" s="84">
        <f>O47</f>
        <v>0</v>
      </c>
      <c r="X48" s="84">
        <f>P47</f>
        <v>0</v>
      </c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>
        <f>AC47</f>
        <v>0</v>
      </c>
      <c r="AL48" s="84">
        <f>AD47</f>
        <v>0</v>
      </c>
      <c r="AM48" s="84">
        <f>AE47</f>
        <v>0</v>
      </c>
      <c r="AN48" s="84">
        <f>AF47</f>
        <v>0</v>
      </c>
      <c r="AO48" s="84"/>
      <c r="AP48" s="85"/>
      <c r="AQ48" s="86"/>
    </row>
    <row r="49" spans="2:43" s="57" customFormat="1" ht="17.25" customHeight="1" x14ac:dyDescent="0.25">
      <c r="B49" s="57" t="s">
        <v>17</v>
      </c>
      <c r="E49" s="59" t="s">
        <v>8</v>
      </c>
      <c r="F49" s="59" t="s">
        <v>15</v>
      </c>
      <c r="G49" s="59" t="s">
        <v>32</v>
      </c>
      <c r="H49" s="59" t="s">
        <v>16</v>
      </c>
      <c r="J49" s="58" t="s">
        <v>9</v>
      </c>
      <c r="K49" s="58">
        <f>SUM(M49:AP49)/16</f>
        <v>0</v>
      </c>
      <c r="M49" s="87">
        <f t="shared" ref="M49:AP49" si="29">SUM(M51:M80)+M47+M46-M48</f>
        <v>0</v>
      </c>
      <c r="N49" s="87">
        <f t="shared" si="29"/>
        <v>0</v>
      </c>
      <c r="O49" s="87">
        <f t="shared" si="29"/>
        <v>0</v>
      </c>
      <c r="P49" s="87">
        <f t="shared" si="29"/>
        <v>0</v>
      </c>
      <c r="Q49" s="87">
        <f t="shared" si="29"/>
        <v>0</v>
      </c>
      <c r="R49" s="87">
        <f t="shared" si="29"/>
        <v>0</v>
      </c>
      <c r="S49" s="87">
        <f t="shared" si="29"/>
        <v>0</v>
      </c>
      <c r="T49" s="87">
        <f t="shared" si="29"/>
        <v>0</v>
      </c>
      <c r="U49" s="87">
        <f t="shared" si="29"/>
        <v>0</v>
      </c>
      <c r="V49" s="87">
        <f t="shared" si="29"/>
        <v>0</v>
      </c>
      <c r="W49" s="87">
        <f t="shared" si="29"/>
        <v>0</v>
      </c>
      <c r="X49" s="87">
        <f t="shared" si="29"/>
        <v>0</v>
      </c>
      <c r="Y49" s="87">
        <f t="shared" si="29"/>
        <v>0</v>
      </c>
      <c r="Z49" s="87">
        <f t="shared" si="29"/>
        <v>0</v>
      </c>
      <c r="AA49" s="87">
        <f t="shared" si="29"/>
        <v>0</v>
      </c>
      <c r="AB49" s="87">
        <f t="shared" si="29"/>
        <v>0</v>
      </c>
      <c r="AC49" s="87">
        <f t="shared" si="29"/>
        <v>0</v>
      </c>
      <c r="AD49" s="87">
        <f t="shared" si="29"/>
        <v>0</v>
      </c>
      <c r="AE49" s="87">
        <f t="shared" si="29"/>
        <v>0</v>
      </c>
      <c r="AF49" s="87">
        <f t="shared" si="29"/>
        <v>0</v>
      </c>
      <c r="AG49" s="87">
        <f t="shared" si="29"/>
        <v>0</v>
      </c>
      <c r="AH49" s="87">
        <f t="shared" si="29"/>
        <v>0</v>
      </c>
      <c r="AI49" s="87">
        <f t="shared" si="29"/>
        <v>0</v>
      </c>
      <c r="AJ49" s="87">
        <f t="shared" si="29"/>
        <v>0</v>
      </c>
      <c r="AK49" s="87">
        <f t="shared" si="29"/>
        <v>0</v>
      </c>
      <c r="AL49" s="87">
        <f t="shared" si="29"/>
        <v>0</v>
      </c>
      <c r="AM49" s="87">
        <f t="shared" si="29"/>
        <v>0</v>
      </c>
      <c r="AN49" s="87">
        <f t="shared" si="29"/>
        <v>0</v>
      </c>
      <c r="AO49" s="87">
        <f t="shared" si="29"/>
        <v>0</v>
      </c>
      <c r="AP49" s="87">
        <f t="shared" si="29"/>
        <v>0</v>
      </c>
      <c r="AQ49" s="87"/>
    </row>
    <row r="50" spans="2:43" s="88" customFormat="1" x14ac:dyDescent="0.25">
      <c r="E50" s="178">
        <f>SUM(E51:E80)</f>
        <v>0</v>
      </c>
      <c r="F50" s="178">
        <f>SUM(F51:F80)</f>
        <v>0</v>
      </c>
      <c r="G50" s="178">
        <f>SUM(G51:G80)</f>
        <v>0</v>
      </c>
      <c r="H50" s="178">
        <f>SUM(H51:H80)</f>
        <v>0</v>
      </c>
      <c r="I50" s="89"/>
      <c r="J50" s="89"/>
      <c r="K50" s="58" t="s">
        <v>7</v>
      </c>
      <c r="L50" s="89"/>
      <c r="M50" s="180">
        <f>SUMMARY!$F$6</f>
        <v>0</v>
      </c>
      <c r="N50" s="180">
        <f>SUMMARY!$F$7</f>
        <v>0</v>
      </c>
      <c r="O50" s="180">
        <f>SUMMARY!$F$8</f>
        <v>0</v>
      </c>
      <c r="P50" s="180">
        <f>SUMMARY!$F$9</f>
        <v>0</v>
      </c>
      <c r="Q50" s="180">
        <f>SUMMARY!$F$10</f>
        <v>0</v>
      </c>
      <c r="R50" s="180">
        <f>SUMMARY!$F$11</f>
        <v>0</v>
      </c>
      <c r="S50" s="180">
        <f>SUMMARY!$F$12</f>
        <v>0</v>
      </c>
      <c r="T50" s="180">
        <f>SUMMARY!$F$13</f>
        <v>0</v>
      </c>
      <c r="U50" s="180">
        <f>SUMMARY!$F$14</f>
        <v>0</v>
      </c>
      <c r="V50" s="180">
        <f>SUMMARY!$F$15</f>
        <v>0</v>
      </c>
      <c r="W50" s="180">
        <f>SUMMARY!$F$16</f>
        <v>0</v>
      </c>
      <c r="X50" s="180">
        <f>SUMMARY!$F$17</f>
        <v>0</v>
      </c>
      <c r="Y50" s="180">
        <f>SUMMARY!$F$18</f>
        <v>0</v>
      </c>
      <c r="Z50" s="180">
        <f>SUMMARY!$F$19</f>
        <v>0</v>
      </c>
      <c r="AA50" s="180">
        <f>SUMMARY!$F$20</f>
        <v>0</v>
      </c>
      <c r="AB50" s="180">
        <f>SUMMARY!$F$21</f>
        <v>0</v>
      </c>
      <c r="AC50" s="180">
        <f>SUMMARY!$F$22</f>
        <v>0</v>
      </c>
      <c r="AD50" s="180">
        <f>SUMMARY!$F$23</f>
        <v>0</v>
      </c>
      <c r="AE50" s="180">
        <f>SUMMARY!$F$24</f>
        <v>0</v>
      </c>
      <c r="AF50" s="180">
        <f>SUMMARY!$F$25</f>
        <v>0</v>
      </c>
      <c r="AG50" s="180">
        <f>SUMMARY!$F$26</f>
        <v>0</v>
      </c>
      <c r="AH50" s="180">
        <f>SUMMARY!$F$27</f>
        <v>0</v>
      </c>
      <c r="AI50" s="180">
        <f>SUMMARY!$F$28</f>
        <v>0</v>
      </c>
      <c r="AJ50" s="180">
        <f>SUMMARY!$F$29</f>
        <v>0</v>
      </c>
      <c r="AK50" s="180">
        <f>SUMMARY!$F$30</f>
        <v>0</v>
      </c>
      <c r="AL50" s="180">
        <f>SUMMARY!$F$31</f>
        <v>0</v>
      </c>
      <c r="AM50" s="180">
        <f>SUMMARY!$F$32</f>
        <v>0</v>
      </c>
      <c r="AN50" s="180">
        <f>SUMMARY!$F$33</f>
        <v>0</v>
      </c>
      <c r="AO50" s="180">
        <f>SUMMARY!$F$34</f>
        <v>0</v>
      </c>
      <c r="AP50" s="180">
        <f>SUMMARY!$F$35</f>
        <v>0</v>
      </c>
      <c r="AQ50" s="180">
        <f>NCC!$O$36</f>
        <v>0</v>
      </c>
    </row>
    <row r="51" spans="2:43" x14ac:dyDescent="0.25">
      <c r="B51" s="54">
        <v>0.29166666666424135</v>
      </c>
      <c r="C51" s="54">
        <v>0.645833333372138</v>
      </c>
      <c r="D51" s="60"/>
      <c r="E51" s="91">
        <f>SUMMARY!X6</f>
        <v>0</v>
      </c>
      <c r="F51" s="91">
        <f>SUMMARY!AP6</f>
        <v>0</v>
      </c>
      <c r="G51" s="91">
        <f>SUMMARY!AI6</f>
        <v>0</v>
      </c>
      <c r="H51" s="92">
        <f t="shared" ref="H51:H80" si="30">SUM(E51:G51)</f>
        <v>0</v>
      </c>
      <c r="I51" s="180">
        <f>M$49-M$50</f>
        <v>0</v>
      </c>
      <c r="M51" s="61">
        <f t="shared" ref="M51:V52" si="31">IF(AND(M$2&gt;=$B51,M$2&lt;$C51),$E51,0)</f>
        <v>0</v>
      </c>
      <c r="N51" s="61">
        <f t="shared" si="31"/>
        <v>0</v>
      </c>
      <c r="O51" s="61">
        <f t="shared" si="31"/>
        <v>0</v>
      </c>
      <c r="P51" s="61">
        <f t="shared" si="31"/>
        <v>0</v>
      </c>
      <c r="Q51" s="61">
        <f t="shared" si="31"/>
        <v>0</v>
      </c>
      <c r="R51" s="61">
        <f t="shared" si="31"/>
        <v>0</v>
      </c>
      <c r="S51" s="61">
        <f t="shared" si="31"/>
        <v>0</v>
      </c>
      <c r="T51" s="61">
        <f t="shared" si="31"/>
        <v>0</v>
      </c>
      <c r="U51" s="61">
        <f t="shared" si="31"/>
        <v>0</v>
      </c>
      <c r="V51" s="61">
        <f t="shared" si="31"/>
        <v>0</v>
      </c>
      <c r="W51" s="61">
        <f t="shared" ref="W51:AF52" si="32">IF(AND(W$2&gt;=$B51,W$2&lt;$C51),$E51,0)</f>
        <v>0</v>
      </c>
      <c r="X51" s="61">
        <f t="shared" si="32"/>
        <v>0</v>
      </c>
      <c r="Y51" s="61">
        <f t="shared" si="32"/>
        <v>0</v>
      </c>
      <c r="Z51" s="61">
        <f t="shared" si="32"/>
        <v>0</v>
      </c>
      <c r="AA51" s="61">
        <f t="shared" si="32"/>
        <v>0</v>
      </c>
      <c r="AB51" s="61">
        <f t="shared" si="32"/>
        <v>0</v>
      </c>
      <c r="AC51" s="61">
        <f t="shared" si="32"/>
        <v>0</v>
      </c>
      <c r="AD51" s="61">
        <f t="shared" si="32"/>
        <v>0</v>
      </c>
      <c r="AE51" s="61">
        <f t="shared" si="32"/>
        <v>0</v>
      </c>
      <c r="AF51" s="61">
        <f t="shared" si="32"/>
        <v>0</v>
      </c>
      <c r="AG51" s="61">
        <f t="shared" ref="AG51:AP52" si="33">IF(AND(AG$2&gt;=$B51,AG$2&lt;$C51),$E51,0)</f>
        <v>0</v>
      </c>
      <c r="AH51" s="61">
        <f t="shared" si="33"/>
        <v>0</v>
      </c>
      <c r="AI51" s="61">
        <f t="shared" si="33"/>
        <v>0</v>
      </c>
      <c r="AJ51" s="61">
        <f t="shared" si="33"/>
        <v>0</v>
      </c>
      <c r="AK51" s="61">
        <f t="shared" si="33"/>
        <v>0</v>
      </c>
      <c r="AL51" s="61">
        <f t="shared" si="33"/>
        <v>0</v>
      </c>
      <c r="AM51" s="61">
        <f t="shared" si="33"/>
        <v>0</v>
      </c>
      <c r="AN51" s="61">
        <f t="shared" si="33"/>
        <v>0</v>
      </c>
      <c r="AO51" s="61">
        <f t="shared" si="33"/>
        <v>0</v>
      </c>
      <c r="AP51" s="61">
        <f t="shared" si="33"/>
        <v>0</v>
      </c>
      <c r="AQ51" s="61"/>
    </row>
    <row r="52" spans="2:43" x14ac:dyDescent="0.25">
      <c r="B52" s="54">
        <v>0.3125</v>
      </c>
      <c r="C52" s="54">
        <v>0.66666666670789698</v>
      </c>
      <c r="D52" s="60"/>
      <c r="E52" s="91">
        <f>SUMMARY!X7</f>
        <v>0</v>
      </c>
      <c r="F52" s="91">
        <f>SUMMARY!AP7</f>
        <v>0</v>
      </c>
      <c r="G52" s="91">
        <f>SUMMARY!AI7</f>
        <v>0</v>
      </c>
      <c r="H52" s="92">
        <f t="shared" si="30"/>
        <v>0</v>
      </c>
      <c r="I52" s="180">
        <f>N$49-N$50</f>
        <v>0</v>
      </c>
      <c r="M52" s="61">
        <f t="shared" si="31"/>
        <v>0</v>
      </c>
      <c r="N52" s="61">
        <f t="shared" si="31"/>
        <v>0</v>
      </c>
      <c r="O52" s="61">
        <f t="shared" si="31"/>
        <v>0</v>
      </c>
      <c r="P52" s="61">
        <f t="shared" si="31"/>
        <v>0</v>
      </c>
      <c r="Q52" s="61">
        <f t="shared" si="31"/>
        <v>0</v>
      </c>
      <c r="R52" s="61">
        <f t="shared" si="31"/>
        <v>0</v>
      </c>
      <c r="S52" s="61">
        <f t="shared" si="31"/>
        <v>0</v>
      </c>
      <c r="T52" s="61">
        <f t="shared" si="31"/>
        <v>0</v>
      </c>
      <c r="U52" s="61">
        <f t="shared" si="31"/>
        <v>0</v>
      </c>
      <c r="V52" s="61">
        <f t="shared" si="31"/>
        <v>0</v>
      </c>
      <c r="W52" s="61">
        <f t="shared" si="32"/>
        <v>0</v>
      </c>
      <c r="X52" s="61">
        <f t="shared" si="32"/>
        <v>0</v>
      </c>
      <c r="Y52" s="61">
        <f t="shared" si="32"/>
        <v>0</v>
      </c>
      <c r="Z52" s="61">
        <f t="shared" si="32"/>
        <v>0</v>
      </c>
      <c r="AA52" s="61">
        <f t="shared" si="32"/>
        <v>0</v>
      </c>
      <c r="AB52" s="61">
        <f t="shared" si="32"/>
        <v>0</v>
      </c>
      <c r="AC52" s="61">
        <f t="shared" si="32"/>
        <v>0</v>
      </c>
      <c r="AD52" s="61">
        <f t="shared" si="32"/>
        <v>0</v>
      </c>
      <c r="AE52" s="61">
        <f t="shared" si="32"/>
        <v>0</v>
      </c>
      <c r="AF52" s="61">
        <f t="shared" si="32"/>
        <v>0</v>
      </c>
      <c r="AG52" s="61">
        <f t="shared" si="33"/>
        <v>0</v>
      </c>
      <c r="AH52" s="61">
        <f t="shared" si="33"/>
        <v>0</v>
      </c>
      <c r="AI52" s="61">
        <f t="shared" si="33"/>
        <v>0</v>
      </c>
      <c r="AJ52" s="61">
        <f t="shared" si="33"/>
        <v>0</v>
      </c>
      <c r="AK52" s="61">
        <f t="shared" si="33"/>
        <v>0</v>
      </c>
      <c r="AL52" s="61">
        <f t="shared" si="33"/>
        <v>0</v>
      </c>
      <c r="AM52" s="61">
        <f t="shared" si="33"/>
        <v>0</v>
      </c>
      <c r="AN52" s="61">
        <f t="shared" si="33"/>
        <v>0</v>
      </c>
      <c r="AO52" s="61">
        <f t="shared" si="33"/>
        <v>0</v>
      </c>
      <c r="AP52" s="61">
        <f t="shared" si="33"/>
        <v>0</v>
      </c>
      <c r="AQ52" s="61"/>
    </row>
    <row r="53" spans="2:43" x14ac:dyDescent="0.25">
      <c r="B53" s="54">
        <v>0.33333333333575865</v>
      </c>
      <c r="C53" s="54">
        <v>0.68750000004365597</v>
      </c>
      <c r="D53" s="60"/>
      <c r="E53" s="91">
        <f>SUMMARY!X8</f>
        <v>0</v>
      </c>
      <c r="F53" s="91">
        <f>SUMMARY!AP8</f>
        <v>0</v>
      </c>
      <c r="G53" s="91">
        <f>SUMMARY!AI8</f>
        <v>0</v>
      </c>
      <c r="H53" s="92">
        <f t="shared" si="30"/>
        <v>0</v>
      </c>
      <c r="I53" s="180">
        <f>O$49-O$50</f>
        <v>0</v>
      </c>
      <c r="M53" s="61">
        <f t="shared" ref="M53:V62" si="34">IF(AND(M$2&gt;=$B53,M$2&lt;$C53),$E53,0)</f>
        <v>0</v>
      </c>
      <c r="N53" s="61">
        <f t="shared" si="34"/>
        <v>0</v>
      </c>
      <c r="O53" s="61">
        <f t="shared" si="34"/>
        <v>0</v>
      </c>
      <c r="P53" s="61">
        <f t="shared" si="34"/>
        <v>0</v>
      </c>
      <c r="Q53" s="61">
        <f t="shared" si="34"/>
        <v>0</v>
      </c>
      <c r="R53" s="61">
        <f t="shared" si="34"/>
        <v>0</v>
      </c>
      <c r="S53" s="61">
        <f t="shared" si="34"/>
        <v>0</v>
      </c>
      <c r="T53" s="61">
        <f t="shared" si="34"/>
        <v>0</v>
      </c>
      <c r="U53" s="61">
        <f t="shared" si="34"/>
        <v>0</v>
      </c>
      <c r="V53" s="61">
        <f t="shared" si="34"/>
        <v>0</v>
      </c>
      <c r="W53" s="61">
        <f t="shared" ref="W53:AE62" si="35">IF(AND(W$2&gt;=$B53,W$2&lt;$C53),$E53,0)</f>
        <v>0</v>
      </c>
      <c r="X53" s="61">
        <f t="shared" si="35"/>
        <v>0</v>
      </c>
      <c r="Y53" s="61">
        <f t="shared" si="35"/>
        <v>0</v>
      </c>
      <c r="Z53" s="61">
        <f t="shared" si="35"/>
        <v>0</v>
      </c>
      <c r="AA53" s="61">
        <f t="shared" si="35"/>
        <v>0</v>
      </c>
      <c r="AB53" s="61">
        <f t="shared" si="35"/>
        <v>0</v>
      </c>
      <c r="AC53" s="61">
        <f t="shared" si="35"/>
        <v>0</v>
      </c>
      <c r="AD53" s="61">
        <f t="shared" si="35"/>
        <v>0</v>
      </c>
      <c r="AE53" s="61">
        <f t="shared" si="35"/>
        <v>0</v>
      </c>
      <c r="AF53" s="61"/>
      <c r="AG53" s="61">
        <f t="shared" ref="AG53:AP53" si="36">IF(AND(AG$2&gt;=$B53,AG$2&lt;$C53),$E53,0)</f>
        <v>0</v>
      </c>
      <c r="AH53" s="61">
        <f t="shared" si="36"/>
        <v>0</v>
      </c>
      <c r="AI53" s="61">
        <f t="shared" si="36"/>
        <v>0</v>
      </c>
      <c r="AJ53" s="61">
        <f t="shared" si="36"/>
        <v>0</v>
      </c>
      <c r="AK53" s="61">
        <f t="shared" si="36"/>
        <v>0</v>
      </c>
      <c r="AL53" s="61">
        <f t="shared" si="36"/>
        <v>0</v>
      </c>
      <c r="AM53" s="61">
        <f t="shared" si="36"/>
        <v>0</v>
      </c>
      <c r="AN53" s="61">
        <f t="shared" si="36"/>
        <v>0</v>
      </c>
      <c r="AO53" s="61">
        <f t="shared" si="36"/>
        <v>0</v>
      </c>
      <c r="AP53" s="61">
        <f t="shared" si="36"/>
        <v>0</v>
      </c>
      <c r="AQ53" s="61"/>
    </row>
    <row r="54" spans="2:43" x14ac:dyDescent="0.25">
      <c r="B54" s="54">
        <v>0.35416666666424135</v>
      </c>
      <c r="C54" s="54">
        <v>0.70833333337941495</v>
      </c>
      <c r="D54" s="60"/>
      <c r="E54" s="91">
        <f>SUMMARY!X9</f>
        <v>0</v>
      </c>
      <c r="F54" s="91">
        <f>SUMMARY!AP9</f>
        <v>0</v>
      </c>
      <c r="G54" s="91">
        <f>SUMMARY!AI9</f>
        <v>0</v>
      </c>
      <c r="H54" s="92">
        <f t="shared" si="30"/>
        <v>0</v>
      </c>
      <c r="I54" s="180">
        <f>P$49-P$50</f>
        <v>0</v>
      </c>
      <c r="M54" s="61">
        <f t="shared" si="34"/>
        <v>0</v>
      </c>
      <c r="N54" s="61">
        <f t="shared" si="34"/>
        <v>0</v>
      </c>
      <c r="O54" s="61">
        <f t="shared" si="34"/>
        <v>0</v>
      </c>
      <c r="P54" s="61">
        <f t="shared" si="34"/>
        <v>0</v>
      </c>
      <c r="Q54" s="61">
        <f t="shared" si="34"/>
        <v>0</v>
      </c>
      <c r="R54" s="61">
        <f t="shared" si="34"/>
        <v>0</v>
      </c>
      <c r="S54" s="61">
        <f t="shared" si="34"/>
        <v>0</v>
      </c>
      <c r="T54" s="61">
        <f t="shared" si="34"/>
        <v>0</v>
      </c>
      <c r="U54" s="61">
        <f t="shared" si="34"/>
        <v>0</v>
      </c>
      <c r="V54" s="61">
        <f t="shared" si="34"/>
        <v>0</v>
      </c>
      <c r="W54" s="61">
        <f t="shared" si="35"/>
        <v>0</v>
      </c>
      <c r="X54" s="61">
        <f t="shared" si="35"/>
        <v>0</v>
      </c>
      <c r="Y54" s="61">
        <f t="shared" si="35"/>
        <v>0</v>
      </c>
      <c r="Z54" s="61">
        <f t="shared" si="35"/>
        <v>0</v>
      </c>
      <c r="AA54" s="61">
        <f t="shared" si="35"/>
        <v>0</v>
      </c>
      <c r="AB54" s="61">
        <f t="shared" si="35"/>
        <v>0</v>
      </c>
      <c r="AC54" s="61">
        <f t="shared" si="35"/>
        <v>0</v>
      </c>
      <c r="AD54" s="61">
        <f t="shared" si="35"/>
        <v>0</v>
      </c>
      <c r="AE54" s="61">
        <f t="shared" si="35"/>
        <v>0</v>
      </c>
      <c r="AF54" s="61">
        <f t="shared" ref="AF54:AF80" si="37">IF(AND(AF$2&gt;=$B54,AF$2&lt;$C54),$E54,0)</f>
        <v>0</v>
      </c>
      <c r="AG54" s="61"/>
      <c r="AH54" s="61">
        <f t="shared" ref="AH54:AP54" si="38">IF(AND(AH$2&gt;=$B54,AH$2&lt;$C54),$E54,0)</f>
        <v>0</v>
      </c>
      <c r="AI54" s="61">
        <f t="shared" si="38"/>
        <v>0</v>
      </c>
      <c r="AJ54" s="61">
        <f t="shared" si="38"/>
        <v>0</v>
      </c>
      <c r="AK54" s="61">
        <f t="shared" si="38"/>
        <v>0</v>
      </c>
      <c r="AL54" s="61">
        <f t="shared" si="38"/>
        <v>0</v>
      </c>
      <c r="AM54" s="61">
        <f t="shared" si="38"/>
        <v>0</v>
      </c>
      <c r="AN54" s="61">
        <f t="shared" si="38"/>
        <v>0</v>
      </c>
      <c r="AO54" s="61">
        <f t="shared" si="38"/>
        <v>0</v>
      </c>
      <c r="AP54" s="61">
        <f t="shared" si="38"/>
        <v>0</v>
      </c>
      <c r="AQ54" s="61"/>
    </row>
    <row r="55" spans="2:43" x14ac:dyDescent="0.25">
      <c r="B55" s="54">
        <v>0.375</v>
      </c>
      <c r="C55" s="54">
        <v>0.72916666671517405</v>
      </c>
      <c r="D55" s="60"/>
      <c r="E55" s="91">
        <f>SUMMARY!X10</f>
        <v>0</v>
      </c>
      <c r="F55" s="91">
        <f>SUMMARY!AP10</f>
        <v>0</v>
      </c>
      <c r="G55" s="91">
        <f>SUMMARY!AI10</f>
        <v>0</v>
      </c>
      <c r="H55" s="92">
        <f>SUM(E55:G55)</f>
        <v>0</v>
      </c>
      <c r="I55" s="180">
        <f>Q$49-Q$50</f>
        <v>0</v>
      </c>
      <c r="M55" s="61">
        <f t="shared" si="34"/>
        <v>0</v>
      </c>
      <c r="N55" s="61">
        <f t="shared" si="34"/>
        <v>0</v>
      </c>
      <c r="O55" s="61">
        <f t="shared" si="34"/>
        <v>0</v>
      </c>
      <c r="P55" s="61">
        <f t="shared" si="34"/>
        <v>0</v>
      </c>
      <c r="Q55" s="61">
        <f t="shared" si="34"/>
        <v>0</v>
      </c>
      <c r="R55" s="61">
        <f t="shared" si="34"/>
        <v>0</v>
      </c>
      <c r="S55" s="61">
        <f t="shared" si="34"/>
        <v>0</v>
      </c>
      <c r="T55" s="61">
        <f t="shared" si="34"/>
        <v>0</v>
      </c>
      <c r="U55" s="61">
        <f t="shared" si="34"/>
        <v>0</v>
      </c>
      <c r="V55" s="61">
        <f t="shared" si="34"/>
        <v>0</v>
      </c>
      <c r="W55" s="61">
        <f t="shared" si="35"/>
        <v>0</v>
      </c>
      <c r="X55" s="61">
        <f t="shared" si="35"/>
        <v>0</v>
      </c>
      <c r="Y55" s="61">
        <f t="shared" si="35"/>
        <v>0</v>
      </c>
      <c r="Z55" s="61">
        <f t="shared" si="35"/>
        <v>0</v>
      </c>
      <c r="AA55" s="61">
        <f t="shared" si="35"/>
        <v>0</v>
      </c>
      <c r="AB55" s="61">
        <f t="shared" si="35"/>
        <v>0</v>
      </c>
      <c r="AC55" s="61">
        <f t="shared" si="35"/>
        <v>0</v>
      </c>
      <c r="AD55" s="61">
        <f t="shared" si="35"/>
        <v>0</v>
      </c>
      <c r="AE55" s="61">
        <f t="shared" si="35"/>
        <v>0</v>
      </c>
      <c r="AF55" s="61">
        <f t="shared" si="37"/>
        <v>0</v>
      </c>
      <c r="AG55" s="61">
        <f t="shared" ref="AG55:AG80" si="39">IF(AND(AG$2&gt;=$B55,AG$2&lt;$C55),$E55,0)</f>
        <v>0</v>
      </c>
      <c r="AH55" s="61"/>
      <c r="AI55" s="61">
        <f t="shared" ref="AI55:AP55" si="40">IF(AND(AI$2&gt;=$B55,AI$2&lt;$C55),$E55,0)</f>
        <v>0</v>
      </c>
      <c r="AJ55" s="61">
        <f t="shared" si="40"/>
        <v>0</v>
      </c>
      <c r="AK55" s="61">
        <f t="shared" si="40"/>
        <v>0</v>
      </c>
      <c r="AL55" s="61">
        <f t="shared" si="40"/>
        <v>0</v>
      </c>
      <c r="AM55" s="61">
        <f t="shared" si="40"/>
        <v>0</v>
      </c>
      <c r="AN55" s="61">
        <f t="shared" si="40"/>
        <v>0</v>
      </c>
      <c r="AO55" s="61">
        <f t="shared" si="40"/>
        <v>0</v>
      </c>
      <c r="AP55" s="61">
        <f t="shared" si="40"/>
        <v>0</v>
      </c>
      <c r="AQ55" s="61"/>
    </row>
    <row r="56" spans="2:43" x14ac:dyDescent="0.25">
      <c r="B56" s="54">
        <v>0.39583333333575865</v>
      </c>
      <c r="C56" s="54">
        <v>0.75000000005093304</v>
      </c>
      <c r="D56" s="60"/>
      <c r="E56" s="91">
        <f>SUMMARY!X11</f>
        <v>0</v>
      </c>
      <c r="F56" s="91">
        <f>SUMMARY!AP11</f>
        <v>0</v>
      </c>
      <c r="G56" s="91">
        <f>SUMMARY!AI11</f>
        <v>0</v>
      </c>
      <c r="H56" s="92">
        <f t="shared" si="30"/>
        <v>0</v>
      </c>
      <c r="I56" s="180">
        <f>R$49-R$50</f>
        <v>0</v>
      </c>
      <c r="M56" s="61">
        <f t="shared" si="34"/>
        <v>0</v>
      </c>
      <c r="N56" s="61">
        <f t="shared" si="34"/>
        <v>0</v>
      </c>
      <c r="O56" s="61">
        <f t="shared" si="34"/>
        <v>0</v>
      </c>
      <c r="P56" s="61">
        <f t="shared" si="34"/>
        <v>0</v>
      </c>
      <c r="Q56" s="61">
        <f t="shared" si="34"/>
        <v>0</v>
      </c>
      <c r="R56" s="61">
        <f t="shared" si="34"/>
        <v>0</v>
      </c>
      <c r="S56" s="61">
        <f t="shared" si="34"/>
        <v>0</v>
      </c>
      <c r="T56" s="61">
        <f t="shared" si="34"/>
        <v>0</v>
      </c>
      <c r="U56" s="61">
        <f t="shared" si="34"/>
        <v>0</v>
      </c>
      <c r="V56" s="61">
        <f t="shared" si="34"/>
        <v>0</v>
      </c>
      <c r="W56" s="61">
        <f t="shared" si="35"/>
        <v>0</v>
      </c>
      <c r="X56" s="61">
        <f t="shared" si="35"/>
        <v>0</v>
      </c>
      <c r="Y56" s="61">
        <f t="shared" si="35"/>
        <v>0</v>
      </c>
      <c r="Z56" s="61">
        <f t="shared" si="35"/>
        <v>0</v>
      </c>
      <c r="AA56" s="61">
        <f t="shared" si="35"/>
        <v>0</v>
      </c>
      <c r="AB56" s="61">
        <f t="shared" si="35"/>
        <v>0</v>
      </c>
      <c r="AC56" s="61">
        <f t="shared" si="35"/>
        <v>0</v>
      </c>
      <c r="AD56" s="61">
        <f t="shared" si="35"/>
        <v>0</v>
      </c>
      <c r="AE56" s="61">
        <f t="shared" si="35"/>
        <v>0</v>
      </c>
      <c r="AF56" s="61">
        <f t="shared" si="37"/>
        <v>0</v>
      </c>
      <c r="AG56" s="61">
        <f t="shared" si="39"/>
        <v>0</v>
      </c>
      <c r="AH56" s="61">
        <f t="shared" ref="AH56:AH80" si="41">IF(AND(AH$2&gt;=$B56,AH$2&lt;$C56),$E56,0)</f>
        <v>0</v>
      </c>
      <c r="AI56" s="61"/>
      <c r="AJ56" s="61">
        <f t="shared" ref="AJ56:AP56" si="42">IF(AND(AJ$2&gt;=$B56,AJ$2&lt;$C56),$E56,0)</f>
        <v>0</v>
      </c>
      <c r="AK56" s="61">
        <f t="shared" si="42"/>
        <v>0</v>
      </c>
      <c r="AL56" s="61">
        <f t="shared" si="42"/>
        <v>0</v>
      </c>
      <c r="AM56" s="61">
        <f t="shared" si="42"/>
        <v>0</v>
      </c>
      <c r="AN56" s="61">
        <f t="shared" si="42"/>
        <v>0</v>
      </c>
      <c r="AO56" s="61">
        <f t="shared" si="42"/>
        <v>0</v>
      </c>
      <c r="AP56" s="61">
        <f t="shared" si="42"/>
        <v>0</v>
      </c>
      <c r="AQ56" s="61"/>
    </row>
    <row r="57" spans="2:43" x14ac:dyDescent="0.25">
      <c r="B57" s="54">
        <v>0.41666666666424135</v>
      </c>
      <c r="C57" s="54">
        <v>0.77083333338669202</v>
      </c>
      <c r="D57" s="60"/>
      <c r="E57" s="91">
        <f>SUMMARY!X12</f>
        <v>0</v>
      </c>
      <c r="F57" s="91">
        <f>SUMMARY!AP12</f>
        <v>0</v>
      </c>
      <c r="G57" s="91">
        <f>SUMMARY!AI12</f>
        <v>0</v>
      </c>
      <c r="H57" s="92">
        <f t="shared" si="30"/>
        <v>0</v>
      </c>
      <c r="I57" s="180">
        <f>S$49-S$50</f>
        <v>0</v>
      </c>
      <c r="M57" s="61">
        <f t="shared" si="34"/>
        <v>0</v>
      </c>
      <c r="N57" s="61">
        <f t="shared" si="34"/>
        <v>0</v>
      </c>
      <c r="O57" s="61">
        <f t="shared" si="34"/>
        <v>0</v>
      </c>
      <c r="P57" s="61">
        <f t="shared" si="34"/>
        <v>0</v>
      </c>
      <c r="Q57" s="61">
        <f t="shared" si="34"/>
        <v>0</v>
      </c>
      <c r="R57" s="61">
        <f t="shared" si="34"/>
        <v>0</v>
      </c>
      <c r="S57" s="61">
        <f t="shared" si="34"/>
        <v>0</v>
      </c>
      <c r="T57" s="61">
        <f t="shared" si="34"/>
        <v>0</v>
      </c>
      <c r="U57" s="61">
        <f t="shared" si="34"/>
        <v>0</v>
      </c>
      <c r="V57" s="61">
        <f t="shared" si="34"/>
        <v>0</v>
      </c>
      <c r="W57" s="61">
        <f t="shared" si="35"/>
        <v>0</v>
      </c>
      <c r="X57" s="61">
        <f t="shared" si="35"/>
        <v>0</v>
      </c>
      <c r="Y57" s="61">
        <f t="shared" si="35"/>
        <v>0</v>
      </c>
      <c r="Z57" s="61">
        <f t="shared" si="35"/>
        <v>0</v>
      </c>
      <c r="AA57" s="61">
        <f t="shared" si="35"/>
        <v>0</v>
      </c>
      <c r="AB57" s="61">
        <f t="shared" si="35"/>
        <v>0</v>
      </c>
      <c r="AC57" s="61">
        <f t="shared" si="35"/>
        <v>0</v>
      </c>
      <c r="AD57" s="61">
        <f t="shared" si="35"/>
        <v>0</v>
      </c>
      <c r="AE57" s="61">
        <f t="shared" si="35"/>
        <v>0</v>
      </c>
      <c r="AF57" s="61">
        <f t="shared" si="37"/>
        <v>0</v>
      </c>
      <c r="AG57" s="61">
        <f t="shared" si="39"/>
        <v>0</v>
      </c>
      <c r="AH57" s="61">
        <f t="shared" si="41"/>
        <v>0</v>
      </c>
      <c r="AI57" s="61">
        <f t="shared" ref="AI57:AI80" si="43">IF(AND(AI$2&gt;=$B57,AI$2&lt;$C57),$E57,0)</f>
        <v>0</v>
      </c>
      <c r="AJ57" s="61"/>
      <c r="AK57" s="61">
        <f t="shared" ref="AK57:AP57" si="44">IF(AND(AK$2&gt;=$B57,AK$2&lt;$C57),$E57,0)</f>
        <v>0</v>
      </c>
      <c r="AL57" s="61">
        <f t="shared" si="44"/>
        <v>0</v>
      </c>
      <c r="AM57" s="61">
        <f t="shared" si="44"/>
        <v>0</v>
      </c>
      <c r="AN57" s="61">
        <f t="shared" si="44"/>
        <v>0</v>
      </c>
      <c r="AO57" s="61">
        <f t="shared" si="44"/>
        <v>0</v>
      </c>
      <c r="AP57" s="61">
        <f t="shared" si="44"/>
        <v>0</v>
      </c>
      <c r="AQ57" s="61"/>
    </row>
    <row r="58" spans="2:43" x14ac:dyDescent="0.25">
      <c r="B58" s="54">
        <v>0.4375</v>
      </c>
      <c r="C58" s="54">
        <v>0.79166666672245101</v>
      </c>
      <c r="D58" s="60"/>
      <c r="E58" s="91">
        <f>SUMMARY!X13</f>
        <v>0</v>
      </c>
      <c r="F58" s="91">
        <f>SUMMARY!AP13</f>
        <v>0</v>
      </c>
      <c r="G58" s="91">
        <f>SUMMARY!AI13</f>
        <v>0</v>
      </c>
      <c r="H58" s="92">
        <f t="shared" si="30"/>
        <v>0</v>
      </c>
      <c r="I58" s="180">
        <f>T$49-T$50</f>
        <v>0</v>
      </c>
      <c r="M58" s="61">
        <f t="shared" si="34"/>
        <v>0</v>
      </c>
      <c r="N58" s="61">
        <f t="shared" si="34"/>
        <v>0</v>
      </c>
      <c r="O58" s="61">
        <f t="shared" si="34"/>
        <v>0</v>
      </c>
      <c r="P58" s="61">
        <f t="shared" si="34"/>
        <v>0</v>
      </c>
      <c r="Q58" s="61">
        <f t="shared" si="34"/>
        <v>0</v>
      </c>
      <c r="R58" s="61">
        <f t="shared" si="34"/>
        <v>0</v>
      </c>
      <c r="S58" s="61">
        <f t="shared" si="34"/>
        <v>0</v>
      </c>
      <c r="T58" s="61">
        <f t="shared" si="34"/>
        <v>0</v>
      </c>
      <c r="U58" s="61">
        <f t="shared" si="34"/>
        <v>0</v>
      </c>
      <c r="V58" s="61">
        <f t="shared" si="34"/>
        <v>0</v>
      </c>
      <c r="W58" s="61">
        <f t="shared" si="35"/>
        <v>0</v>
      </c>
      <c r="X58" s="61">
        <f t="shared" si="35"/>
        <v>0</v>
      </c>
      <c r="Y58" s="61">
        <f t="shared" si="35"/>
        <v>0</v>
      </c>
      <c r="Z58" s="61">
        <f t="shared" si="35"/>
        <v>0</v>
      </c>
      <c r="AA58" s="61">
        <f t="shared" si="35"/>
        <v>0</v>
      </c>
      <c r="AB58" s="61">
        <f t="shared" si="35"/>
        <v>0</v>
      </c>
      <c r="AC58" s="61">
        <f t="shared" si="35"/>
        <v>0</v>
      </c>
      <c r="AD58" s="61">
        <f t="shared" si="35"/>
        <v>0</v>
      </c>
      <c r="AE58" s="61">
        <f t="shared" si="35"/>
        <v>0</v>
      </c>
      <c r="AF58" s="61">
        <f t="shared" si="37"/>
        <v>0</v>
      </c>
      <c r="AG58" s="61">
        <f t="shared" si="39"/>
        <v>0</v>
      </c>
      <c r="AH58" s="61">
        <f t="shared" si="41"/>
        <v>0</v>
      </c>
      <c r="AI58" s="61">
        <f t="shared" si="43"/>
        <v>0</v>
      </c>
      <c r="AJ58" s="61">
        <f t="shared" ref="AJ58:AJ80" si="45">IF(AND(AJ$2&gt;=$B58,AJ$2&lt;$C58),$E58,0)</f>
        <v>0</v>
      </c>
      <c r="AK58" s="61"/>
      <c r="AL58" s="61">
        <f>IF(AND(AL$2&gt;=$B58,AL$2&lt;$C58),$E58,0)</f>
        <v>0</v>
      </c>
      <c r="AM58" s="61">
        <f>IF(AND(AM$2&gt;=$B58,AM$2&lt;$C58),$E58,0)</f>
        <v>0</v>
      </c>
      <c r="AN58" s="61">
        <f>IF(AND(AN$2&gt;=$B58,AN$2&lt;$C58),$E58,0)</f>
        <v>0</v>
      </c>
      <c r="AO58" s="61">
        <f>IF(AND(AO$2&gt;=$B58,AO$2&lt;$C58),$E58,0)</f>
        <v>0</v>
      </c>
      <c r="AP58" s="61">
        <f>IF(AND(AP$2&gt;=$B58,AP$2&lt;$C58),$E58,0)</f>
        <v>0</v>
      </c>
      <c r="AQ58" s="61"/>
    </row>
    <row r="59" spans="2:43" x14ac:dyDescent="0.25">
      <c r="B59" s="54">
        <v>0.45833333333575865</v>
      </c>
      <c r="C59" s="54">
        <v>0.81250000005820999</v>
      </c>
      <c r="D59" s="60"/>
      <c r="E59" s="91">
        <f>SUMMARY!X14</f>
        <v>0</v>
      </c>
      <c r="F59" s="91">
        <f>SUMMARY!AP14</f>
        <v>0</v>
      </c>
      <c r="G59" s="91">
        <f>SUMMARY!AI14</f>
        <v>0</v>
      </c>
      <c r="H59" s="92">
        <f t="shared" si="30"/>
        <v>0</v>
      </c>
      <c r="I59" s="180">
        <f>U$49-U$50</f>
        <v>0</v>
      </c>
      <c r="M59" s="61">
        <f t="shared" si="34"/>
        <v>0</v>
      </c>
      <c r="N59" s="61">
        <f t="shared" si="34"/>
        <v>0</v>
      </c>
      <c r="O59" s="61">
        <f t="shared" si="34"/>
        <v>0</v>
      </c>
      <c r="P59" s="61">
        <f t="shared" si="34"/>
        <v>0</v>
      </c>
      <c r="Q59" s="61">
        <f t="shared" si="34"/>
        <v>0</v>
      </c>
      <c r="R59" s="61">
        <f t="shared" si="34"/>
        <v>0</v>
      </c>
      <c r="S59" s="61">
        <f t="shared" si="34"/>
        <v>0</v>
      </c>
      <c r="T59" s="61">
        <f t="shared" si="34"/>
        <v>0</v>
      </c>
      <c r="U59" s="61">
        <f t="shared" si="34"/>
        <v>0</v>
      </c>
      <c r="V59" s="61">
        <f t="shared" si="34"/>
        <v>0</v>
      </c>
      <c r="W59" s="61">
        <f t="shared" si="35"/>
        <v>0</v>
      </c>
      <c r="X59" s="61">
        <f t="shared" si="35"/>
        <v>0</v>
      </c>
      <c r="Y59" s="61">
        <f t="shared" si="35"/>
        <v>0</v>
      </c>
      <c r="Z59" s="61">
        <f t="shared" si="35"/>
        <v>0</v>
      </c>
      <c r="AA59" s="61">
        <f t="shared" si="35"/>
        <v>0</v>
      </c>
      <c r="AB59" s="61">
        <f t="shared" si="35"/>
        <v>0</v>
      </c>
      <c r="AC59" s="61">
        <f t="shared" si="35"/>
        <v>0</v>
      </c>
      <c r="AD59" s="61">
        <f t="shared" si="35"/>
        <v>0</v>
      </c>
      <c r="AE59" s="61">
        <f t="shared" si="35"/>
        <v>0</v>
      </c>
      <c r="AF59" s="61">
        <f t="shared" si="37"/>
        <v>0</v>
      </c>
      <c r="AG59" s="61">
        <f t="shared" si="39"/>
        <v>0</v>
      </c>
      <c r="AH59" s="61">
        <f t="shared" si="41"/>
        <v>0</v>
      </c>
      <c r="AI59" s="61">
        <f t="shared" si="43"/>
        <v>0</v>
      </c>
      <c r="AJ59" s="61">
        <f t="shared" si="45"/>
        <v>0</v>
      </c>
      <c r="AK59" s="61">
        <f t="shared" ref="AK59:AK80" si="46">IF(AND(AK$2&gt;=$B59,AK$2&lt;$C59),$E59,0)</f>
        <v>0</v>
      </c>
      <c r="AL59" s="61"/>
      <c r="AM59" s="61">
        <f>IF(AND(AM$2&gt;=$B59,AM$2&lt;$C59),$E59,0)</f>
        <v>0</v>
      </c>
      <c r="AN59" s="61">
        <f>IF(AND(AN$2&gt;=$B59,AN$2&lt;$C59),$E59,0)</f>
        <v>0</v>
      </c>
      <c r="AO59" s="61">
        <f>IF(AND(AO$2&gt;=$B59,AO$2&lt;$C59),$E59,0)</f>
        <v>0</v>
      </c>
      <c r="AP59" s="61">
        <f>IF(AND(AP$2&gt;=$B59,AP$2&lt;$C59),$E59,0)</f>
        <v>0</v>
      </c>
      <c r="AQ59" s="61"/>
    </row>
    <row r="60" spans="2:43" x14ac:dyDescent="0.25">
      <c r="B60" s="54">
        <v>0.47916666666424135</v>
      </c>
      <c r="C60" s="54">
        <v>0.83333333339396898</v>
      </c>
      <c r="D60" s="60"/>
      <c r="E60" s="91">
        <f>SUMMARY!X15</f>
        <v>0</v>
      </c>
      <c r="G60" s="91">
        <f>SUMMARY!AI15</f>
        <v>0</v>
      </c>
      <c r="H60" s="92">
        <f t="shared" si="30"/>
        <v>0</v>
      </c>
      <c r="I60" s="180">
        <f>V$49-V$50</f>
        <v>0</v>
      </c>
      <c r="M60" s="61">
        <f t="shared" si="34"/>
        <v>0</v>
      </c>
      <c r="N60" s="61">
        <f t="shared" si="34"/>
        <v>0</v>
      </c>
      <c r="O60" s="61">
        <f t="shared" si="34"/>
        <v>0</v>
      </c>
      <c r="P60" s="61">
        <f t="shared" si="34"/>
        <v>0</v>
      </c>
      <c r="Q60" s="61">
        <f t="shared" si="34"/>
        <v>0</v>
      </c>
      <c r="R60" s="61">
        <f t="shared" si="34"/>
        <v>0</v>
      </c>
      <c r="S60" s="61">
        <f t="shared" si="34"/>
        <v>0</v>
      </c>
      <c r="T60" s="61">
        <f t="shared" si="34"/>
        <v>0</v>
      </c>
      <c r="U60" s="61">
        <f t="shared" si="34"/>
        <v>0</v>
      </c>
      <c r="V60" s="61">
        <f t="shared" si="34"/>
        <v>0</v>
      </c>
      <c r="W60" s="61">
        <f t="shared" si="35"/>
        <v>0</v>
      </c>
      <c r="X60" s="61">
        <f t="shared" si="35"/>
        <v>0</v>
      </c>
      <c r="Y60" s="61">
        <f t="shared" si="35"/>
        <v>0</v>
      </c>
      <c r="Z60" s="61">
        <f t="shared" si="35"/>
        <v>0</v>
      </c>
      <c r="AA60" s="61">
        <f t="shared" si="35"/>
        <v>0</v>
      </c>
      <c r="AB60" s="61">
        <f t="shared" si="35"/>
        <v>0</v>
      </c>
      <c r="AC60" s="61">
        <f t="shared" si="35"/>
        <v>0</v>
      </c>
      <c r="AD60" s="61">
        <f t="shared" si="35"/>
        <v>0</v>
      </c>
      <c r="AE60" s="61">
        <f t="shared" si="35"/>
        <v>0</v>
      </c>
      <c r="AF60" s="61">
        <f t="shared" si="37"/>
        <v>0</v>
      </c>
      <c r="AG60" s="61">
        <f t="shared" si="39"/>
        <v>0</v>
      </c>
      <c r="AH60" s="61">
        <f t="shared" si="41"/>
        <v>0</v>
      </c>
      <c r="AI60" s="61">
        <f t="shared" si="43"/>
        <v>0</v>
      </c>
      <c r="AJ60" s="61">
        <f t="shared" si="45"/>
        <v>0</v>
      </c>
      <c r="AK60" s="61">
        <f t="shared" si="46"/>
        <v>0</v>
      </c>
      <c r="AL60" s="61">
        <f t="shared" ref="AL60:AL80" si="47">IF(AND(AL$2&gt;=$B60,AL$2&lt;$C60),$E60,0)</f>
        <v>0</v>
      </c>
      <c r="AM60" s="61"/>
      <c r="AN60" s="61">
        <f>IF(AND(AN$2&gt;=$B60,AN$2&lt;$C60),$E60,0)</f>
        <v>0</v>
      </c>
      <c r="AO60" s="61">
        <f>IF(AND(AO$2&gt;=$B60,AO$2&lt;$C60),$E60,0)</f>
        <v>0</v>
      </c>
      <c r="AP60" s="61">
        <f>IF(AND(AP$2&gt;=$B60,AP$2&lt;$C60),$E60,0)</f>
        <v>0</v>
      </c>
      <c r="AQ60" s="61"/>
    </row>
    <row r="61" spans="2:43" x14ac:dyDescent="0.25">
      <c r="B61" s="54">
        <v>0.5</v>
      </c>
      <c r="C61" s="54">
        <v>0.85416666672972796</v>
      </c>
      <c r="D61" s="60"/>
      <c r="E61" s="91">
        <f>SUMMARY!X16</f>
        <v>0</v>
      </c>
      <c r="G61" s="91">
        <f>SUMMARY!AI16</f>
        <v>0</v>
      </c>
      <c r="H61" s="92">
        <f t="shared" si="30"/>
        <v>0</v>
      </c>
      <c r="I61" s="180">
        <f>W$49-W$50</f>
        <v>0</v>
      </c>
      <c r="M61" s="61">
        <f t="shared" si="34"/>
        <v>0</v>
      </c>
      <c r="N61" s="61">
        <f t="shared" si="34"/>
        <v>0</v>
      </c>
      <c r="O61" s="61">
        <f t="shared" si="34"/>
        <v>0</v>
      </c>
      <c r="P61" s="61">
        <f t="shared" si="34"/>
        <v>0</v>
      </c>
      <c r="Q61" s="61">
        <f t="shared" si="34"/>
        <v>0</v>
      </c>
      <c r="R61" s="61">
        <f t="shared" si="34"/>
        <v>0</v>
      </c>
      <c r="S61" s="61">
        <f t="shared" si="34"/>
        <v>0</v>
      </c>
      <c r="T61" s="61">
        <f t="shared" si="34"/>
        <v>0</v>
      </c>
      <c r="U61" s="61">
        <f t="shared" si="34"/>
        <v>0</v>
      </c>
      <c r="V61" s="61">
        <f t="shared" si="34"/>
        <v>0</v>
      </c>
      <c r="W61" s="61">
        <f t="shared" si="35"/>
        <v>0</v>
      </c>
      <c r="X61" s="61">
        <f t="shared" si="35"/>
        <v>0</v>
      </c>
      <c r="Y61" s="61">
        <f t="shared" si="35"/>
        <v>0</v>
      </c>
      <c r="Z61" s="61">
        <f t="shared" si="35"/>
        <v>0</v>
      </c>
      <c r="AA61" s="61">
        <f t="shared" si="35"/>
        <v>0</v>
      </c>
      <c r="AB61" s="61">
        <f t="shared" si="35"/>
        <v>0</v>
      </c>
      <c r="AC61" s="61">
        <f t="shared" si="35"/>
        <v>0</v>
      </c>
      <c r="AD61" s="61">
        <f t="shared" si="35"/>
        <v>0</v>
      </c>
      <c r="AE61" s="61">
        <f t="shared" si="35"/>
        <v>0</v>
      </c>
      <c r="AF61" s="61">
        <f t="shared" si="37"/>
        <v>0</v>
      </c>
      <c r="AG61" s="61">
        <f t="shared" si="39"/>
        <v>0</v>
      </c>
      <c r="AH61" s="61">
        <f t="shared" si="41"/>
        <v>0</v>
      </c>
      <c r="AI61" s="61">
        <f t="shared" si="43"/>
        <v>0</v>
      </c>
      <c r="AJ61" s="61">
        <f t="shared" si="45"/>
        <v>0</v>
      </c>
      <c r="AK61" s="61">
        <f t="shared" si="46"/>
        <v>0</v>
      </c>
      <c r="AL61" s="61">
        <f t="shared" si="47"/>
        <v>0</v>
      </c>
      <c r="AM61" s="61">
        <f t="shared" ref="AM61:AM80" si="48">IF(AND(AM$2&gt;=$B61,AM$2&lt;$C61),$E61,0)</f>
        <v>0</v>
      </c>
      <c r="AN61" s="61"/>
      <c r="AO61" s="61">
        <f>IF(AND(AO$2&gt;=$B61,AO$2&lt;$C61),$E61,0)</f>
        <v>0</v>
      </c>
      <c r="AP61" s="61">
        <f>IF(AND(AP$2&gt;=$B61,AP$2&lt;$C61),$E61,0)</f>
        <v>0</v>
      </c>
      <c r="AQ61" s="61"/>
    </row>
    <row r="62" spans="2:43" x14ac:dyDescent="0.25">
      <c r="B62" s="54">
        <v>0.52083333333575865</v>
      </c>
      <c r="C62" s="54">
        <v>0.87500000006548695</v>
      </c>
      <c r="D62" s="60"/>
      <c r="E62" s="91">
        <f>SUMMARY!X17</f>
        <v>0</v>
      </c>
      <c r="G62" s="91">
        <f>SUMMARY!AI17</f>
        <v>0</v>
      </c>
      <c r="H62" s="92">
        <f t="shared" si="30"/>
        <v>0</v>
      </c>
      <c r="I62" s="180">
        <f>X$49-X$50</f>
        <v>0</v>
      </c>
      <c r="M62" s="61">
        <f t="shared" si="34"/>
        <v>0</v>
      </c>
      <c r="N62" s="61">
        <f t="shared" si="34"/>
        <v>0</v>
      </c>
      <c r="O62" s="61">
        <f t="shared" si="34"/>
        <v>0</v>
      </c>
      <c r="P62" s="61">
        <f t="shared" si="34"/>
        <v>0</v>
      </c>
      <c r="Q62" s="61">
        <f t="shared" si="34"/>
        <v>0</v>
      </c>
      <c r="R62" s="61">
        <f t="shared" si="34"/>
        <v>0</v>
      </c>
      <c r="S62" s="61">
        <f t="shared" si="34"/>
        <v>0</v>
      </c>
      <c r="T62" s="61">
        <f t="shared" si="34"/>
        <v>0</v>
      </c>
      <c r="U62" s="61">
        <f t="shared" si="34"/>
        <v>0</v>
      </c>
      <c r="V62" s="61">
        <f t="shared" si="34"/>
        <v>0</v>
      </c>
      <c r="W62" s="61">
        <f t="shared" si="35"/>
        <v>0</v>
      </c>
      <c r="X62" s="61">
        <f t="shared" si="35"/>
        <v>0</v>
      </c>
      <c r="Y62" s="61">
        <f t="shared" si="35"/>
        <v>0</v>
      </c>
      <c r="Z62" s="61">
        <f t="shared" si="35"/>
        <v>0</v>
      </c>
      <c r="AA62" s="61">
        <f t="shared" si="35"/>
        <v>0</v>
      </c>
      <c r="AB62" s="61">
        <f t="shared" si="35"/>
        <v>0</v>
      </c>
      <c r="AC62" s="61">
        <f t="shared" si="35"/>
        <v>0</v>
      </c>
      <c r="AD62" s="61">
        <f t="shared" si="35"/>
        <v>0</v>
      </c>
      <c r="AE62" s="61">
        <f t="shared" si="35"/>
        <v>0</v>
      </c>
      <c r="AF62" s="61">
        <f t="shared" si="37"/>
        <v>0</v>
      </c>
      <c r="AG62" s="61">
        <f t="shared" si="39"/>
        <v>0</v>
      </c>
      <c r="AH62" s="61">
        <f t="shared" si="41"/>
        <v>0</v>
      </c>
      <c r="AI62" s="61">
        <f t="shared" si="43"/>
        <v>0</v>
      </c>
      <c r="AJ62" s="61">
        <f t="shared" si="45"/>
        <v>0</v>
      </c>
      <c r="AK62" s="61">
        <f t="shared" si="46"/>
        <v>0</v>
      </c>
      <c r="AL62" s="61">
        <f t="shared" si="47"/>
        <v>0</v>
      </c>
      <c r="AM62" s="61">
        <f t="shared" si="48"/>
        <v>0</v>
      </c>
      <c r="AN62" s="61">
        <f t="shared" ref="AN62:AN80" si="49">IF(AND(AN$2&gt;=$B62,AN$2&lt;$C62),$E62,0)</f>
        <v>0</v>
      </c>
      <c r="AO62" s="61"/>
      <c r="AP62" s="61">
        <f>IF(AND(AP$2&gt;=$B62,AP$2&lt;$C62),$E62,0)</f>
        <v>0</v>
      </c>
      <c r="AQ62" s="61"/>
    </row>
    <row r="63" spans="2:43" x14ac:dyDescent="0.25">
      <c r="B63" s="54">
        <v>0.54166666666424135</v>
      </c>
      <c r="C63" s="54">
        <v>0.89583333340124605</v>
      </c>
      <c r="D63" s="60"/>
      <c r="E63" s="91">
        <f>SUMMARY!X18</f>
        <v>0</v>
      </c>
      <c r="G63" s="91">
        <f>SUMMARY!AI18</f>
        <v>0</v>
      </c>
      <c r="H63" s="92">
        <f t="shared" si="30"/>
        <v>0</v>
      </c>
      <c r="I63" s="180">
        <f>Y$49-Y$50</f>
        <v>0</v>
      </c>
      <c r="M63" s="61">
        <f t="shared" ref="M63:V72" si="50">IF(AND(M$2&gt;=$B63,M$2&lt;$C63),$E63,0)</f>
        <v>0</v>
      </c>
      <c r="N63" s="61">
        <f t="shared" si="50"/>
        <v>0</v>
      </c>
      <c r="O63" s="61">
        <f t="shared" si="50"/>
        <v>0</v>
      </c>
      <c r="P63" s="61">
        <f t="shared" si="50"/>
        <v>0</v>
      </c>
      <c r="Q63" s="61">
        <f t="shared" si="50"/>
        <v>0</v>
      </c>
      <c r="R63" s="61">
        <f t="shared" si="50"/>
        <v>0</v>
      </c>
      <c r="S63" s="61">
        <f t="shared" si="50"/>
        <v>0</v>
      </c>
      <c r="T63" s="61">
        <f t="shared" si="50"/>
        <v>0</v>
      </c>
      <c r="U63" s="61">
        <f t="shared" si="50"/>
        <v>0</v>
      </c>
      <c r="V63" s="61">
        <f t="shared" si="50"/>
        <v>0</v>
      </c>
      <c r="W63" s="61">
        <f t="shared" ref="W63:AE72" si="51">IF(AND(W$2&gt;=$B63,W$2&lt;$C63),$E63,0)</f>
        <v>0</v>
      </c>
      <c r="X63" s="61">
        <f t="shared" si="51"/>
        <v>0</v>
      </c>
      <c r="Y63" s="61">
        <f t="shared" si="51"/>
        <v>0</v>
      </c>
      <c r="Z63" s="61">
        <f t="shared" si="51"/>
        <v>0</v>
      </c>
      <c r="AA63" s="61">
        <f t="shared" si="51"/>
        <v>0</v>
      </c>
      <c r="AB63" s="61">
        <f t="shared" si="51"/>
        <v>0</v>
      </c>
      <c r="AC63" s="61">
        <f t="shared" si="51"/>
        <v>0</v>
      </c>
      <c r="AD63" s="61">
        <f t="shared" si="51"/>
        <v>0</v>
      </c>
      <c r="AE63" s="61">
        <f t="shared" si="51"/>
        <v>0</v>
      </c>
      <c r="AF63" s="61">
        <f t="shared" si="37"/>
        <v>0</v>
      </c>
      <c r="AG63" s="61">
        <f t="shared" si="39"/>
        <v>0</v>
      </c>
      <c r="AH63" s="61">
        <f t="shared" si="41"/>
        <v>0</v>
      </c>
      <c r="AI63" s="61">
        <f t="shared" si="43"/>
        <v>0</v>
      </c>
      <c r="AJ63" s="61">
        <f t="shared" si="45"/>
        <v>0</v>
      </c>
      <c r="AK63" s="61">
        <f t="shared" si="46"/>
        <v>0</v>
      </c>
      <c r="AL63" s="61">
        <f t="shared" si="47"/>
        <v>0</v>
      </c>
      <c r="AM63" s="61">
        <f t="shared" si="48"/>
        <v>0</v>
      </c>
      <c r="AN63" s="61">
        <f t="shared" si="49"/>
        <v>0</v>
      </c>
      <c r="AO63" s="61">
        <f t="shared" ref="AO63:AO80" si="52">IF(AND(AO$2&gt;=$B63,AO$2&lt;$C63),$E63,0)</f>
        <v>0</v>
      </c>
      <c r="AP63" s="61"/>
      <c r="AQ63" s="61"/>
    </row>
    <row r="64" spans="2:43" x14ac:dyDescent="0.25">
      <c r="B64" s="54">
        <v>0.5625</v>
      </c>
      <c r="C64" s="54">
        <v>0.91666666673700503</v>
      </c>
      <c r="D64" s="60"/>
      <c r="E64" s="91">
        <f>SUMMARY!X19</f>
        <v>0</v>
      </c>
      <c r="G64" s="91">
        <f>SUMMARY!AI19</f>
        <v>0</v>
      </c>
      <c r="H64" s="92">
        <f t="shared" si="30"/>
        <v>0</v>
      </c>
      <c r="I64" s="180">
        <f>Z$49-Z$50</f>
        <v>0</v>
      </c>
      <c r="M64" s="61">
        <f t="shared" si="50"/>
        <v>0</v>
      </c>
      <c r="N64" s="61">
        <f t="shared" si="50"/>
        <v>0</v>
      </c>
      <c r="O64" s="61">
        <f t="shared" si="50"/>
        <v>0</v>
      </c>
      <c r="P64" s="61">
        <f t="shared" si="50"/>
        <v>0</v>
      </c>
      <c r="Q64" s="61">
        <f t="shared" si="50"/>
        <v>0</v>
      </c>
      <c r="R64" s="61">
        <f t="shared" si="50"/>
        <v>0</v>
      </c>
      <c r="S64" s="61">
        <f t="shared" si="50"/>
        <v>0</v>
      </c>
      <c r="T64" s="61">
        <f t="shared" si="50"/>
        <v>0</v>
      </c>
      <c r="U64" s="61">
        <f t="shared" si="50"/>
        <v>0</v>
      </c>
      <c r="V64" s="61">
        <f t="shared" si="50"/>
        <v>0</v>
      </c>
      <c r="W64" s="61">
        <f t="shared" si="51"/>
        <v>0</v>
      </c>
      <c r="X64" s="61">
        <f t="shared" si="51"/>
        <v>0</v>
      </c>
      <c r="Y64" s="61">
        <f t="shared" si="51"/>
        <v>0</v>
      </c>
      <c r="Z64" s="61">
        <f t="shared" si="51"/>
        <v>0</v>
      </c>
      <c r="AA64" s="61">
        <f t="shared" si="51"/>
        <v>0</v>
      </c>
      <c r="AB64" s="61">
        <f t="shared" si="51"/>
        <v>0</v>
      </c>
      <c r="AC64" s="61">
        <f t="shared" si="51"/>
        <v>0</v>
      </c>
      <c r="AD64" s="61">
        <f t="shared" si="51"/>
        <v>0</v>
      </c>
      <c r="AE64" s="61">
        <f t="shared" si="51"/>
        <v>0</v>
      </c>
      <c r="AF64" s="61">
        <f t="shared" si="37"/>
        <v>0</v>
      </c>
      <c r="AG64" s="61">
        <f t="shared" si="39"/>
        <v>0</v>
      </c>
      <c r="AH64" s="61">
        <f t="shared" si="41"/>
        <v>0</v>
      </c>
      <c r="AI64" s="61">
        <f t="shared" si="43"/>
        <v>0</v>
      </c>
      <c r="AJ64" s="61">
        <f t="shared" si="45"/>
        <v>0</v>
      </c>
      <c r="AK64" s="61">
        <f t="shared" si="46"/>
        <v>0</v>
      </c>
      <c r="AL64" s="61">
        <f t="shared" si="47"/>
        <v>0</v>
      </c>
      <c r="AM64" s="61">
        <f t="shared" si="48"/>
        <v>0</v>
      </c>
      <c r="AN64" s="61">
        <f t="shared" si="49"/>
        <v>0</v>
      </c>
      <c r="AO64" s="61">
        <f t="shared" si="52"/>
        <v>0</v>
      </c>
      <c r="AP64" s="61">
        <f t="shared" ref="AP64:AP80" si="53">IF(AND(AP$2&gt;=$B64,AP$2&lt;$C64),$E64,0)</f>
        <v>0</v>
      </c>
      <c r="AQ64" s="61"/>
    </row>
    <row r="65" spans="2:43" x14ac:dyDescent="0.25">
      <c r="B65" s="54">
        <v>0.58333333333575899</v>
      </c>
      <c r="C65" s="54">
        <v>0.93750000007276402</v>
      </c>
      <c r="D65" s="60"/>
      <c r="E65" s="91"/>
      <c r="G65" s="91">
        <f>SUMMARY!AI20</f>
        <v>0</v>
      </c>
      <c r="H65" s="92">
        <f t="shared" si="30"/>
        <v>0</v>
      </c>
      <c r="I65" s="180">
        <f>AA$49-AA$50</f>
        <v>0</v>
      </c>
      <c r="M65" s="61">
        <f t="shared" si="50"/>
        <v>0</v>
      </c>
      <c r="N65" s="61">
        <f t="shared" si="50"/>
        <v>0</v>
      </c>
      <c r="O65" s="61">
        <f t="shared" si="50"/>
        <v>0</v>
      </c>
      <c r="P65" s="61">
        <f t="shared" si="50"/>
        <v>0</v>
      </c>
      <c r="Q65" s="61">
        <f t="shared" si="50"/>
        <v>0</v>
      </c>
      <c r="R65" s="61">
        <f t="shared" si="50"/>
        <v>0</v>
      </c>
      <c r="S65" s="61">
        <f t="shared" si="50"/>
        <v>0</v>
      </c>
      <c r="T65" s="61">
        <f t="shared" si="50"/>
        <v>0</v>
      </c>
      <c r="U65" s="61">
        <f t="shared" si="50"/>
        <v>0</v>
      </c>
      <c r="V65" s="61">
        <f t="shared" si="50"/>
        <v>0</v>
      </c>
      <c r="W65" s="61">
        <f t="shared" si="51"/>
        <v>0</v>
      </c>
      <c r="X65" s="61">
        <f t="shared" si="51"/>
        <v>0</v>
      </c>
      <c r="Y65" s="61">
        <f t="shared" si="51"/>
        <v>0</v>
      </c>
      <c r="Z65" s="61">
        <f t="shared" si="51"/>
        <v>0</v>
      </c>
      <c r="AA65" s="61">
        <f t="shared" si="51"/>
        <v>0</v>
      </c>
      <c r="AB65" s="61">
        <f t="shared" si="51"/>
        <v>0</v>
      </c>
      <c r="AC65" s="61">
        <f t="shared" si="51"/>
        <v>0</v>
      </c>
      <c r="AD65" s="61">
        <f t="shared" si="51"/>
        <v>0</v>
      </c>
      <c r="AE65" s="61">
        <f t="shared" si="51"/>
        <v>0</v>
      </c>
      <c r="AF65" s="61">
        <f t="shared" si="37"/>
        <v>0</v>
      </c>
      <c r="AG65" s="61">
        <f t="shared" si="39"/>
        <v>0</v>
      </c>
      <c r="AH65" s="61">
        <f t="shared" si="41"/>
        <v>0</v>
      </c>
      <c r="AI65" s="61">
        <f t="shared" si="43"/>
        <v>0</v>
      </c>
      <c r="AJ65" s="61">
        <f t="shared" si="45"/>
        <v>0</v>
      </c>
      <c r="AK65" s="61">
        <f t="shared" si="46"/>
        <v>0</v>
      </c>
      <c r="AL65" s="61">
        <f t="shared" si="47"/>
        <v>0</v>
      </c>
      <c r="AM65" s="61">
        <f t="shared" si="48"/>
        <v>0</v>
      </c>
      <c r="AN65" s="61">
        <f t="shared" si="49"/>
        <v>0</v>
      </c>
      <c r="AO65" s="61">
        <f t="shared" si="52"/>
        <v>0</v>
      </c>
      <c r="AP65" s="61">
        <f t="shared" si="53"/>
        <v>0</v>
      </c>
      <c r="AQ65" s="61"/>
    </row>
    <row r="66" spans="2:43" x14ac:dyDescent="0.25">
      <c r="B66" s="54">
        <v>0.60416666667151697</v>
      </c>
      <c r="C66" s="54">
        <v>0.958333333408523</v>
      </c>
      <c r="D66" s="60"/>
      <c r="E66" s="91"/>
      <c r="G66" s="91">
        <f>SUMMARY!AI21</f>
        <v>0</v>
      </c>
      <c r="H66" s="92">
        <f t="shared" si="30"/>
        <v>0</v>
      </c>
      <c r="I66" s="180">
        <f>AB$49-AB$50</f>
        <v>0</v>
      </c>
      <c r="M66" s="61">
        <f t="shared" si="50"/>
        <v>0</v>
      </c>
      <c r="N66" s="61">
        <f t="shared" si="50"/>
        <v>0</v>
      </c>
      <c r="O66" s="61">
        <f t="shared" si="50"/>
        <v>0</v>
      </c>
      <c r="P66" s="61">
        <f t="shared" si="50"/>
        <v>0</v>
      </c>
      <c r="Q66" s="61">
        <f t="shared" si="50"/>
        <v>0</v>
      </c>
      <c r="R66" s="61">
        <f t="shared" si="50"/>
        <v>0</v>
      </c>
      <c r="S66" s="61">
        <f t="shared" si="50"/>
        <v>0</v>
      </c>
      <c r="T66" s="61">
        <f t="shared" si="50"/>
        <v>0</v>
      </c>
      <c r="U66" s="61">
        <f t="shared" si="50"/>
        <v>0</v>
      </c>
      <c r="V66" s="61">
        <f t="shared" si="50"/>
        <v>0</v>
      </c>
      <c r="W66" s="61">
        <f t="shared" si="51"/>
        <v>0</v>
      </c>
      <c r="X66" s="61">
        <f t="shared" si="51"/>
        <v>0</v>
      </c>
      <c r="Y66" s="61">
        <f t="shared" si="51"/>
        <v>0</v>
      </c>
      <c r="Z66" s="61">
        <f t="shared" si="51"/>
        <v>0</v>
      </c>
      <c r="AA66" s="61">
        <f t="shared" si="51"/>
        <v>0</v>
      </c>
      <c r="AB66" s="61">
        <f t="shared" si="51"/>
        <v>0</v>
      </c>
      <c r="AC66" s="61">
        <f t="shared" si="51"/>
        <v>0</v>
      </c>
      <c r="AD66" s="61">
        <f t="shared" si="51"/>
        <v>0</v>
      </c>
      <c r="AE66" s="61">
        <f t="shared" si="51"/>
        <v>0</v>
      </c>
      <c r="AF66" s="61">
        <f t="shared" si="37"/>
        <v>0</v>
      </c>
      <c r="AG66" s="61">
        <f t="shared" si="39"/>
        <v>0</v>
      </c>
      <c r="AH66" s="61">
        <f t="shared" si="41"/>
        <v>0</v>
      </c>
      <c r="AI66" s="61">
        <f t="shared" si="43"/>
        <v>0</v>
      </c>
      <c r="AJ66" s="61">
        <f t="shared" si="45"/>
        <v>0</v>
      </c>
      <c r="AK66" s="61">
        <f t="shared" si="46"/>
        <v>0</v>
      </c>
      <c r="AL66" s="61">
        <f t="shared" si="47"/>
        <v>0</v>
      </c>
      <c r="AM66" s="61">
        <f t="shared" si="48"/>
        <v>0</v>
      </c>
      <c r="AN66" s="61">
        <f t="shared" si="49"/>
        <v>0</v>
      </c>
      <c r="AO66" s="61">
        <f t="shared" si="52"/>
        <v>0</v>
      </c>
      <c r="AP66" s="61">
        <f t="shared" si="53"/>
        <v>0</v>
      </c>
      <c r="AQ66" s="61"/>
    </row>
    <row r="67" spans="2:43" x14ac:dyDescent="0.25">
      <c r="B67" s="54">
        <v>0.62500000000727596</v>
      </c>
      <c r="C67" s="54">
        <v>0.97916666674428199</v>
      </c>
      <c r="D67" s="60"/>
      <c r="E67" s="91"/>
      <c r="G67" s="91">
        <f>SUMMARY!AI22</f>
        <v>0</v>
      </c>
      <c r="H67" s="92">
        <f t="shared" si="30"/>
        <v>0</v>
      </c>
      <c r="I67" s="180">
        <f>AC$49-AC$50</f>
        <v>0</v>
      </c>
      <c r="M67" s="61">
        <f t="shared" si="50"/>
        <v>0</v>
      </c>
      <c r="N67" s="61">
        <f t="shared" si="50"/>
        <v>0</v>
      </c>
      <c r="O67" s="61">
        <f t="shared" si="50"/>
        <v>0</v>
      </c>
      <c r="P67" s="61">
        <f t="shared" si="50"/>
        <v>0</v>
      </c>
      <c r="Q67" s="61">
        <f t="shared" si="50"/>
        <v>0</v>
      </c>
      <c r="R67" s="61">
        <f t="shared" si="50"/>
        <v>0</v>
      </c>
      <c r="S67" s="61">
        <f t="shared" si="50"/>
        <v>0</v>
      </c>
      <c r="T67" s="61">
        <f t="shared" si="50"/>
        <v>0</v>
      </c>
      <c r="U67" s="61">
        <f t="shared" si="50"/>
        <v>0</v>
      </c>
      <c r="V67" s="61">
        <f t="shared" si="50"/>
        <v>0</v>
      </c>
      <c r="W67" s="61">
        <f t="shared" si="51"/>
        <v>0</v>
      </c>
      <c r="X67" s="61">
        <f t="shared" si="51"/>
        <v>0</v>
      </c>
      <c r="Y67" s="61">
        <f t="shared" si="51"/>
        <v>0</v>
      </c>
      <c r="Z67" s="61">
        <f t="shared" si="51"/>
        <v>0</v>
      </c>
      <c r="AA67" s="61">
        <f t="shared" si="51"/>
        <v>0</v>
      </c>
      <c r="AB67" s="61">
        <f t="shared" si="51"/>
        <v>0</v>
      </c>
      <c r="AC67" s="61">
        <f t="shared" si="51"/>
        <v>0</v>
      </c>
      <c r="AD67" s="61">
        <f t="shared" si="51"/>
        <v>0</v>
      </c>
      <c r="AE67" s="61">
        <f t="shared" si="51"/>
        <v>0</v>
      </c>
      <c r="AF67" s="61">
        <f t="shared" si="37"/>
        <v>0</v>
      </c>
      <c r="AG67" s="61">
        <f t="shared" si="39"/>
        <v>0</v>
      </c>
      <c r="AH67" s="61">
        <f t="shared" si="41"/>
        <v>0</v>
      </c>
      <c r="AI67" s="61">
        <f t="shared" si="43"/>
        <v>0</v>
      </c>
      <c r="AJ67" s="61">
        <f t="shared" si="45"/>
        <v>0</v>
      </c>
      <c r="AK67" s="61">
        <f t="shared" si="46"/>
        <v>0</v>
      </c>
      <c r="AL67" s="61">
        <f t="shared" si="47"/>
        <v>0</v>
      </c>
      <c r="AM67" s="61">
        <f t="shared" si="48"/>
        <v>0</v>
      </c>
      <c r="AN67" s="61">
        <f t="shared" si="49"/>
        <v>0</v>
      </c>
      <c r="AO67" s="61">
        <f t="shared" si="52"/>
        <v>0</v>
      </c>
      <c r="AP67" s="61">
        <f t="shared" si="53"/>
        <v>0</v>
      </c>
      <c r="AQ67" s="61"/>
    </row>
    <row r="68" spans="2:43" x14ac:dyDescent="0.25">
      <c r="B68" s="54">
        <v>0.64583333334303406</v>
      </c>
      <c r="C68" s="54">
        <v>1.00000000008004</v>
      </c>
      <c r="D68" s="60"/>
      <c r="E68" s="91"/>
      <c r="G68" s="91">
        <f>SUMMARY!AI23</f>
        <v>0</v>
      </c>
      <c r="H68" s="92">
        <f t="shared" si="30"/>
        <v>0</v>
      </c>
      <c r="I68" s="180">
        <f>AD$49-AD$50</f>
        <v>0</v>
      </c>
      <c r="M68" s="61">
        <f t="shared" si="50"/>
        <v>0</v>
      </c>
      <c r="N68" s="61">
        <f t="shared" si="50"/>
        <v>0</v>
      </c>
      <c r="O68" s="61">
        <f t="shared" si="50"/>
        <v>0</v>
      </c>
      <c r="P68" s="61">
        <f t="shared" si="50"/>
        <v>0</v>
      </c>
      <c r="Q68" s="61">
        <f t="shared" si="50"/>
        <v>0</v>
      </c>
      <c r="R68" s="61">
        <f t="shared" si="50"/>
        <v>0</v>
      </c>
      <c r="S68" s="61">
        <f t="shared" si="50"/>
        <v>0</v>
      </c>
      <c r="T68" s="61">
        <f t="shared" si="50"/>
        <v>0</v>
      </c>
      <c r="U68" s="61">
        <f t="shared" si="50"/>
        <v>0</v>
      </c>
      <c r="V68" s="61">
        <f t="shared" si="50"/>
        <v>0</v>
      </c>
      <c r="W68" s="61">
        <f t="shared" si="51"/>
        <v>0</v>
      </c>
      <c r="X68" s="61">
        <f t="shared" si="51"/>
        <v>0</v>
      </c>
      <c r="Y68" s="61">
        <f t="shared" si="51"/>
        <v>0</v>
      </c>
      <c r="Z68" s="61">
        <f t="shared" si="51"/>
        <v>0</v>
      </c>
      <c r="AA68" s="61">
        <f t="shared" si="51"/>
        <v>0</v>
      </c>
      <c r="AB68" s="61">
        <f t="shared" si="51"/>
        <v>0</v>
      </c>
      <c r="AC68" s="61">
        <f t="shared" si="51"/>
        <v>0</v>
      </c>
      <c r="AD68" s="61">
        <f t="shared" si="51"/>
        <v>0</v>
      </c>
      <c r="AE68" s="61">
        <f t="shared" si="51"/>
        <v>0</v>
      </c>
      <c r="AF68" s="61">
        <f t="shared" si="37"/>
        <v>0</v>
      </c>
      <c r="AG68" s="61">
        <f t="shared" si="39"/>
        <v>0</v>
      </c>
      <c r="AH68" s="61">
        <f t="shared" si="41"/>
        <v>0</v>
      </c>
      <c r="AI68" s="61">
        <f t="shared" si="43"/>
        <v>0</v>
      </c>
      <c r="AJ68" s="61">
        <f t="shared" si="45"/>
        <v>0</v>
      </c>
      <c r="AK68" s="61">
        <f t="shared" si="46"/>
        <v>0</v>
      </c>
      <c r="AL68" s="61">
        <f t="shared" si="47"/>
        <v>0</v>
      </c>
      <c r="AM68" s="61">
        <f t="shared" si="48"/>
        <v>0</v>
      </c>
      <c r="AN68" s="61">
        <f t="shared" si="49"/>
        <v>0</v>
      </c>
      <c r="AO68" s="61">
        <f t="shared" si="52"/>
        <v>0</v>
      </c>
      <c r="AP68" s="61">
        <f t="shared" si="53"/>
        <v>0</v>
      </c>
      <c r="AQ68" s="61"/>
    </row>
    <row r="69" spans="2:43" x14ac:dyDescent="0.25">
      <c r="B69" s="54">
        <v>0.66666666667879304</v>
      </c>
      <c r="C69" s="54">
        <v>1.0208333334158</v>
      </c>
      <c r="D69" s="60"/>
      <c r="E69" s="91"/>
      <c r="G69" s="91">
        <f>SUMMARY!AI24</f>
        <v>0</v>
      </c>
      <c r="H69" s="92">
        <f t="shared" si="30"/>
        <v>0</v>
      </c>
      <c r="I69" s="180">
        <f>AE$49-AE$50</f>
        <v>0</v>
      </c>
      <c r="M69" s="61">
        <f t="shared" si="50"/>
        <v>0</v>
      </c>
      <c r="N69" s="61">
        <f t="shared" si="50"/>
        <v>0</v>
      </c>
      <c r="O69" s="61">
        <f t="shared" si="50"/>
        <v>0</v>
      </c>
      <c r="P69" s="61">
        <f t="shared" si="50"/>
        <v>0</v>
      </c>
      <c r="Q69" s="61">
        <f t="shared" si="50"/>
        <v>0</v>
      </c>
      <c r="R69" s="61">
        <f t="shared" si="50"/>
        <v>0</v>
      </c>
      <c r="S69" s="61">
        <f t="shared" si="50"/>
        <v>0</v>
      </c>
      <c r="T69" s="61">
        <f t="shared" si="50"/>
        <v>0</v>
      </c>
      <c r="U69" s="61">
        <f t="shared" si="50"/>
        <v>0</v>
      </c>
      <c r="V69" s="61">
        <f t="shared" si="50"/>
        <v>0</v>
      </c>
      <c r="W69" s="61">
        <f t="shared" si="51"/>
        <v>0</v>
      </c>
      <c r="X69" s="61">
        <f t="shared" si="51"/>
        <v>0</v>
      </c>
      <c r="Y69" s="61">
        <f t="shared" si="51"/>
        <v>0</v>
      </c>
      <c r="Z69" s="61">
        <f t="shared" si="51"/>
        <v>0</v>
      </c>
      <c r="AA69" s="61">
        <f t="shared" si="51"/>
        <v>0</v>
      </c>
      <c r="AB69" s="61">
        <f t="shared" si="51"/>
        <v>0</v>
      </c>
      <c r="AC69" s="61">
        <f t="shared" si="51"/>
        <v>0</v>
      </c>
      <c r="AD69" s="61">
        <f t="shared" si="51"/>
        <v>0</v>
      </c>
      <c r="AE69" s="61">
        <f t="shared" si="51"/>
        <v>0</v>
      </c>
      <c r="AF69" s="61">
        <f t="shared" si="37"/>
        <v>0</v>
      </c>
      <c r="AG69" s="61">
        <f t="shared" si="39"/>
        <v>0</v>
      </c>
      <c r="AH69" s="61">
        <f t="shared" si="41"/>
        <v>0</v>
      </c>
      <c r="AI69" s="61">
        <f t="shared" si="43"/>
        <v>0</v>
      </c>
      <c r="AJ69" s="61">
        <f t="shared" si="45"/>
        <v>0</v>
      </c>
      <c r="AK69" s="61">
        <f t="shared" si="46"/>
        <v>0</v>
      </c>
      <c r="AL69" s="61">
        <f t="shared" si="47"/>
        <v>0</v>
      </c>
      <c r="AM69" s="61">
        <f t="shared" si="48"/>
        <v>0</v>
      </c>
      <c r="AN69" s="61">
        <f t="shared" si="49"/>
        <v>0</v>
      </c>
      <c r="AO69" s="61">
        <f t="shared" si="52"/>
        <v>0</v>
      </c>
      <c r="AP69" s="61">
        <f t="shared" si="53"/>
        <v>0</v>
      </c>
      <c r="AQ69" s="61"/>
    </row>
    <row r="70" spans="2:43" x14ac:dyDescent="0.25">
      <c r="B70" s="54">
        <v>0.68750000001455203</v>
      </c>
      <c r="C70" s="54">
        <v>1.0416666667515599</v>
      </c>
      <c r="D70" s="60"/>
      <c r="E70" s="91"/>
      <c r="G70" s="91">
        <f>SUMMARY!AI25</f>
        <v>0</v>
      </c>
      <c r="H70" s="92">
        <f t="shared" si="30"/>
        <v>0</v>
      </c>
      <c r="I70" s="180">
        <f>AF$49-AF$50</f>
        <v>0</v>
      </c>
      <c r="M70" s="61">
        <f t="shared" si="50"/>
        <v>0</v>
      </c>
      <c r="N70" s="61">
        <f t="shared" si="50"/>
        <v>0</v>
      </c>
      <c r="O70" s="61">
        <f t="shared" si="50"/>
        <v>0</v>
      </c>
      <c r="P70" s="61">
        <f t="shared" si="50"/>
        <v>0</v>
      </c>
      <c r="Q70" s="61">
        <f t="shared" si="50"/>
        <v>0</v>
      </c>
      <c r="R70" s="61">
        <f t="shared" si="50"/>
        <v>0</v>
      </c>
      <c r="S70" s="61">
        <f t="shared" si="50"/>
        <v>0</v>
      </c>
      <c r="T70" s="61">
        <f t="shared" si="50"/>
        <v>0</v>
      </c>
      <c r="U70" s="61">
        <f t="shared" si="50"/>
        <v>0</v>
      </c>
      <c r="V70" s="61">
        <f t="shared" si="50"/>
        <v>0</v>
      </c>
      <c r="W70" s="61">
        <f t="shared" si="51"/>
        <v>0</v>
      </c>
      <c r="X70" s="61">
        <f t="shared" si="51"/>
        <v>0</v>
      </c>
      <c r="Y70" s="61">
        <f t="shared" si="51"/>
        <v>0</v>
      </c>
      <c r="Z70" s="61">
        <f t="shared" si="51"/>
        <v>0</v>
      </c>
      <c r="AA70" s="61">
        <f t="shared" si="51"/>
        <v>0</v>
      </c>
      <c r="AB70" s="61">
        <f t="shared" si="51"/>
        <v>0</v>
      </c>
      <c r="AC70" s="61">
        <f t="shared" si="51"/>
        <v>0</v>
      </c>
      <c r="AD70" s="61">
        <f t="shared" si="51"/>
        <v>0</v>
      </c>
      <c r="AE70" s="61">
        <f t="shared" si="51"/>
        <v>0</v>
      </c>
      <c r="AF70" s="61">
        <f t="shared" si="37"/>
        <v>0</v>
      </c>
      <c r="AG70" s="61">
        <f t="shared" si="39"/>
        <v>0</v>
      </c>
      <c r="AH70" s="61">
        <f t="shared" si="41"/>
        <v>0</v>
      </c>
      <c r="AI70" s="61">
        <f t="shared" si="43"/>
        <v>0</v>
      </c>
      <c r="AJ70" s="61">
        <f t="shared" si="45"/>
        <v>0</v>
      </c>
      <c r="AK70" s="61">
        <f t="shared" si="46"/>
        <v>0</v>
      </c>
      <c r="AL70" s="61">
        <f t="shared" si="47"/>
        <v>0</v>
      </c>
      <c r="AM70" s="61">
        <f t="shared" si="48"/>
        <v>0</v>
      </c>
      <c r="AN70" s="61">
        <f t="shared" si="49"/>
        <v>0</v>
      </c>
      <c r="AO70" s="61">
        <f t="shared" si="52"/>
        <v>0</v>
      </c>
      <c r="AP70" s="61">
        <f t="shared" si="53"/>
        <v>0</v>
      </c>
      <c r="AQ70" s="61"/>
    </row>
    <row r="71" spans="2:43" x14ac:dyDescent="0.25">
      <c r="B71" s="54">
        <v>0.70833333335031001</v>
      </c>
      <c r="C71" s="54">
        <v>1.0625000000873199</v>
      </c>
      <c r="D71" s="60"/>
      <c r="E71" s="91"/>
      <c r="G71" s="91">
        <f>SUMMARY!AI26</f>
        <v>0</v>
      </c>
      <c r="H71" s="92">
        <f t="shared" si="30"/>
        <v>0</v>
      </c>
      <c r="I71" s="180">
        <f>AG$49-AG$50</f>
        <v>0</v>
      </c>
      <c r="M71" s="61">
        <f t="shared" si="50"/>
        <v>0</v>
      </c>
      <c r="N71" s="61">
        <f t="shared" si="50"/>
        <v>0</v>
      </c>
      <c r="O71" s="61">
        <f t="shared" si="50"/>
        <v>0</v>
      </c>
      <c r="P71" s="61">
        <f t="shared" si="50"/>
        <v>0</v>
      </c>
      <c r="Q71" s="61">
        <f t="shared" si="50"/>
        <v>0</v>
      </c>
      <c r="R71" s="61">
        <f t="shared" si="50"/>
        <v>0</v>
      </c>
      <c r="S71" s="61">
        <f t="shared" si="50"/>
        <v>0</v>
      </c>
      <c r="T71" s="61">
        <f t="shared" si="50"/>
        <v>0</v>
      </c>
      <c r="U71" s="61">
        <f t="shared" si="50"/>
        <v>0</v>
      </c>
      <c r="V71" s="61">
        <f t="shared" si="50"/>
        <v>0</v>
      </c>
      <c r="W71" s="61">
        <f t="shared" si="51"/>
        <v>0</v>
      </c>
      <c r="X71" s="61">
        <f t="shared" si="51"/>
        <v>0</v>
      </c>
      <c r="Y71" s="61">
        <f t="shared" si="51"/>
        <v>0</v>
      </c>
      <c r="Z71" s="61">
        <f t="shared" si="51"/>
        <v>0</v>
      </c>
      <c r="AA71" s="61">
        <f t="shared" si="51"/>
        <v>0</v>
      </c>
      <c r="AB71" s="61">
        <f t="shared" si="51"/>
        <v>0</v>
      </c>
      <c r="AC71" s="61">
        <f t="shared" si="51"/>
        <v>0</v>
      </c>
      <c r="AD71" s="61">
        <f t="shared" si="51"/>
        <v>0</v>
      </c>
      <c r="AE71" s="61">
        <f t="shared" si="51"/>
        <v>0</v>
      </c>
      <c r="AF71" s="61">
        <f t="shared" si="37"/>
        <v>0</v>
      </c>
      <c r="AG71" s="61">
        <f t="shared" si="39"/>
        <v>0</v>
      </c>
      <c r="AH71" s="61">
        <f t="shared" si="41"/>
        <v>0</v>
      </c>
      <c r="AI71" s="61">
        <f t="shared" si="43"/>
        <v>0</v>
      </c>
      <c r="AJ71" s="61">
        <f t="shared" si="45"/>
        <v>0</v>
      </c>
      <c r="AK71" s="61">
        <f t="shared" si="46"/>
        <v>0</v>
      </c>
      <c r="AL71" s="61">
        <f t="shared" si="47"/>
        <v>0</v>
      </c>
      <c r="AM71" s="61">
        <f t="shared" si="48"/>
        <v>0</v>
      </c>
      <c r="AN71" s="61">
        <f t="shared" si="49"/>
        <v>0</v>
      </c>
      <c r="AO71" s="61">
        <f t="shared" si="52"/>
        <v>0</v>
      </c>
      <c r="AP71" s="61">
        <f t="shared" si="53"/>
        <v>0</v>
      </c>
      <c r="AQ71" s="61"/>
    </row>
    <row r="72" spans="2:43" x14ac:dyDescent="0.25">
      <c r="B72" s="54">
        <v>0.729166666686069</v>
      </c>
      <c r="C72" s="54">
        <v>1.0833333334230799</v>
      </c>
      <c r="D72" s="60"/>
      <c r="E72" s="91"/>
      <c r="G72" s="91">
        <f>SUMMARY!AI27</f>
        <v>0</v>
      </c>
      <c r="H72" s="92">
        <f t="shared" si="30"/>
        <v>0</v>
      </c>
      <c r="I72" s="180">
        <f>AH$49-AH$50</f>
        <v>0</v>
      </c>
      <c r="M72" s="61">
        <f t="shared" si="50"/>
        <v>0</v>
      </c>
      <c r="N72" s="61">
        <f t="shared" si="50"/>
        <v>0</v>
      </c>
      <c r="O72" s="61">
        <f t="shared" si="50"/>
        <v>0</v>
      </c>
      <c r="P72" s="61">
        <f t="shared" si="50"/>
        <v>0</v>
      </c>
      <c r="Q72" s="61">
        <f t="shared" si="50"/>
        <v>0</v>
      </c>
      <c r="R72" s="61">
        <f t="shared" si="50"/>
        <v>0</v>
      </c>
      <c r="S72" s="61">
        <f t="shared" si="50"/>
        <v>0</v>
      </c>
      <c r="T72" s="61">
        <f t="shared" si="50"/>
        <v>0</v>
      </c>
      <c r="U72" s="61">
        <f t="shared" si="50"/>
        <v>0</v>
      </c>
      <c r="V72" s="61">
        <f t="shared" si="50"/>
        <v>0</v>
      </c>
      <c r="W72" s="61">
        <f t="shared" si="51"/>
        <v>0</v>
      </c>
      <c r="X72" s="61">
        <f t="shared" si="51"/>
        <v>0</v>
      </c>
      <c r="Y72" s="61">
        <f t="shared" si="51"/>
        <v>0</v>
      </c>
      <c r="Z72" s="61">
        <f t="shared" si="51"/>
        <v>0</v>
      </c>
      <c r="AA72" s="61">
        <f t="shared" si="51"/>
        <v>0</v>
      </c>
      <c r="AB72" s="61">
        <f t="shared" si="51"/>
        <v>0</v>
      </c>
      <c r="AC72" s="61">
        <f t="shared" si="51"/>
        <v>0</v>
      </c>
      <c r="AD72" s="61">
        <f t="shared" si="51"/>
        <v>0</v>
      </c>
      <c r="AE72" s="61">
        <f t="shared" si="51"/>
        <v>0</v>
      </c>
      <c r="AF72" s="61">
        <f t="shared" si="37"/>
        <v>0</v>
      </c>
      <c r="AG72" s="61">
        <f t="shared" si="39"/>
        <v>0</v>
      </c>
      <c r="AH72" s="61">
        <f t="shared" si="41"/>
        <v>0</v>
      </c>
      <c r="AI72" s="61">
        <f t="shared" si="43"/>
        <v>0</v>
      </c>
      <c r="AJ72" s="61">
        <f t="shared" si="45"/>
        <v>0</v>
      </c>
      <c r="AK72" s="61">
        <f t="shared" si="46"/>
        <v>0</v>
      </c>
      <c r="AL72" s="61">
        <f t="shared" si="47"/>
        <v>0</v>
      </c>
      <c r="AM72" s="61">
        <f t="shared" si="48"/>
        <v>0</v>
      </c>
      <c r="AN72" s="61">
        <f t="shared" si="49"/>
        <v>0</v>
      </c>
      <c r="AO72" s="61">
        <f t="shared" si="52"/>
        <v>0</v>
      </c>
      <c r="AP72" s="61">
        <f t="shared" si="53"/>
        <v>0</v>
      </c>
      <c r="AQ72" s="61"/>
    </row>
    <row r="73" spans="2:43" x14ac:dyDescent="0.25">
      <c r="B73" s="54">
        <v>0.75000000002182798</v>
      </c>
      <c r="C73" s="54">
        <v>1.1041666667588399</v>
      </c>
      <c r="D73" s="60"/>
      <c r="E73" s="91"/>
      <c r="G73" s="91">
        <f>SUMMARY!AI28</f>
        <v>0</v>
      </c>
      <c r="H73" s="92">
        <f t="shared" si="30"/>
        <v>0</v>
      </c>
      <c r="I73" s="180">
        <f>AI$49-AI$50</f>
        <v>0</v>
      </c>
      <c r="M73" s="61">
        <f t="shared" ref="M73:V80" si="54">IF(AND(M$2&gt;=$B73,M$2&lt;$C73),$E73,0)</f>
        <v>0</v>
      </c>
      <c r="N73" s="61">
        <f t="shared" si="54"/>
        <v>0</v>
      </c>
      <c r="O73" s="61">
        <f t="shared" si="54"/>
        <v>0</v>
      </c>
      <c r="P73" s="61">
        <f t="shared" si="54"/>
        <v>0</v>
      </c>
      <c r="Q73" s="61">
        <f t="shared" si="54"/>
        <v>0</v>
      </c>
      <c r="R73" s="61">
        <f t="shared" si="54"/>
        <v>0</v>
      </c>
      <c r="S73" s="61">
        <f t="shared" si="54"/>
        <v>0</v>
      </c>
      <c r="T73" s="61">
        <f t="shared" si="54"/>
        <v>0</v>
      </c>
      <c r="U73" s="61">
        <f t="shared" si="54"/>
        <v>0</v>
      </c>
      <c r="V73" s="61">
        <f t="shared" si="54"/>
        <v>0</v>
      </c>
      <c r="W73" s="61">
        <f t="shared" ref="W73:AE80" si="55">IF(AND(W$2&gt;=$B73,W$2&lt;$C73),$E73,0)</f>
        <v>0</v>
      </c>
      <c r="X73" s="61">
        <f t="shared" si="55"/>
        <v>0</v>
      </c>
      <c r="Y73" s="61">
        <f t="shared" si="55"/>
        <v>0</v>
      </c>
      <c r="Z73" s="61">
        <f t="shared" si="55"/>
        <v>0</v>
      </c>
      <c r="AA73" s="61">
        <f t="shared" si="55"/>
        <v>0</v>
      </c>
      <c r="AB73" s="61">
        <f t="shared" si="55"/>
        <v>0</v>
      </c>
      <c r="AC73" s="61">
        <f t="shared" si="55"/>
        <v>0</v>
      </c>
      <c r="AD73" s="61">
        <f t="shared" si="55"/>
        <v>0</v>
      </c>
      <c r="AE73" s="61">
        <f t="shared" si="55"/>
        <v>0</v>
      </c>
      <c r="AF73" s="61">
        <f t="shared" si="37"/>
        <v>0</v>
      </c>
      <c r="AG73" s="61">
        <f t="shared" si="39"/>
        <v>0</v>
      </c>
      <c r="AH73" s="61">
        <f t="shared" si="41"/>
        <v>0</v>
      </c>
      <c r="AI73" s="61">
        <f t="shared" si="43"/>
        <v>0</v>
      </c>
      <c r="AJ73" s="61">
        <f t="shared" si="45"/>
        <v>0</v>
      </c>
      <c r="AK73" s="61">
        <f t="shared" si="46"/>
        <v>0</v>
      </c>
      <c r="AL73" s="61">
        <f t="shared" si="47"/>
        <v>0</v>
      </c>
      <c r="AM73" s="61">
        <f t="shared" si="48"/>
        <v>0</v>
      </c>
      <c r="AN73" s="61">
        <f t="shared" si="49"/>
        <v>0</v>
      </c>
      <c r="AO73" s="61">
        <f t="shared" si="52"/>
        <v>0</v>
      </c>
      <c r="AP73" s="61">
        <f t="shared" si="53"/>
        <v>0</v>
      </c>
      <c r="AQ73" s="61"/>
    </row>
    <row r="74" spans="2:43" x14ac:dyDescent="0.25">
      <c r="B74" s="54">
        <v>0.77083333335758597</v>
      </c>
      <c r="C74" s="54">
        <v>1.1250000000945899</v>
      </c>
      <c r="D74" s="60"/>
      <c r="E74" s="91"/>
      <c r="G74" s="91">
        <f>SUMMARY!AI29</f>
        <v>0</v>
      </c>
      <c r="H74" s="92">
        <f t="shared" si="30"/>
        <v>0</v>
      </c>
      <c r="I74" s="180">
        <f>AJ$49-AJ$50</f>
        <v>0</v>
      </c>
      <c r="M74" s="61">
        <f t="shared" si="54"/>
        <v>0</v>
      </c>
      <c r="N74" s="61">
        <f t="shared" si="54"/>
        <v>0</v>
      </c>
      <c r="O74" s="61">
        <f t="shared" si="54"/>
        <v>0</v>
      </c>
      <c r="P74" s="61">
        <f t="shared" si="54"/>
        <v>0</v>
      </c>
      <c r="Q74" s="61">
        <f t="shared" si="54"/>
        <v>0</v>
      </c>
      <c r="R74" s="61">
        <f t="shared" si="54"/>
        <v>0</v>
      </c>
      <c r="S74" s="61">
        <f t="shared" si="54"/>
        <v>0</v>
      </c>
      <c r="T74" s="61">
        <f t="shared" si="54"/>
        <v>0</v>
      </c>
      <c r="U74" s="61">
        <f t="shared" si="54"/>
        <v>0</v>
      </c>
      <c r="V74" s="61">
        <f t="shared" si="54"/>
        <v>0</v>
      </c>
      <c r="W74" s="61">
        <f t="shared" si="55"/>
        <v>0</v>
      </c>
      <c r="X74" s="61">
        <f t="shared" si="55"/>
        <v>0</v>
      </c>
      <c r="Y74" s="61">
        <f t="shared" si="55"/>
        <v>0</v>
      </c>
      <c r="Z74" s="61">
        <f t="shared" si="55"/>
        <v>0</v>
      </c>
      <c r="AA74" s="61">
        <f t="shared" si="55"/>
        <v>0</v>
      </c>
      <c r="AB74" s="61">
        <f t="shared" si="55"/>
        <v>0</v>
      </c>
      <c r="AC74" s="61">
        <f t="shared" si="55"/>
        <v>0</v>
      </c>
      <c r="AD74" s="61">
        <f t="shared" si="55"/>
        <v>0</v>
      </c>
      <c r="AE74" s="61">
        <f t="shared" si="55"/>
        <v>0</v>
      </c>
      <c r="AF74" s="61">
        <f t="shared" si="37"/>
        <v>0</v>
      </c>
      <c r="AG74" s="61">
        <f t="shared" si="39"/>
        <v>0</v>
      </c>
      <c r="AH74" s="61">
        <f t="shared" si="41"/>
        <v>0</v>
      </c>
      <c r="AI74" s="61">
        <f t="shared" si="43"/>
        <v>0</v>
      </c>
      <c r="AJ74" s="61">
        <f t="shared" si="45"/>
        <v>0</v>
      </c>
      <c r="AK74" s="61">
        <f t="shared" si="46"/>
        <v>0</v>
      </c>
      <c r="AL74" s="61">
        <f t="shared" si="47"/>
        <v>0</v>
      </c>
      <c r="AM74" s="61">
        <f t="shared" si="48"/>
        <v>0</v>
      </c>
      <c r="AN74" s="61">
        <f t="shared" si="49"/>
        <v>0</v>
      </c>
      <c r="AO74" s="61">
        <f t="shared" si="52"/>
        <v>0</v>
      </c>
      <c r="AP74" s="61">
        <f t="shared" si="53"/>
        <v>0</v>
      </c>
      <c r="AQ74" s="61"/>
    </row>
    <row r="75" spans="2:43" x14ac:dyDescent="0.25">
      <c r="B75" s="54">
        <v>0.79166666669334496</v>
      </c>
      <c r="C75" s="54">
        <v>1.1458333334303501</v>
      </c>
      <c r="D75" s="60"/>
      <c r="E75" s="91"/>
      <c r="G75" s="91">
        <f>SUMMARY!AI30</f>
        <v>0</v>
      </c>
      <c r="H75" s="92">
        <f t="shared" si="30"/>
        <v>0</v>
      </c>
      <c r="I75" s="180">
        <f>AK$49-AK$50</f>
        <v>0</v>
      </c>
      <c r="M75" s="61">
        <f t="shared" si="54"/>
        <v>0</v>
      </c>
      <c r="N75" s="61">
        <f t="shared" si="54"/>
        <v>0</v>
      </c>
      <c r="O75" s="61">
        <f t="shared" si="54"/>
        <v>0</v>
      </c>
      <c r="P75" s="61">
        <f t="shared" si="54"/>
        <v>0</v>
      </c>
      <c r="Q75" s="61">
        <f t="shared" si="54"/>
        <v>0</v>
      </c>
      <c r="R75" s="61">
        <f t="shared" si="54"/>
        <v>0</v>
      </c>
      <c r="S75" s="61">
        <f t="shared" si="54"/>
        <v>0</v>
      </c>
      <c r="T75" s="61">
        <f t="shared" si="54"/>
        <v>0</v>
      </c>
      <c r="U75" s="61">
        <f t="shared" si="54"/>
        <v>0</v>
      </c>
      <c r="V75" s="61">
        <f t="shared" si="54"/>
        <v>0</v>
      </c>
      <c r="W75" s="61">
        <f t="shared" si="55"/>
        <v>0</v>
      </c>
      <c r="X75" s="61">
        <f t="shared" si="55"/>
        <v>0</v>
      </c>
      <c r="Y75" s="61">
        <f t="shared" si="55"/>
        <v>0</v>
      </c>
      <c r="Z75" s="61">
        <f t="shared" si="55"/>
        <v>0</v>
      </c>
      <c r="AA75" s="61">
        <f t="shared" si="55"/>
        <v>0</v>
      </c>
      <c r="AB75" s="61">
        <f t="shared" si="55"/>
        <v>0</v>
      </c>
      <c r="AC75" s="61">
        <f t="shared" si="55"/>
        <v>0</v>
      </c>
      <c r="AD75" s="61">
        <f t="shared" si="55"/>
        <v>0</v>
      </c>
      <c r="AE75" s="61">
        <f t="shared" si="55"/>
        <v>0</v>
      </c>
      <c r="AF75" s="61">
        <f t="shared" si="37"/>
        <v>0</v>
      </c>
      <c r="AG75" s="61">
        <f t="shared" si="39"/>
        <v>0</v>
      </c>
      <c r="AH75" s="61">
        <f t="shared" si="41"/>
        <v>0</v>
      </c>
      <c r="AI75" s="61">
        <f t="shared" si="43"/>
        <v>0</v>
      </c>
      <c r="AJ75" s="61">
        <f t="shared" si="45"/>
        <v>0</v>
      </c>
      <c r="AK75" s="61">
        <f t="shared" si="46"/>
        <v>0</v>
      </c>
      <c r="AL75" s="61">
        <f t="shared" si="47"/>
        <v>0</v>
      </c>
      <c r="AM75" s="61">
        <f t="shared" si="48"/>
        <v>0</v>
      </c>
      <c r="AN75" s="61">
        <f t="shared" si="49"/>
        <v>0</v>
      </c>
      <c r="AO75" s="61">
        <f t="shared" si="52"/>
        <v>0</v>
      </c>
      <c r="AP75" s="61">
        <f t="shared" si="53"/>
        <v>0</v>
      </c>
      <c r="AQ75" s="61"/>
    </row>
    <row r="76" spans="2:43" x14ac:dyDescent="0.25">
      <c r="B76" s="54">
        <v>0.81250000002910305</v>
      </c>
      <c r="C76" s="54">
        <v>1.1666666667661101</v>
      </c>
      <c r="D76" s="60"/>
      <c r="E76" s="91"/>
      <c r="G76" s="91">
        <f>SUMMARY!AI31</f>
        <v>0</v>
      </c>
      <c r="H76" s="92">
        <f t="shared" si="30"/>
        <v>0</v>
      </c>
      <c r="I76" s="180">
        <f>AL$49-AL$50</f>
        <v>0</v>
      </c>
      <c r="M76" s="61">
        <f t="shared" si="54"/>
        <v>0</v>
      </c>
      <c r="N76" s="61">
        <f t="shared" si="54"/>
        <v>0</v>
      </c>
      <c r="O76" s="61">
        <f t="shared" si="54"/>
        <v>0</v>
      </c>
      <c r="P76" s="61">
        <f t="shared" si="54"/>
        <v>0</v>
      </c>
      <c r="Q76" s="61">
        <f t="shared" si="54"/>
        <v>0</v>
      </c>
      <c r="R76" s="61">
        <f t="shared" si="54"/>
        <v>0</v>
      </c>
      <c r="S76" s="61">
        <f t="shared" si="54"/>
        <v>0</v>
      </c>
      <c r="T76" s="61">
        <f t="shared" si="54"/>
        <v>0</v>
      </c>
      <c r="U76" s="61">
        <f t="shared" si="54"/>
        <v>0</v>
      </c>
      <c r="V76" s="61">
        <f t="shared" si="54"/>
        <v>0</v>
      </c>
      <c r="W76" s="61">
        <f t="shared" si="55"/>
        <v>0</v>
      </c>
      <c r="X76" s="61">
        <f t="shared" si="55"/>
        <v>0</v>
      </c>
      <c r="Y76" s="61">
        <f t="shared" si="55"/>
        <v>0</v>
      </c>
      <c r="Z76" s="61">
        <f t="shared" si="55"/>
        <v>0</v>
      </c>
      <c r="AA76" s="61">
        <f t="shared" si="55"/>
        <v>0</v>
      </c>
      <c r="AB76" s="61">
        <f t="shared" si="55"/>
        <v>0</v>
      </c>
      <c r="AC76" s="61">
        <f t="shared" si="55"/>
        <v>0</v>
      </c>
      <c r="AD76" s="61">
        <f t="shared" si="55"/>
        <v>0</v>
      </c>
      <c r="AE76" s="61">
        <f t="shared" si="55"/>
        <v>0</v>
      </c>
      <c r="AF76" s="61">
        <f t="shared" si="37"/>
        <v>0</v>
      </c>
      <c r="AG76" s="61">
        <f t="shared" si="39"/>
        <v>0</v>
      </c>
      <c r="AH76" s="61">
        <f t="shared" si="41"/>
        <v>0</v>
      </c>
      <c r="AI76" s="61">
        <f t="shared" si="43"/>
        <v>0</v>
      </c>
      <c r="AJ76" s="61">
        <f t="shared" si="45"/>
        <v>0</v>
      </c>
      <c r="AK76" s="61">
        <f t="shared" si="46"/>
        <v>0</v>
      </c>
      <c r="AL76" s="61">
        <f t="shared" si="47"/>
        <v>0</v>
      </c>
      <c r="AM76" s="61">
        <f t="shared" si="48"/>
        <v>0</v>
      </c>
      <c r="AN76" s="61">
        <f t="shared" si="49"/>
        <v>0</v>
      </c>
      <c r="AO76" s="61">
        <f t="shared" si="52"/>
        <v>0</v>
      </c>
      <c r="AP76" s="61">
        <f t="shared" si="53"/>
        <v>0</v>
      </c>
      <c r="AQ76" s="61"/>
    </row>
    <row r="77" spans="2:43" x14ac:dyDescent="0.25">
      <c r="B77" s="54">
        <v>0.83333333336486204</v>
      </c>
      <c r="C77" s="54">
        <v>1.1875000001018701</v>
      </c>
      <c r="D77" s="60"/>
      <c r="E77" s="91"/>
      <c r="G77" s="91">
        <f>SUMMARY!AI32</f>
        <v>0</v>
      </c>
      <c r="H77" s="92">
        <f t="shared" si="30"/>
        <v>0</v>
      </c>
      <c r="I77" s="180">
        <f>AM$49-AM$50</f>
        <v>0</v>
      </c>
      <c r="M77" s="61">
        <f t="shared" si="54"/>
        <v>0</v>
      </c>
      <c r="N77" s="61">
        <f t="shared" si="54"/>
        <v>0</v>
      </c>
      <c r="O77" s="61">
        <f t="shared" si="54"/>
        <v>0</v>
      </c>
      <c r="P77" s="61">
        <f t="shared" si="54"/>
        <v>0</v>
      </c>
      <c r="Q77" s="61">
        <f t="shared" si="54"/>
        <v>0</v>
      </c>
      <c r="R77" s="61">
        <f t="shared" si="54"/>
        <v>0</v>
      </c>
      <c r="S77" s="61">
        <f t="shared" si="54"/>
        <v>0</v>
      </c>
      <c r="T77" s="61">
        <f t="shared" si="54"/>
        <v>0</v>
      </c>
      <c r="U77" s="61">
        <f t="shared" si="54"/>
        <v>0</v>
      </c>
      <c r="V77" s="61">
        <f t="shared" si="54"/>
        <v>0</v>
      </c>
      <c r="W77" s="61">
        <f t="shared" si="55"/>
        <v>0</v>
      </c>
      <c r="X77" s="61">
        <f t="shared" si="55"/>
        <v>0</v>
      </c>
      <c r="Y77" s="61">
        <f t="shared" si="55"/>
        <v>0</v>
      </c>
      <c r="Z77" s="61">
        <f t="shared" si="55"/>
        <v>0</v>
      </c>
      <c r="AA77" s="61">
        <f t="shared" si="55"/>
        <v>0</v>
      </c>
      <c r="AB77" s="61">
        <f t="shared" si="55"/>
        <v>0</v>
      </c>
      <c r="AC77" s="61">
        <f t="shared" si="55"/>
        <v>0</v>
      </c>
      <c r="AD77" s="61">
        <f t="shared" si="55"/>
        <v>0</v>
      </c>
      <c r="AE77" s="61">
        <f t="shared" si="55"/>
        <v>0</v>
      </c>
      <c r="AF77" s="61">
        <f t="shared" si="37"/>
        <v>0</v>
      </c>
      <c r="AG77" s="61">
        <f t="shared" si="39"/>
        <v>0</v>
      </c>
      <c r="AH77" s="61">
        <f t="shared" si="41"/>
        <v>0</v>
      </c>
      <c r="AI77" s="61">
        <f t="shared" si="43"/>
        <v>0</v>
      </c>
      <c r="AJ77" s="61">
        <f t="shared" si="45"/>
        <v>0</v>
      </c>
      <c r="AK77" s="61">
        <f t="shared" si="46"/>
        <v>0</v>
      </c>
      <c r="AL77" s="61">
        <f t="shared" si="47"/>
        <v>0</v>
      </c>
      <c r="AM77" s="61">
        <f t="shared" si="48"/>
        <v>0</v>
      </c>
      <c r="AN77" s="61">
        <f t="shared" si="49"/>
        <v>0</v>
      </c>
      <c r="AO77" s="61">
        <f t="shared" si="52"/>
        <v>0</v>
      </c>
      <c r="AP77" s="61">
        <f t="shared" si="53"/>
        <v>0</v>
      </c>
      <c r="AQ77" s="61"/>
    </row>
    <row r="78" spans="2:43" x14ac:dyDescent="0.25">
      <c r="B78" s="54">
        <v>0.85416666670062102</v>
      </c>
      <c r="C78" s="54">
        <v>1.2083333334376301</v>
      </c>
      <c r="D78" s="60"/>
      <c r="E78" s="91"/>
      <c r="G78" s="91">
        <f>SUMMARY!AI33</f>
        <v>0</v>
      </c>
      <c r="H78" s="92">
        <f t="shared" si="30"/>
        <v>0</v>
      </c>
      <c r="I78" s="180">
        <f>AN$49-AN$50</f>
        <v>0</v>
      </c>
      <c r="M78" s="61">
        <f t="shared" si="54"/>
        <v>0</v>
      </c>
      <c r="N78" s="61">
        <f t="shared" si="54"/>
        <v>0</v>
      </c>
      <c r="O78" s="61">
        <f t="shared" si="54"/>
        <v>0</v>
      </c>
      <c r="P78" s="61">
        <f t="shared" si="54"/>
        <v>0</v>
      </c>
      <c r="Q78" s="61">
        <f t="shared" si="54"/>
        <v>0</v>
      </c>
      <c r="R78" s="61">
        <f t="shared" si="54"/>
        <v>0</v>
      </c>
      <c r="S78" s="61">
        <f t="shared" si="54"/>
        <v>0</v>
      </c>
      <c r="T78" s="61">
        <f t="shared" si="54"/>
        <v>0</v>
      </c>
      <c r="U78" s="61">
        <f t="shared" si="54"/>
        <v>0</v>
      </c>
      <c r="V78" s="61">
        <f t="shared" si="54"/>
        <v>0</v>
      </c>
      <c r="W78" s="61">
        <f t="shared" si="55"/>
        <v>0</v>
      </c>
      <c r="X78" s="61">
        <f t="shared" si="55"/>
        <v>0</v>
      </c>
      <c r="Y78" s="61">
        <f t="shared" si="55"/>
        <v>0</v>
      </c>
      <c r="Z78" s="61">
        <f t="shared" si="55"/>
        <v>0</v>
      </c>
      <c r="AA78" s="61">
        <f t="shared" si="55"/>
        <v>0</v>
      </c>
      <c r="AB78" s="61">
        <f t="shared" si="55"/>
        <v>0</v>
      </c>
      <c r="AC78" s="61">
        <f t="shared" si="55"/>
        <v>0</v>
      </c>
      <c r="AD78" s="61">
        <f t="shared" si="55"/>
        <v>0</v>
      </c>
      <c r="AE78" s="61">
        <f t="shared" si="55"/>
        <v>0</v>
      </c>
      <c r="AF78" s="61">
        <f t="shared" si="37"/>
        <v>0</v>
      </c>
      <c r="AG78" s="61">
        <f t="shared" si="39"/>
        <v>0</v>
      </c>
      <c r="AH78" s="61">
        <f t="shared" si="41"/>
        <v>0</v>
      </c>
      <c r="AI78" s="61">
        <f t="shared" si="43"/>
        <v>0</v>
      </c>
      <c r="AJ78" s="61">
        <f t="shared" si="45"/>
        <v>0</v>
      </c>
      <c r="AK78" s="61">
        <f t="shared" si="46"/>
        <v>0</v>
      </c>
      <c r="AL78" s="61">
        <f t="shared" si="47"/>
        <v>0</v>
      </c>
      <c r="AM78" s="61">
        <f t="shared" si="48"/>
        <v>0</v>
      </c>
      <c r="AN78" s="61">
        <f t="shared" si="49"/>
        <v>0</v>
      </c>
      <c r="AO78" s="61">
        <f t="shared" si="52"/>
        <v>0</v>
      </c>
      <c r="AP78" s="61">
        <f t="shared" si="53"/>
        <v>0</v>
      </c>
      <c r="AQ78" s="61"/>
    </row>
    <row r="79" spans="2:43" x14ac:dyDescent="0.25">
      <c r="B79" s="54">
        <v>0.87500000003637901</v>
      </c>
      <c r="C79" s="54">
        <v>1.22916666677339</v>
      </c>
      <c r="D79" s="60"/>
      <c r="E79" s="91"/>
      <c r="G79" s="91">
        <f>SUMMARY!AI34</f>
        <v>0</v>
      </c>
      <c r="H79" s="92">
        <f t="shared" si="30"/>
        <v>0</v>
      </c>
      <c r="I79" s="180">
        <f>AO$49-AO$50</f>
        <v>0</v>
      </c>
      <c r="M79" s="61">
        <f t="shared" si="54"/>
        <v>0</v>
      </c>
      <c r="N79" s="61">
        <f t="shared" si="54"/>
        <v>0</v>
      </c>
      <c r="O79" s="61">
        <f t="shared" si="54"/>
        <v>0</v>
      </c>
      <c r="P79" s="61">
        <f t="shared" si="54"/>
        <v>0</v>
      </c>
      <c r="Q79" s="61">
        <f t="shared" si="54"/>
        <v>0</v>
      </c>
      <c r="R79" s="61">
        <f t="shared" si="54"/>
        <v>0</v>
      </c>
      <c r="S79" s="61">
        <f t="shared" si="54"/>
        <v>0</v>
      </c>
      <c r="T79" s="61">
        <f t="shared" si="54"/>
        <v>0</v>
      </c>
      <c r="U79" s="61">
        <f t="shared" si="54"/>
        <v>0</v>
      </c>
      <c r="V79" s="61">
        <f t="shared" si="54"/>
        <v>0</v>
      </c>
      <c r="W79" s="61">
        <f t="shared" si="55"/>
        <v>0</v>
      </c>
      <c r="X79" s="61">
        <f t="shared" si="55"/>
        <v>0</v>
      </c>
      <c r="Y79" s="61">
        <f t="shared" si="55"/>
        <v>0</v>
      </c>
      <c r="Z79" s="61">
        <f t="shared" si="55"/>
        <v>0</v>
      </c>
      <c r="AA79" s="61">
        <f t="shared" si="55"/>
        <v>0</v>
      </c>
      <c r="AB79" s="61">
        <f t="shared" si="55"/>
        <v>0</v>
      </c>
      <c r="AC79" s="61">
        <f t="shared" si="55"/>
        <v>0</v>
      </c>
      <c r="AD79" s="61">
        <f t="shared" si="55"/>
        <v>0</v>
      </c>
      <c r="AE79" s="61">
        <f t="shared" si="55"/>
        <v>0</v>
      </c>
      <c r="AF79" s="61">
        <f t="shared" si="37"/>
        <v>0</v>
      </c>
      <c r="AG79" s="61">
        <f t="shared" si="39"/>
        <v>0</v>
      </c>
      <c r="AH79" s="61">
        <f t="shared" si="41"/>
        <v>0</v>
      </c>
      <c r="AI79" s="61">
        <f t="shared" si="43"/>
        <v>0</v>
      </c>
      <c r="AJ79" s="61">
        <f t="shared" si="45"/>
        <v>0</v>
      </c>
      <c r="AK79" s="61">
        <f t="shared" si="46"/>
        <v>0</v>
      </c>
      <c r="AL79" s="61">
        <f t="shared" si="47"/>
        <v>0</v>
      </c>
      <c r="AM79" s="61">
        <f t="shared" si="48"/>
        <v>0</v>
      </c>
      <c r="AN79" s="61">
        <f t="shared" si="49"/>
        <v>0</v>
      </c>
      <c r="AO79" s="61">
        <f t="shared" si="52"/>
        <v>0</v>
      </c>
      <c r="AP79" s="61">
        <f t="shared" si="53"/>
        <v>0</v>
      </c>
      <c r="AQ79" s="61"/>
    </row>
    <row r="80" spans="2:43" x14ac:dyDescent="0.25">
      <c r="B80" s="54">
        <v>0.895833333372138</v>
      </c>
      <c r="C80" s="54">
        <v>1.25000000010915</v>
      </c>
      <c r="D80" s="60"/>
      <c r="E80" s="91"/>
      <c r="G80" s="91">
        <f>SUMMARY!AI35</f>
        <v>0</v>
      </c>
      <c r="H80" s="92">
        <f t="shared" si="30"/>
        <v>0</v>
      </c>
      <c r="I80" s="180">
        <f>AP$49-AP$50</f>
        <v>0</v>
      </c>
      <c r="M80" s="61">
        <f t="shared" si="54"/>
        <v>0</v>
      </c>
      <c r="N80" s="61">
        <f t="shared" si="54"/>
        <v>0</v>
      </c>
      <c r="O80" s="61">
        <f t="shared" si="54"/>
        <v>0</v>
      </c>
      <c r="P80" s="61">
        <f t="shared" si="54"/>
        <v>0</v>
      </c>
      <c r="Q80" s="61">
        <f t="shared" si="54"/>
        <v>0</v>
      </c>
      <c r="R80" s="61">
        <f t="shared" si="54"/>
        <v>0</v>
      </c>
      <c r="S80" s="61">
        <f t="shared" si="54"/>
        <v>0</v>
      </c>
      <c r="T80" s="61">
        <f t="shared" si="54"/>
        <v>0</v>
      </c>
      <c r="U80" s="61">
        <f t="shared" si="54"/>
        <v>0</v>
      </c>
      <c r="V80" s="61">
        <f t="shared" si="54"/>
        <v>0</v>
      </c>
      <c r="W80" s="61">
        <f t="shared" si="55"/>
        <v>0</v>
      </c>
      <c r="X80" s="61">
        <f t="shared" si="55"/>
        <v>0</v>
      </c>
      <c r="Y80" s="61">
        <f t="shared" si="55"/>
        <v>0</v>
      </c>
      <c r="Z80" s="61">
        <f t="shared" si="55"/>
        <v>0</v>
      </c>
      <c r="AA80" s="61">
        <f t="shared" si="55"/>
        <v>0</v>
      </c>
      <c r="AB80" s="61">
        <f t="shared" si="55"/>
        <v>0</v>
      </c>
      <c r="AC80" s="61">
        <f t="shared" si="55"/>
        <v>0</v>
      </c>
      <c r="AD80" s="61">
        <f t="shared" si="55"/>
        <v>0</v>
      </c>
      <c r="AE80" s="61">
        <f t="shared" si="55"/>
        <v>0</v>
      </c>
      <c r="AF80" s="61">
        <f t="shared" si="37"/>
        <v>0</v>
      </c>
      <c r="AG80" s="61">
        <f t="shared" si="39"/>
        <v>0</v>
      </c>
      <c r="AH80" s="61">
        <f t="shared" si="41"/>
        <v>0</v>
      </c>
      <c r="AI80" s="61">
        <f t="shared" si="43"/>
        <v>0</v>
      </c>
      <c r="AJ80" s="61">
        <f t="shared" si="45"/>
        <v>0</v>
      </c>
      <c r="AK80" s="61">
        <f t="shared" si="46"/>
        <v>0</v>
      </c>
      <c r="AL80" s="61">
        <f t="shared" si="47"/>
        <v>0</v>
      </c>
      <c r="AM80" s="61">
        <f t="shared" si="48"/>
        <v>0</v>
      </c>
      <c r="AN80" s="61">
        <f t="shared" si="49"/>
        <v>0</v>
      </c>
      <c r="AO80" s="61">
        <f t="shared" si="52"/>
        <v>0</v>
      </c>
      <c r="AP80" s="61">
        <f t="shared" si="53"/>
        <v>0</v>
      </c>
      <c r="AQ80" s="61"/>
    </row>
    <row r="81" spans="2:43" x14ac:dyDescent="0.25">
      <c r="B81" s="60"/>
      <c r="C81" s="60"/>
      <c r="D81" s="60"/>
      <c r="E81" s="91"/>
      <c r="G81" s="91"/>
      <c r="H81" s="94"/>
      <c r="I81" s="180">
        <f>NCC!$O$36</f>
        <v>0</v>
      </c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</row>
    <row r="82" spans="2:43" x14ac:dyDescent="0.25">
      <c r="B82" s="60"/>
      <c r="C82" s="60"/>
      <c r="D82" s="60"/>
      <c r="F82" s="94"/>
      <c r="G82" s="94"/>
      <c r="H82" s="94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</row>
    <row r="88" spans="2:43" s="52" customFormat="1" x14ac:dyDescent="0.25">
      <c r="E88" s="53"/>
      <c r="F88" s="53"/>
      <c r="G88" s="53"/>
      <c r="H88" s="53"/>
      <c r="I88" s="53"/>
      <c r="J88" s="53"/>
      <c r="K88" s="58" t="s">
        <v>32</v>
      </c>
      <c r="L88" s="53"/>
      <c r="M88" s="84">
        <f>G93</f>
        <v>0</v>
      </c>
      <c r="N88" s="84">
        <f>M88+G94</f>
        <v>0</v>
      </c>
      <c r="O88" s="84">
        <f>N88+G95</f>
        <v>0</v>
      </c>
      <c r="P88" s="84">
        <f>+O88+G96</f>
        <v>0</v>
      </c>
      <c r="Q88" s="84">
        <f>P88+G97</f>
        <v>0</v>
      </c>
      <c r="R88" s="84">
        <f>Q88+G98</f>
        <v>0</v>
      </c>
      <c r="S88" s="84">
        <f>R88+G99</f>
        <v>0</v>
      </c>
      <c r="T88" s="84">
        <f>S88+G100</f>
        <v>0</v>
      </c>
      <c r="U88" s="84">
        <f>T88+G101-G93</f>
        <v>0</v>
      </c>
      <c r="V88" s="84">
        <f>U88+G102-G94</f>
        <v>0</v>
      </c>
      <c r="W88" s="84">
        <f>V88+G103-G95</f>
        <v>0</v>
      </c>
      <c r="X88" s="84">
        <f>W88+G104-G96</f>
        <v>0</v>
      </c>
      <c r="Y88" s="84">
        <f>X88+G105-G97</f>
        <v>0</v>
      </c>
      <c r="Z88" s="84">
        <f>Y88+G106-G98</f>
        <v>0</v>
      </c>
      <c r="AA88" s="84">
        <f>Z88+G107-G99</f>
        <v>0</v>
      </c>
      <c r="AB88" s="84">
        <f>AA88+G108-G100</f>
        <v>0</v>
      </c>
      <c r="AC88" s="84">
        <f>AB88+G109-G101</f>
        <v>0</v>
      </c>
      <c r="AD88" s="84">
        <f>AC88+G110-G102</f>
        <v>0</v>
      </c>
      <c r="AE88" s="84">
        <f>AD88+G111-G103</f>
        <v>0</v>
      </c>
      <c r="AF88" s="84">
        <f>AE88+G112-G104</f>
        <v>0</v>
      </c>
      <c r="AG88" s="84">
        <f>AF88+G113-G105</f>
        <v>0</v>
      </c>
      <c r="AH88" s="84">
        <f>AG88+G114-G106</f>
        <v>0</v>
      </c>
      <c r="AI88" s="84">
        <f>AH88+G115-G107</f>
        <v>0</v>
      </c>
      <c r="AJ88" s="84">
        <f>AI88+G116-G108</f>
        <v>0</v>
      </c>
      <c r="AK88" s="84">
        <f>AJ88+G117-G109</f>
        <v>0</v>
      </c>
      <c r="AL88" s="84">
        <f>AK88+G118-G110</f>
        <v>0</v>
      </c>
      <c r="AM88" s="84">
        <f>AL88+G119-G111</f>
        <v>0</v>
      </c>
      <c r="AN88" s="84">
        <f>AM88+G120-G112</f>
        <v>0</v>
      </c>
      <c r="AO88" s="84">
        <f>AN88+G121-G113</f>
        <v>0</v>
      </c>
      <c r="AP88" s="84">
        <f>AO88+G122-G114</f>
        <v>0</v>
      </c>
      <c r="AQ88" s="84">
        <f>SUM(M88:AP88)/8.5</f>
        <v>0</v>
      </c>
    </row>
    <row r="89" spans="2:43" x14ac:dyDescent="0.25">
      <c r="J89" s="57"/>
      <c r="K89" s="58" t="s">
        <v>31</v>
      </c>
      <c r="M89" s="84">
        <f>F93</f>
        <v>0</v>
      </c>
      <c r="N89" s="84">
        <f>M89+F94</f>
        <v>0</v>
      </c>
      <c r="O89" s="84">
        <f>N89+F95</f>
        <v>0</v>
      </c>
      <c r="P89" s="84">
        <f>O89+F96</f>
        <v>0</v>
      </c>
      <c r="Q89" s="84">
        <f>P89+F97</f>
        <v>0</v>
      </c>
      <c r="R89" s="84">
        <f>Q89+F98</f>
        <v>0</v>
      </c>
      <c r="S89" s="84">
        <f>R89+F99</f>
        <v>0</v>
      </c>
      <c r="T89" s="84">
        <f>S89+F100</f>
        <v>0</v>
      </c>
      <c r="U89" s="84">
        <f>T89+F101</f>
        <v>0</v>
      </c>
      <c r="V89" s="84">
        <f>U89</f>
        <v>0</v>
      </c>
      <c r="W89" s="84">
        <f>V89</f>
        <v>0</v>
      </c>
      <c r="X89" s="84">
        <f>W89</f>
        <v>0</v>
      </c>
      <c r="Y89" s="96"/>
      <c r="Z89" s="96"/>
      <c r="AA89" s="96"/>
      <c r="AB89" s="96"/>
      <c r="AC89" s="84">
        <f t="shared" ref="AC89:AN89" si="56">M89</f>
        <v>0</v>
      </c>
      <c r="AD89" s="84">
        <f t="shared" si="56"/>
        <v>0</v>
      </c>
      <c r="AE89" s="84">
        <f t="shared" si="56"/>
        <v>0</v>
      </c>
      <c r="AF89" s="84">
        <f t="shared" si="56"/>
        <v>0</v>
      </c>
      <c r="AG89" s="84">
        <f t="shared" si="56"/>
        <v>0</v>
      </c>
      <c r="AH89" s="84">
        <f t="shared" si="56"/>
        <v>0</v>
      </c>
      <c r="AI89" s="84">
        <f t="shared" si="56"/>
        <v>0</v>
      </c>
      <c r="AJ89" s="84">
        <f t="shared" si="56"/>
        <v>0</v>
      </c>
      <c r="AK89" s="84">
        <f t="shared" si="56"/>
        <v>0</v>
      </c>
      <c r="AL89" s="84">
        <f t="shared" si="56"/>
        <v>0</v>
      </c>
      <c r="AM89" s="84">
        <f t="shared" si="56"/>
        <v>0</v>
      </c>
      <c r="AN89" s="84">
        <f t="shared" si="56"/>
        <v>0</v>
      </c>
      <c r="AO89" s="84"/>
      <c r="AP89" s="84"/>
      <c r="AQ89" s="182"/>
    </row>
    <row r="90" spans="2:43" s="57" customFormat="1" ht="17.25" customHeight="1" x14ac:dyDescent="0.25">
      <c r="K90" s="58" t="s">
        <v>13</v>
      </c>
      <c r="M90" s="84"/>
      <c r="N90" s="84"/>
      <c r="O90" s="84"/>
      <c r="P90" s="84"/>
      <c r="Q90" s="84"/>
      <c r="R90" s="84"/>
      <c r="S90" s="84"/>
      <c r="T90" s="84"/>
      <c r="U90" s="84">
        <f>M89</f>
        <v>0</v>
      </c>
      <c r="V90" s="84">
        <f>N89</f>
        <v>0</v>
      </c>
      <c r="W90" s="84">
        <f>O89</f>
        <v>0</v>
      </c>
      <c r="X90" s="84">
        <f>P89</f>
        <v>0</v>
      </c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>
        <f>AC89</f>
        <v>0</v>
      </c>
      <c r="AL90" s="84">
        <f>AD89</f>
        <v>0</v>
      </c>
      <c r="AM90" s="84">
        <f>AE89</f>
        <v>0</v>
      </c>
      <c r="AN90" s="84">
        <f>AF89</f>
        <v>0</v>
      </c>
      <c r="AO90" s="84"/>
      <c r="AP90" s="85"/>
      <c r="AQ90" s="86"/>
    </row>
    <row r="91" spans="2:43" s="57" customFormat="1" ht="17.25" customHeight="1" x14ac:dyDescent="0.25">
      <c r="B91" s="57" t="s">
        <v>18</v>
      </c>
      <c r="E91" s="59" t="s">
        <v>8</v>
      </c>
      <c r="F91" s="59" t="s">
        <v>15</v>
      </c>
      <c r="G91" s="59" t="s">
        <v>32</v>
      </c>
      <c r="H91" s="59" t="s">
        <v>16</v>
      </c>
      <c r="J91" s="58" t="s">
        <v>9</v>
      </c>
      <c r="K91" s="58">
        <f>SUM(M91:AP91)/16</f>
        <v>0</v>
      </c>
      <c r="M91" s="87">
        <f t="shared" ref="M91:AP91" si="57">SUM(M93:M122)+M89+M88-M90</f>
        <v>0</v>
      </c>
      <c r="N91" s="87">
        <f t="shared" si="57"/>
        <v>0</v>
      </c>
      <c r="O91" s="87">
        <f t="shared" si="57"/>
        <v>0</v>
      </c>
      <c r="P91" s="87">
        <f t="shared" si="57"/>
        <v>0</v>
      </c>
      <c r="Q91" s="87">
        <f t="shared" si="57"/>
        <v>0</v>
      </c>
      <c r="R91" s="87">
        <f t="shared" si="57"/>
        <v>0</v>
      </c>
      <c r="S91" s="87">
        <f t="shared" si="57"/>
        <v>0</v>
      </c>
      <c r="T91" s="87">
        <f t="shared" si="57"/>
        <v>0</v>
      </c>
      <c r="U91" s="87">
        <f t="shared" si="57"/>
        <v>0</v>
      </c>
      <c r="V91" s="87">
        <f t="shared" si="57"/>
        <v>0</v>
      </c>
      <c r="W91" s="87">
        <f t="shared" si="57"/>
        <v>0</v>
      </c>
      <c r="X91" s="87">
        <f t="shared" si="57"/>
        <v>0</v>
      </c>
      <c r="Y91" s="87">
        <f t="shared" si="57"/>
        <v>0</v>
      </c>
      <c r="Z91" s="87">
        <f t="shared" si="57"/>
        <v>0</v>
      </c>
      <c r="AA91" s="87">
        <f t="shared" si="57"/>
        <v>0</v>
      </c>
      <c r="AB91" s="87">
        <f t="shared" si="57"/>
        <v>0</v>
      </c>
      <c r="AC91" s="87">
        <f t="shared" si="57"/>
        <v>0</v>
      </c>
      <c r="AD91" s="87">
        <f t="shared" si="57"/>
        <v>0</v>
      </c>
      <c r="AE91" s="87">
        <f t="shared" si="57"/>
        <v>0</v>
      </c>
      <c r="AF91" s="87">
        <f t="shared" si="57"/>
        <v>0</v>
      </c>
      <c r="AG91" s="87">
        <f t="shared" si="57"/>
        <v>0</v>
      </c>
      <c r="AH91" s="87">
        <f t="shared" si="57"/>
        <v>0</v>
      </c>
      <c r="AI91" s="87">
        <f t="shared" si="57"/>
        <v>0</v>
      </c>
      <c r="AJ91" s="87">
        <f t="shared" si="57"/>
        <v>0</v>
      </c>
      <c r="AK91" s="87">
        <f t="shared" si="57"/>
        <v>0</v>
      </c>
      <c r="AL91" s="87">
        <f t="shared" si="57"/>
        <v>0</v>
      </c>
      <c r="AM91" s="87">
        <f t="shared" si="57"/>
        <v>0</v>
      </c>
      <c r="AN91" s="87">
        <f t="shared" si="57"/>
        <v>0</v>
      </c>
      <c r="AO91" s="87">
        <f t="shared" si="57"/>
        <v>0</v>
      </c>
      <c r="AP91" s="87">
        <f t="shared" si="57"/>
        <v>0</v>
      </c>
      <c r="AQ91" s="87"/>
    </row>
    <row r="92" spans="2:43" s="88" customFormat="1" x14ac:dyDescent="0.25">
      <c r="E92" s="178">
        <f>SUM(E93:E122)</f>
        <v>0</v>
      </c>
      <c r="F92" s="178">
        <f>SUM(F93:F122)</f>
        <v>0</v>
      </c>
      <c r="G92" s="178">
        <f>SUM(G93:G122)</f>
        <v>0</v>
      </c>
      <c r="H92" s="178">
        <f>SUM(H93:H122)</f>
        <v>0</v>
      </c>
      <c r="I92" s="89"/>
      <c r="J92" s="89"/>
      <c r="K92" s="58" t="s">
        <v>7</v>
      </c>
      <c r="L92" s="89"/>
      <c r="M92" s="180">
        <f>SUMMARY!$G$6</f>
        <v>0</v>
      </c>
      <c r="N92" s="180">
        <f>SUMMARY!$G$7</f>
        <v>0</v>
      </c>
      <c r="O92" s="180">
        <f>SUMMARY!$G$8</f>
        <v>0</v>
      </c>
      <c r="P92" s="180">
        <f>SUMMARY!$G$9</f>
        <v>0</v>
      </c>
      <c r="Q92" s="180">
        <f>SUMMARY!$G$10</f>
        <v>0</v>
      </c>
      <c r="R92" s="180">
        <f>SUMMARY!$G$11</f>
        <v>0</v>
      </c>
      <c r="S92" s="180">
        <f>SUMMARY!$G$12</f>
        <v>0</v>
      </c>
      <c r="T92" s="180">
        <f>SUMMARY!$G$13</f>
        <v>0</v>
      </c>
      <c r="U92" s="180">
        <f>SUMMARY!$G$14</f>
        <v>0</v>
      </c>
      <c r="V92" s="180">
        <f>SUMMARY!$G$15</f>
        <v>0</v>
      </c>
      <c r="W92" s="180">
        <f>SUMMARY!$G$16</f>
        <v>0</v>
      </c>
      <c r="X92" s="180">
        <f>SUMMARY!$G$17</f>
        <v>0</v>
      </c>
      <c r="Y92" s="180">
        <f>SUMMARY!$G$18</f>
        <v>0</v>
      </c>
      <c r="Z92" s="180">
        <f>SUMMARY!$G$19</f>
        <v>0</v>
      </c>
      <c r="AA92" s="180">
        <f>SUMMARY!$G$20</f>
        <v>0</v>
      </c>
      <c r="AB92" s="180">
        <f>SUMMARY!$G$21</f>
        <v>0</v>
      </c>
      <c r="AC92" s="180">
        <f>SUMMARY!$G$22</f>
        <v>0</v>
      </c>
      <c r="AD92" s="180">
        <f>SUMMARY!$G$23</f>
        <v>0</v>
      </c>
      <c r="AE92" s="180">
        <f>SUMMARY!$G$24</f>
        <v>0</v>
      </c>
      <c r="AF92" s="180">
        <f>SUMMARY!$G$25</f>
        <v>0</v>
      </c>
      <c r="AG92" s="180">
        <f>SUMMARY!$G$26</f>
        <v>0</v>
      </c>
      <c r="AH92" s="180">
        <f>SUMMARY!$G$27</f>
        <v>0</v>
      </c>
      <c r="AI92" s="180">
        <f>SUMMARY!$G$28</f>
        <v>0</v>
      </c>
      <c r="AJ92" s="180">
        <f>SUMMARY!$G$29</f>
        <v>0</v>
      </c>
      <c r="AK92" s="180">
        <f>SUMMARY!$G$30</f>
        <v>0</v>
      </c>
      <c r="AL92" s="180">
        <f>SUMMARY!$G$31</f>
        <v>0</v>
      </c>
      <c r="AM92" s="180">
        <f>SUMMARY!$G$32</f>
        <v>0</v>
      </c>
      <c r="AN92" s="180">
        <f>SUMMARY!$G$33</f>
        <v>0</v>
      </c>
      <c r="AO92" s="180">
        <f>SUMMARY!$G$34</f>
        <v>0</v>
      </c>
      <c r="AP92" s="180">
        <f>SUMMARY!$G$35</f>
        <v>0</v>
      </c>
      <c r="AQ92" s="180">
        <f>NCC!$P$36</f>
        <v>0</v>
      </c>
    </row>
    <row r="93" spans="2:43" x14ac:dyDescent="0.25">
      <c r="B93" s="54">
        <v>0.29166666666424135</v>
      </c>
      <c r="C93" s="54">
        <v>0.645833333372138</v>
      </c>
      <c r="D93" s="60"/>
      <c r="E93" s="91">
        <f>SUMMARY!Y6</f>
        <v>0</v>
      </c>
      <c r="F93" s="91">
        <f>SUMMARY!AQ6</f>
        <v>0</v>
      </c>
      <c r="G93" s="91">
        <f>SUMMARY!AJ6</f>
        <v>0</v>
      </c>
      <c r="H93" s="92">
        <f t="shared" ref="H93:H122" si="58">SUM(E93:G93)</f>
        <v>0</v>
      </c>
      <c r="I93" s="180">
        <f>M$91-M$92</f>
        <v>0</v>
      </c>
      <c r="M93" s="61">
        <f t="shared" ref="M93:V94" si="59">IF(AND(M$2&gt;=$B93,M$2&lt;$C93),$E93,0)</f>
        <v>0</v>
      </c>
      <c r="N93" s="61">
        <f t="shared" si="59"/>
        <v>0</v>
      </c>
      <c r="O93" s="61">
        <f t="shared" si="59"/>
        <v>0</v>
      </c>
      <c r="P93" s="61">
        <f t="shared" si="59"/>
        <v>0</v>
      </c>
      <c r="Q93" s="61">
        <f t="shared" si="59"/>
        <v>0</v>
      </c>
      <c r="R93" s="61">
        <f t="shared" si="59"/>
        <v>0</v>
      </c>
      <c r="S93" s="61">
        <f t="shared" si="59"/>
        <v>0</v>
      </c>
      <c r="T93" s="61">
        <f t="shared" si="59"/>
        <v>0</v>
      </c>
      <c r="U93" s="61">
        <f t="shared" si="59"/>
        <v>0</v>
      </c>
      <c r="V93" s="61">
        <f t="shared" si="59"/>
        <v>0</v>
      </c>
      <c r="W93" s="61">
        <f t="shared" ref="W93:AF94" si="60">IF(AND(W$2&gt;=$B93,W$2&lt;$C93),$E93,0)</f>
        <v>0</v>
      </c>
      <c r="X93" s="61">
        <f t="shared" si="60"/>
        <v>0</v>
      </c>
      <c r="Y93" s="61">
        <f t="shared" si="60"/>
        <v>0</v>
      </c>
      <c r="Z93" s="61">
        <f t="shared" si="60"/>
        <v>0</v>
      </c>
      <c r="AA93" s="61">
        <f t="shared" si="60"/>
        <v>0</v>
      </c>
      <c r="AB93" s="61">
        <f t="shared" si="60"/>
        <v>0</v>
      </c>
      <c r="AC93" s="61">
        <f t="shared" si="60"/>
        <v>0</v>
      </c>
      <c r="AD93" s="61">
        <f t="shared" si="60"/>
        <v>0</v>
      </c>
      <c r="AE93" s="61">
        <f t="shared" si="60"/>
        <v>0</v>
      </c>
      <c r="AF93" s="61">
        <f t="shared" si="60"/>
        <v>0</v>
      </c>
      <c r="AG93" s="61">
        <f t="shared" ref="AG93:AP94" si="61">IF(AND(AG$2&gt;=$B93,AG$2&lt;$C93),$E93,0)</f>
        <v>0</v>
      </c>
      <c r="AH93" s="61">
        <f t="shared" si="61"/>
        <v>0</v>
      </c>
      <c r="AI93" s="61">
        <f t="shared" si="61"/>
        <v>0</v>
      </c>
      <c r="AJ93" s="61">
        <f t="shared" si="61"/>
        <v>0</v>
      </c>
      <c r="AK93" s="61">
        <f t="shared" si="61"/>
        <v>0</v>
      </c>
      <c r="AL93" s="61">
        <f t="shared" si="61"/>
        <v>0</v>
      </c>
      <c r="AM93" s="61">
        <f t="shared" si="61"/>
        <v>0</v>
      </c>
      <c r="AN93" s="61">
        <f t="shared" si="61"/>
        <v>0</v>
      </c>
      <c r="AO93" s="61">
        <f t="shared" si="61"/>
        <v>0</v>
      </c>
      <c r="AP93" s="61">
        <f t="shared" si="61"/>
        <v>0</v>
      </c>
      <c r="AQ93" s="61"/>
    </row>
    <row r="94" spans="2:43" x14ac:dyDescent="0.25">
      <c r="B94" s="54">
        <v>0.3125</v>
      </c>
      <c r="C94" s="54">
        <v>0.66666666670789698</v>
      </c>
      <c r="D94" s="60"/>
      <c r="E94" s="91">
        <f>SUMMARY!Y7</f>
        <v>0</v>
      </c>
      <c r="F94" s="91">
        <f>SUMMARY!AQ7</f>
        <v>0</v>
      </c>
      <c r="G94" s="91">
        <f>SUMMARY!AJ7</f>
        <v>0</v>
      </c>
      <c r="H94" s="92">
        <f t="shared" si="58"/>
        <v>0</v>
      </c>
      <c r="I94" s="180">
        <f>N$91-N$92</f>
        <v>0</v>
      </c>
      <c r="M94" s="61">
        <f t="shared" si="59"/>
        <v>0</v>
      </c>
      <c r="N94" s="61">
        <f t="shared" si="59"/>
        <v>0</v>
      </c>
      <c r="O94" s="61">
        <f t="shared" si="59"/>
        <v>0</v>
      </c>
      <c r="P94" s="61">
        <f t="shared" si="59"/>
        <v>0</v>
      </c>
      <c r="Q94" s="61">
        <f t="shared" si="59"/>
        <v>0</v>
      </c>
      <c r="R94" s="61">
        <f t="shared" si="59"/>
        <v>0</v>
      </c>
      <c r="S94" s="61">
        <f t="shared" si="59"/>
        <v>0</v>
      </c>
      <c r="T94" s="61">
        <f t="shared" si="59"/>
        <v>0</v>
      </c>
      <c r="U94" s="61">
        <f t="shared" si="59"/>
        <v>0</v>
      </c>
      <c r="V94" s="61">
        <f t="shared" si="59"/>
        <v>0</v>
      </c>
      <c r="W94" s="61">
        <f t="shared" si="60"/>
        <v>0</v>
      </c>
      <c r="X94" s="61">
        <f t="shared" si="60"/>
        <v>0</v>
      </c>
      <c r="Y94" s="61">
        <f t="shared" si="60"/>
        <v>0</v>
      </c>
      <c r="Z94" s="61">
        <f t="shared" si="60"/>
        <v>0</v>
      </c>
      <c r="AA94" s="61">
        <f t="shared" si="60"/>
        <v>0</v>
      </c>
      <c r="AB94" s="61">
        <f t="shared" si="60"/>
        <v>0</v>
      </c>
      <c r="AC94" s="61">
        <f t="shared" si="60"/>
        <v>0</v>
      </c>
      <c r="AD94" s="61">
        <f t="shared" si="60"/>
        <v>0</v>
      </c>
      <c r="AE94" s="61">
        <f t="shared" si="60"/>
        <v>0</v>
      </c>
      <c r="AF94" s="61">
        <f t="shared" si="60"/>
        <v>0</v>
      </c>
      <c r="AG94" s="61">
        <f t="shared" si="61"/>
        <v>0</v>
      </c>
      <c r="AH94" s="61">
        <f t="shared" si="61"/>
        <v>0</v>
      </c>
      <c r="AI94" s="61">
        <f t="shared" si="61"/>
        <v>0</v>
      </c>
      <c r="AJ94" s="61">
        <f t="shared" si="61"/>
        <v>0</v>
      </c>
      <c r="AK94" s="61">
        <f t="shared" si="61"/>
        <v>0</v>
      </c>
      <c r="AL94" s="61">
        <f t="shared" si="61"/>
        <v>0</v>
      </c>
      <c r="AM94" s="61">
        <f t="shared" si="61"/>
        <v>0</v>
      </c>
      <c r="AN94" s="61">
        <f t="shared" si="61"/>
        <v>0</v>
      </c>
      <c r="AO94" s="61">
        <f t="shared" si="61"/>
        <v>0</v>
      </c>
      <c r="AP94" s="61">
        <f t="shared" si="61"/>
        <v>0</v>
      </c>
      <c r="AQ94" s="61"/>
    </row>
    <row r="95" spans="2:43" x14ac:dyDescent="0.25">
      <c r="B95" s="54">
        <v>0.33333333333575865</v>
      </c>
      <c r="C95" s="54">
        <v>0.68750000004365597</v>
      </c>
      <c r="D95" s="60"/>
      <c r="E95" s="91">
        <f>SUMMARY!Y8</f>
        <v>0</v>
      </c>
      <c r="F95" s="91">
        <f>SUMMARY!AQ8</f>
        <v>0</v>
      </c>
      <c r="G95" s="91">
        <f>SUMMARY!AJ8</f>
        <v>0</v>
      </c>
      <c r="H95" s="92">
        <f t="shared" si="58"/>
        <v>0</v>
      </c>
      <c r="I95" s="180">
        <f>O$91-O$92</f>
        <v>0</v>
      </c>
      <c r="M95" s="61">
        <f t="shared" ref="M95:V104" si="62">IF(AND(M$2&gt;=$B95,M$2&lt;$C95),$E95,0)</f>
        <v>0</v>
      </c>
      <c r="N95" s="61">
        <f t="shared" si="62"/>
        <v>0</v>
      </c>
      <c r="O95" s="61">
        <f t="shared" si="62"/>
        <v>0</v>
      </c>
      <c r="P95" s="61">
        <f t="shared" si="62"/>
        <v>0</v>
      </c>
      <c r="Q95" s="61">
        <f t="shared" si="62"/>
        <v>0</v>
      </c>
      <c r="R95" s="61">
        <f t="shared" si="62"/>
        <v>0</v>
      </c>
      <c r="S95" s="61">
        <f t="shared" si="62"/>
        <v>0</v>
      </c>
      <c r="T95" s="61">
        <f t="shared" si="62"/>
        <v>0</v>
      </c>
      <c r="U95" s="61">
        <f t="shared" si="62"/>
        <v>0</v>
      </c>
      <c r="V95" s="61">
        <f t="shared" si="62"/>
        <v>0</v>
      </c>
      <c r="W95" s="61">
        <f t="shared" ref="W95:AE104" si="63">IF(AND(W$2&gt;=$B95,W$2&lt;$C95),$E95,0)</f>
        <v>0</v>
      </c>
      <c r="X95" s="61">
        <f t="shared" si="63"/>
        <v>0</v>
      </c>
      <c r="Y95" s="61">
        <f t="shared" si="63"/>
        <v>0</v>
      </c>
      <c r="Z95" s="61">
        <f t="shared" si="63"/>
        <v>0</v>
      </c>
      <c r="AA95" s="61">
        <f t="shared" si="63"/>
        <v>0</v>
      </c>
      <c r="AB95" s="61">
        <f t="shared" si="63"/>
        <v>0</v>
      </c>
      <c r="AC95" s="61">
        <f t="shared" si="63"/>
        <v>0</v>
      </c>
      <c r="AD95" s="61">
        <f t="shared" si="63"/>
        <v>0</v>
      </c>
      <c r="AE95" s="61">
        <f t="shared" si="63"/>
        <v>0</v>
      </c>
      <c r="AF95" s="61"/>
      <c r="AG95" s="61">
        <f t="shared" ref="AG95:AP95" si="64">IF(AND(AG$2&gt;=$B95,AG$2&lt;$C95),$E95,0)</f>
        <v>0</v>
      </c>
      <c r="AH95" s="61">
        <f t="shared" si="64"/>
        <v>0</v>
      </c>
      <c r="AI95" s="61">
        <f t="shared" si="64"/>
        <v>0</v>
      </c>
      <c r="AJ95" s="61">
        <f t="shared" si="64"/>
        <v>0</v>
      </c>
      <c r="AK95" s="61">
        <f t="shared" si="64"/>
        <v>0</v>
      </c>
      <c r="AL95" s="61">
        <f t="shared" si="64"/>
        <v>0</v>
      </c>
      <c r="AM95" s="61">
        <f t="shared" si="64"/>
        <v>0</v>
      </c>
      <c r="AN95" s="61">
        <f t="shared" si="64"/>
        <v>0</v>
      </c>
      <c r="AO95" s="61">
        <f t="shared" si="64"/>
        <v>0</v>
      </c>
      <c r="AP95" s="61">
        <f t="shared" si="64"/>
        <v>0</v>
      </c>
      <c r="AQ95" s="61"/>
    </row>
    <row r="96" spans="2:43" x14ac:dyDescent="0.25">
      <c r="B96" s="54">
        <v>0.35416666666424135</v>
      </c>
      <c r="C96" s="54">
        <v>0.70833333337941495</v>
      </c>
      <c r="D96" s="60"/>
      <c r="E96" s="91">
        <f>SUMMARY!Y9</f>
        <v>0</v>
      </c>
      <c r="F96" s="91">
        <f>SUMMARY!AQ9</f>
        <v>0</v>
      </c>
      <c r="G96" s="91">
        <f>SUMMARY!AJ9</f>
        <v>0</v>
      </c>
      <c r="H96" s="92">
        <f t="shared" si="58"/>
        <v>0</v>
      </c>
      <c r="I96" s="180">
        <f>P$91-P$92</f>
        <v>0</v>
      </c>
      <c r="M96" s="61">
        <f t="shared" si="62"/>
        <v>0</v>
      </c>
      <c r="N96" s="61">
        <f t="shared" si="62"/>
        <v>0</v>
      </c>
      <c r="O96" s="61">
        <f t="shared" si="62"/>
        <v>0</v>
      </c>
      <c r="P96" s="61">
        <f t="shared" si="62"/>
        <v>0</v>
      </c>
      <c r="Q96" s="61">
        <f t="shared" si="62"/>
        <v>0</v>
      </c>
      <c r="R96" s="61">
        <f t="shared" si="62"/>
        <v>0</v>
      </c>
      <c r="S96" s="61">
        <f t="shared" si="62"/>
        <v>0</v>
      </c>
      <c r="T96" s="61">
        <f t="shared" si="62"/>
        <v>0</v>
      </c>
      <c r="U96" s="61">
        <f t="shared" si="62"/>
        <v>0</v>
      </c>
      <c r="V96" s="61">
        <f t="shared" si="62"/>
        <v>0</v>
      </c>
      <c r="W96" s="61">
        <f t="shared" si="63"/>
        <v>0</v>
      </c>
      <c r="X96" s="61">
        <f t="shared" si="63"/>
        <v>0</v>
      </c>
      <c r="Y96" s="61">
        <f t="shared" si="63"/>
        <v>0</v>
      </c>
      <c r="Z96" s="61">
        <f t="shared" si="63"/>
        <v>0</v>
      </c>
      <c r="AA96" s="61">
        <f t="shared" si="63"/>
        <v>0</v>
      </c>
      <c r="AB96" s="61">
        <f t="shared" si="63"/>
        <v>0</v>
      </c>
      <c r="AC96" s="61">
        <f t="shared" si="63"/>
        <v>0</v>
      </c>
      <c r="AD96" s="61">
        <f t="shared" si="63"/>
        <v>0</v>
      </c>
      <c r="AE96" s="61">
        <f t="shared" si="63"/>
        <v>0</v>
      </c>
      <c r="AF96" s="61">
        <f t="shared" ref="AF96:AF122" si="65">IF(AND(AF$2&gt;=$B96,AF$2&lt;$C96),$E96,0)</f>
        <v>0</v>
      </c>
      <c r="AG96" s="61"/>
      <c r="AH96" s="61">
        <f t="shared" ref="AH96:AP96" si="66">IF(AND(AH$2&gt;=$B96,AH$2&lt;$C96),$E96,0)</f>
        <v>0</v>
      </c>
      <c r="AI96" s="61">
        <f t="shared" si="66"/>
        <v>0</v>
      </c>
      <c r="AJ96" s="61">
        <f t="shared" si="66"/>
        <v>0</v>
      </c>
      <c r="AK96" s="61">
        <f t="shared" si="66"/>
        <v>0</v>
      </c>
      <c r="AL96" s="61">
        <f t="shared" si="66"/>
        <v>0</v>
      </c>
      <c r="AM96" s="61">
        <f t="shared" si="66"/>
        <v>0</v>
      </c>
      <c r="AN96" s="61">
        <f t="shared" si="66"/>
        <v>0</v>
      </c>
      <c r="AO96" s="61">
        <f t="shared" si="66"/>
        <v>0</v>
      </c>
      <c r="AP96" s="61">
        <f t="shared" si="66"/>
        <v>0</v>
      </c>
      <c r="AQ96" s="61"/>
    </row>
    <row r="97" spans="2:43" x14ac:dyDescent="0.25">
      <c r="B97" s="54">
        <v>0.375</v>
      </c>
      <c r="C97" s="54">
        <v>0.72916666671517405</v>
      </c>
      <c r="D97" s="60"/>
      <c r="E97" s="91">
        <f>SUMMARY!Y10</f>
        <v>0</v>
      </c>
      <c r="F97" s="91">
        <f>SUMMARY!AQ10</f>
        <v>0</v>
      </c>
      <c r="G97" s="91">
        <f>SUMMARY!AJ10</f>
        <v>0</v>
      </c>
      <c r="H97" s="92">
        <f>SUM(E97:G97)</f>
        <v>0</v>
      </c>
      <c r="I97" s="180">
        <f>Q$91-Q$92</f>
        <v>0</v>
      </c>
      <c r="M97" s="61">
        <f t="shared" si="62"/>
        <v>0</v>
      </c>
      <c r="N97" s="61">
        <f t="shared" si="62"/>
        <v>0</v>
      </c>
      <c r="O97" s="61">
        <f t="shared" si="62"/>
        <v>0</v>
      </c>
      <c r="P97" s="61">
        <f t="shared" si="62"/>
        <v>0</v>
      </c>
      <c r="Q97" s="61">
        <f t="shared" si="62"/>
        <v>0</v>
      </c>
      <c r="R97" s="61">
        <f t="shared" si="62"/>
        <v>0</v>
      </c>
      <c r="S97" s="61">
        <f t="shared" si="62"/>
        <v>0</v>
      </c>
      <c r="T97" s="61">
        <f t="shared" si="62"/>
        <v>0</v>
      </c>
      <c r="U97" s="61">
        <f t="shared" si="62"/>
        <v>0</v>
      </c>
      <c r="V97" s="61">
        <f t="shared" si="62"/>
        <v>0</v>
      </c>
      <c r="W97" s="61">
        <f t="shared" si="63"/>
        <v>0</v>
      </c>
      <c r="X97" s="61">
        <f t="shared" si="63"/>
        <v>0</v>
      </c>
      <c r="Y97" s="61">
        <f t="shared" si="63"/>
        <v>0</v>
      </c>
      <c r="Z97" s="61">
        <f t="shared" si="63"/>
        <v>0</v>
      </c>
      <c r="AA97" s="61">
        <f t="shared" si="63"/>
        <v>0</v>
      </c>
      <c r="AB97" s="61">
        <f t="shared" si="63"/>
        <v>0</v>
      </c>
      <c r="AC97" s="61">
        <f t="shared" si="63"/>
        <v>0</v>
      </c>
      <c r="AD97" s="61">
        <f t="shared" si="63"/>
        <v>0</v>
      </c>
      <c r="AE97" s="61">
        <f t="shared" si="63"/>
        <v>0</v>
      </c>
      <c r="AF97" s="61">
        <f t="shared" si="65"/>
        <v>0</v>
      </c>
      <c r="AG97" s="61">
        <f t="shared" ref="AG97:AG122" si="67">IF(AND(AG$2&gt;=$B97,AG$2&lt;$C97),$E97,0)</f>
        <v>0</v>
      </c>
      <c r="AH97" s="61"/>
      <c r="AI97" s="61">
        <f t="shared" ref="AI97:AP97" si="68">IF(AND(AI$2&gt;=$B97,AI$2&lt;$C97),$E97,0)</f>
        <v>0</v>
      </c>
      <c r="AJ97" s="61">
        <f t="shared" si="68"/>
        <v>0</v>
      </c>
      <c r="AK97" s="61">
        <f t="shared" si="68"/>
        <v>0</v>
      </c>
      <c r="AL97" s="61">
        <f t="shared" si="68"/>
        <v>0</v>
      </c>
      <c r="AM97" s="61">
        <f t="shared" si="68"/>
        <v>0</v>
      </c>
      <c r="AN97" s="61">
        <f t="shared" si="68"/>
        <v>0</v>
      </c>
      <c r="AO97" s="61">
        <f t="shared" si="68"/>
        <v>0</v>
      </c>
      <c r="AP97" s="61">
        <f t="shared" si="68"/>
        <v>0</v>
      </c>
      <c r="AQ97" s="61"/>
    </row>
    <row r="98" spans="2:43" x14ac:dyDescent="0.25">
      <c r="B98" s="54">
        <v>0.39583333333575865</v>
      </c>
      <c r="C98" s="54">
        <v>0.75000000005093304</v>
      </c>
      <c r="D98" s="60"/>
      <c r="E98" s="91">
        <f>SUMMARY!Y11</f>
        <v>0</v>
      </c>
      <c r="F98" s="91">
        <f>SUMMARY!AQ11</f>
        <v>0</v>
      </c>
      <c r="G98" s="91">
        <f>SUMMARY!AJ11</f>
        <v>0</v>
      </c>
      <c r="H98" s="92">
        <f t="shared" si="58"/>
        <v>0</v>
      </c>
      <c r="I98" s="180">
        <f>R$91-R$92</f>
        <v>0</v>
      </c>
      <c r="M98" s="61">
        <f t="shared" si="62"/>
        <v>0</v>
      </c>
      <c r="N98" s="61">
        <f t="shared" si="62"/>
        <v>0</v>
      </c>
      <c r="O98" s="61">
        <f t="shared" si="62"/>
        <v>0</v>
      </c>
      <c r="P98" s="61">
        <f t="shared" si="62"/>
        <v>0</v>
      </c>
      <c r="Q98" s="61">
        <f t="shared" si="62"/>
        <v>0</v>
      </c>
      <c r="R98" s="61">
        <f t="shared" si="62"/>
        <v>0</v>
      </c>
      <c r="S98" s="61">
        <f t="shared" si="62"/>
        <v>0</v>
      </c>
      <c r="T98" s="61">
        <f t="shared" si="62"/>
        <v>0</v>
      </c>
      <c r="U98" s="61">
        <f t="shared" si="62"/>
        <v>0</v>
      </c>
      <c r="V98" s="61">
        <f t="shared" si="62"/>
        <v>0</v>
      </c>
      <c r="W98" s="61">
        <f t="shared" si="63"/>
        <v>0</v>
      </c>
      <c r="X98" s="61">
        <f t="shared" si="63"/>
        <v>0</v>
      </c>
      <c r="Y98" s="61">
        <f t="shared" si="63"/>
        <v>0</v>
      </c>
      <c r="Z98" s="61">
        <f t="shared" si="63"/>
        <v>0</v>
      </c>
      <c r="AA98" s="61">
        <f t="shared" si="63"/>
        <v>0</v>
      </c>
      <c r="AB98" s="61">
        <f t="shared" si="63"/>
        <v>0</v>
      </c>
      <c r="AC98" s="61">
        <f t="shared" si="63"/>
        <v>0</v>
      </c>
      <c r="AD98" s="61">
        <f t="shared" si="63"/>
        <v>0</v>
      </c>
      <c r="AE98" s="61">
        <f t="shared" si="63"/>
        <v>0</v>
      </c>
      <c r="AF98" s="61">
        <f t="shared" si="65"/>
        <v>0</v>
      </c>
      <c r="AG98" s="61">
        <f t="shared" si="67"/>
        <v>0</v>
      </c>
      <c r="AH98" s="61">
        <f t="shared" ref="AH98:AH122" si="69">IF(AND(AH$2&gt;=$B98,AH$2&lt;$C98),$E98,0)</f>
        <v>0</v>
      </c>
      <c r="AI98" s="61"/>
      <c r="AJ98" s="61">
        <f t="shared" ref="AJ98:AP98" si="70">IF(AND(AJ$2&gt;=$B98,AJ$2&lt;$C98),$E98,0)</f>
        <v>0</v>
      </c>
      <c r="AK98" s="61">
        <f t="shared" si="70"/>
        <v>0</v>
      </c>
      <c r="AL98" s="61">
        <f t="shared" si="70"/>
        <v>0</v>
      </c>
      <c r="AM98" s="61">
        <f t="shared" si="70"/>
        <v>0</v>
      </c>
      <c r="AN98" s="61">
        <f t="shared" si="70"/>
        <v>0</v>
      </c>
      <c r="AO98" s="61">
        <f t="shared" si="70"/>
        <v>0</v>
      </c>
      <c r="AP98" s="61">
        <f t="shared" si="70"/>
        <v>0</v>
      </c>
      <c r="AQ98" s="61"/>
    </row>
    <row r="99" spans="2:43" x14ac:dyDescent="0.25">
      <c r="B99" s="54">
        <v>0.41666666666424135</v>
      </c>
      <c r="C99" s="54">
        <v>0.77083333338669202</v>
      </c>
      <c r="D99" s="60"/>
      <c r="E99" s="91">
        <f>SUMMARY!Y12</f>
        <v>0</v>
      </c>
      <c r="F99" s="91">
        <f>SUMMARY!AQ12</f>
        <v>0</v>
      </c>
      <c r="G99" s="91">
        <f>SUMMARY!AJ12</f>
        <v>0</v>
      </c>
      <c r="H99" s="92">
        <f t="shared" si="58"/>
        <v>0</v>
      </c>
      <c r="I99" s="180">
        <f>S$91-S$92</f>
        <v>0</v>
      </c>
      <c r="M99" s="61">
        <f t="shared" si="62"/>
        <v>0</v>
      </c>
      <c r="N99" s="61">
        <f t="shared" si="62"/>
        <v>0</v>
      </c>
      <c r="O99" s="61">
        <f t="shared" si="62"/>
        <v>0</v>
      </c>
      <c r="P99" s="61">
        <f t="shared" si="62"/>
        <v>0</v>
      </c>
      <c r="Q99" s="61">
        <f t="shared" si="62"/>
        <v>0</v>
      </c>
      <c r="R99" s="61">
        <f t="shared" si="62"/>
        <v>0</v>
      </c>
      <c r="S99" s="61">
        <f t="shared" si="62"/>
        <v>0</v>
      </c>
      <c r="T99" s="61">
        <f t="shared" si="62"/>
        <v>0</v>
      </c>
      <c r="U99" s="61">
        <f t="shared" si="62"/>
        <v>0</v>
      </c>
      <c r="V99" s="61">
        <f t="shared" si="62"/>
        <v>0</v>
      </c>
      <c r="W99" s="61">
        <f t="shared" si="63"/>
        <v>0</v>
      </c>
      <c r="X99" s="61">
        <f t="shared" si="63"/>
        <v>0</v>
      </c>
      <c r="Y99" s="61">
        <f t="shared" si="63"/>
        <v>0</v>
      </c>
      <c r="Z99" s="61">
        <f t="shared" si="63"/>
        <v>0</v>
      </c>
      <c r="AA99" s="61">
        <f t="shared" si="63"/>
        <v>0</v>
      </c>
      <c r="AB99" s="61">
        <f t="shared" si="63"/>
        <v>0</v>
      </c>
      <c r="AC99" s="61">
        <f t="shared" si="63"/>
        <v>0</v>
      </c>
      <c r="AD99" s="61">
        <f t="shared" si="63"/>
        <v>0</v>
      </c>
      <c r="AE99" s="61">
        <f t="shared" si="63"/>
        <v>0</v>
      </c>
      <c r="AF99" s="61">
        <f t="shared" si="65"/>
        <v>0</v>
      </c>
      <c r="AG99" s="61">
        <f t="shared" si="67"/>
        <v>0</v>
      </c>
      <c r="AH99" s="61">
        <f t="shared" si="69"/>
        <v>0</v>
      </c>
      <c r="AI99" s="61">
        <f t="shared" ref="AI99:AI122" si="71">IF(AND(AI$2&gt;=$B99,AI$2&lt;$C99),$E99,0)</f>
        <v>0</v>
      </c>
      <c r="AJ99" s="61"/>
      <c r="AK99" s="61">
        <f t="shared" ref="AK99:AP99" si="72">IF(AND(AK$2&gt;=$B99,AK$2&lt;$C99),$E99,0)</f>
        <v>0</v>
      </c>
      <c r="AL99" s="61">
        <f t="shared" si="72"/>
        <v>0</v>
      </c>
      <c r="AM99" s="61">
        <f t="shared" si="72"/>
        <v>0</v>
      </c>
      <c r="AN99" s="61">
        <f t="shared" si="72"/>
        <v>0</v>
      </c>
      <c r="AO99" s="61">
        <f t="shared" si="72"/>
        <v>0</v>
      </c>
      <c r="AP99" s="61">
        <f t="shared" si="72"/>
        <v>0</v>
      </c>
      <c r="AQ99" s="61"/>
    </row>
    <row r="100" spans="2:43" x14ac:dyDescent="0.25">
      <c r="B100" s="54">
        <v>0.4375</v>
      </c>
      <c r="C100" s="54">
        <v>0.79166666672245101</v>
      </c>
      <c r="D100" s="60"/>
      <c r="E100" s="91">
        <f>SUMMARY!Y13</f>
        <v>0</v>
      </c>
      <c r="F100" s="91">
        <f>SUMMARY!AQ13</f>
        <v>0</v>
      </c>
      <c r="G100" s="91">
        <f>SUMMARY!AJ13</f>
        <v>0</v>
      </c>
      <c r="H100" s="92">
        <f t="shared" si="58"/>
        <v>0</v>
      </c>
      <c r="I100" s="180">
        <f>T$91-T$92</f>
        <v>0</v>
      </c>
      <c r="M100" s="61">
        <f t="shared" si="62"/>
        <v>0</v>
      </c>
      <c r="N100" s="61">
        <f t="shared" si="62"/>
        <v>0</v>
      </c>
      <c r="O100" s="61">
        <f t="shared" si="62"/>
        <v>0</v>
      </c>
      <c r="P100" s="61">
        <f t="shared" si="62"/>
        <v>0</v>
      </c>
      <c r="Q100" s="61">
        <f t="shared" si="62"/>
        <v>0</v>
      </c>
      <c r="R100" s="61">
        <f t="shared" si="62"/>
        <v>0</v>
      </c>
      <c r="S100" s="61">
        <f t="shared" si="62"/>
        <v>0</v>
      </c>
      <c r="T100" s="61">
        <f t="shared" si="62"/>
        <v>0</v>
      </c>
      <c r="U100" s="61">
        <f t="shared" si="62"/>
        <v>0</v>
      </c>
      <c r="V100" s="61">
        <f t="shared" si="62"/>
        <v>0</v>
      </c>
      <c r="W100" s="61">
        <f t="shared" si="63"/>
        <v>0</v>
      </c>
      <c r="X100" s="61">
        <f t="shared" si="63"/>
        <v>0</v>
      </c>
      <c r="Y100" s="61">
        <f t="shared" si="63"/>
        <v>0</v>
      </c>
      <c r="Z100" s="61">
        <f t="shared" si="63"/>
        <v>0</v>
      </c>
      <c r="AA100" s="61">
        <f t="shared" si="63"/>
        <v>0</v>
      </c>
      <c r="AB100" s="61">
        <f t="shared" si="63"/>
        <v>0</v>
      </c>
      <c r="AC100" s="61">
        <f t="shared" si="63"/>
        <v>0</v>
      </c>
      <c r="AD100" s="61">
        <f t="shared" si="63"/>
        <v>0</v>
      </c>
      <c r="AE100" s="61">
        <f t="shared" si="63"/>
        <v>0</v>
      </c>
      <c r="AF100" s="61">
        <f t="shared" si="65"/>
        <v>0</v>
      </c>
      <c r="AG100" s="61">
        <f t="shared" si="67"/>
        <v>0</v>
      </c>
      <c r="AH100" s="61">
        <f t="shared" si="69"/>
        <v>0</v>
      </c>
      <c r="AI100" s="61">
        <f t="shared" si="71"/>
        <v>0</v>
      </c>
      <c r="AJ100" s="61">
        <f t="shared" ref="AJ100:AJ122" si="73">IF(AND(AJ$2&gt;=$B100,AJ$2&lt;$C100),$E100,0)</f>
        <v>0</v>
      </c>
      <c r="AK100" s="61"/>
      <c r="AL100" s="61">
        <f>IF(AND(AL$2&gt;=$B100,AL$2&lt;$C100),$E100,0)</f>
        <v>0</v>
      </c>
      <c r="AM100" s="61">
        <f>IF(AND(AM$2&gt;=$B100,AM$2&lt;$C100),$E100,0)</f>
        <v>0</v>
      </c>
      <c r="AN100" s="61">
        <f>IF(AND(AN$2&gt;=$B100,AN$2&lt;$C100),$E100,0)</f>
        <v>0</v>
      </c>
      <c r="AO100" s="61">
        <f>IF(AND(AO$2&gt;=$B100,AO$2&lt;$C100),$E100,0)</f>
        <v>0</v>
      </c>
      <c r="AP100" s="61">
        <f>IF(AND(AP$2&gt;=$B100,AP$2&lt;$C100),$E100,0)</f>
        <v>0</v>
      </c>
      <c r="AQ100" s="61"/>
    </row>
    <row r="101" spans="2:43" x14ac:dyDescent="0.25">
      <c r="B101" s="54">
        <v>0.45833333333575865</v>
      </c>
      <c r="C101" s="54">
        <v>0.81250000005820999</v>
      </c>
      <c r="D101" s="60"/>
      <c r="E101" s="91">
        <f>SUMMARY!Y14</f>
        <v>0</v>
      </c>
      <c r="F101" s="91">
        <f>SUMMARY!AQ14</f>
        <v>0</v>
      </c>
      <c r="G101" s="91">
        <f>SUMMARY!AJ14</f>
        <v>0</v>
      </c>
      <c r="H101" s="92">
        <f t="shared" si="58"/>
        <v>0</v>
      </c>
      <c r="I101" s="180">
        <f>U$91-U$92</f>
        <v>0</v>
      </c>
      <c r="M101" s="61">
        <f t="shared" si="62"/>
        <v>0</v>
      </c>
      <c r="N101" s="61">
        <f t="shared" si="62"/>
        <v>0</v>
      </c>
      <c r="O101" s="61">
        <f t="shared" si="62"/>
        <v>0</v>
      </c>
      <c r="P101" s="61">
        <f t="shared" si="62"/>
        <v>0</v>
      </c>
      <c r="Q101" s="61">
        <f t="shared" si="62"/>
        <v>0</v>
      </c>
      <c r="R101" s="61">
        <f t="shared" si="62"/>
        <v>0</v>
      </c>
      <c r="S101" s="61">
        <f t="shared" si="62"/>
        <v>0</v>
      </c>
      <c r="T101" s="61">
        <f t="shared" si="62"/>
        <v>0</v>
      </c>
      <c r="U101" s="61">
        <f t="shared" si="62"/>
        <v>0</v>
      </c>
      <c r="V101" s="61">
        <f t="shared" si="62"/>
        <v>0</v>
      </c>
      <c r="W101" s="61">
        <f t="shared" si="63"/>
        <v>0</v>
      </c>
      <c r="X101" s="61">
        <f t="shared" si="63"/>
        <v>0</v>
      </c>
      <c r="Y101" s="61">
        <f t="shared" si="63"/>
        <v>0</v>
      </c>
      <c r="Z101" s="61">
        <f t="shared" si="63"/>
        <v>0</v>
      </c>
      <c r="AA101" s="61">
        <f t="shared" si="63"/>
        <v>0</v>
      </c>
      <c r="AB101" s="61">
        <f t="shared" si="63"/>
        <v>0</v>
      </c>
      <c r="AC101" s="61">
        <f t="shared" si="63"/>
        <v>0</v>
      </c>
      <c r="AD101" s="61">
        <f t="shared" si="63"/>
        <v>0</v>
      </c>
      <c r="AE101" s="61">
        <f t="shared" si="63"/>
        <v>0</v>
      </c>
      <c r="AF101" s="61">
        <f t="shared" si="65"/>
        <v>0</v>
      </c>
      <c r="AG101" s="61">
        <f t="shared" si="67"/>
        <v>0</v>
      </c>
      <c r="AH101" s="61">
        <f t="shared" si="69"/>
        <v>0</v>
      </c>
      <c r="AI101" s="61">
        <f t="shared" si="71"/>
        <v>0</v>
      </c>
      <c r="AJ101" s="61">
        <f t="shared" si="73"/>
        <v>0</v>
      </c>
      <c r="AK101" s="61">
        <f t="shared" ref="AK101:AK122" si="74">IF(AND(AK$2&gt;=$B101,AK$2&lt;$C101),$E101,0)</f>
        <v>0</v>
      </c>
      <c r="AL101" s="61"/>
      <c r="AM101" s="61">
        <f>IF(AND(AM$2&gt;=$B101,AM$2&lt;$C101),$E101,0)</f>
        <v>0</v>
      </c>
      <c r="AN101" s="61">
        <f>IF(AND(AN$2&gt;=$B101,AN$2&lt;$C101),$E101,0)</f>
        <v>0</v>
      </c>
      <c r="AO101" s="61">
        <f>IF(AND(AO$2&gt;=$B101,AO$2&lt;$C101),$E101,0)</f>
        <v>0</v>
      </c>
      <c r="AP101" s="61">
        <f>IF(AND(AP$2&gt;=$B101,AP$2&lt;$C101),$E101,0)</f>
        <v>0</v>
      </c>
      <c r="AQ101" s="61"/>
    </row>
    <row r="102" spans="2:43" x14ac:dyDescent="0.25">
      <c r="B102" s="54">
        <v>0.47916666666424135</v>
      </c>
      <c r="C102" s="54">
        <v>0.83333333339396898</v>
      </c>
      <c r="D102" s="60"/>
      <c r="E102" s="91">
        <f>SUMMARY!Y15</f>
        <v>0</v>
      </c>
      <c r="G102" s="91">
        <f>SUMMARY!AJ15</f>
        <v>0</v>
      </c>
      <c r="H102" s="92">
        <f t="shared" si="58"/>
        <v>0</v>
      </c>
      <c r="I102" s="180">
        <f>V$91-V$92</f>
        <v>0</v>
      </c>
      <c r="M102" s="61">
        <f t="shared" si="62"/>
        <v>0</v>
      </c>
      <c r="N102" s="61">
        <f t="shared" si="62"/>
        <v>0</v>
      </c>
      <c r="O102" s="61">
        <f t="shared" si="62"/>
        <v>0</v>
      </c>
      <c r="P102" s="61">
        <f t="shared" si="62"/>
        <v>0</v>
      </c>
      <c r="Q102" s="61">
        <f t="shared" si="62"/>
        <v>0</v>
      </c>
      <c r="R102" s="61">
        <f t="shared" si="62"/>
        <v>0</v>
      </c>
      <c r="S102" s="61">
        <f t="shared" si="62"/>
        <v>0</v>
      </c>
      <c r="T102" s="61">
        <f t="shared" si="62"/>
        <v>0</v>
      </c>
      <c r="U102" s="61">
        <f t="shared" si="62"/>
        <v>0</v>
      </c>
      <c r="V102" s="61">
        <f t="shared" si="62"/>
        <v>0</v>
      </c>
      <c r="W102" s="61">
        <f t="shared" si="63"/>
        <v>0</v>
      </c>
      <c r="X102" s="61">
        <f t="shared" si="63"/>
        <v>0</v>
      </c>
      <c r="Y102" s="61">
        <f t="shared" si="63"/>
        <v>0</v>
      </c>
      <c r="Z102" s="61">
        <f t="shared" si="63"/>
        <v>0</v>
      </c>
      <c r="AA102" s="61">
        <f t="shared" si="63"/>
        <v>0</v>
      </c>
      <c r="AB102" s="61">
        <f t="shared" si="63"/>
        <v>0</v>
      </c>
      <c r="AC102" s="61">
        <f t="shared" si="63"/>
        <v>0</v>
      </c>
      <c r="AD102" s="61">
        <f t="shared" si="63"/>
        <v>0</v>
      </c>
      <c r="AE102" s="61">
        <f t="shared" si="63"/>
        <v>0</v>
      </c>
      <c r="AF102" s="61">
        <f t="shared" si="65"/>
        <v>0</v>
      </c>
      <c r="AG102" s="61">
        <f t="shared" si="67"/>
        <v>0</v>
      </c>
      <c r="AH102" s="61">
        <f t="shared" si="69"/>
        <v>0</v>
      </c>
      <c r="AI102" s="61">
        <f t="shared" si="71"/>
        <v>0</v>
      </c>
      <c r="AJ102" s="61">
        <f t="shared" si="73"/>
        <v>0</v>
      </c>
      <c r="AK102" s="61">
        <f t="shared" si="74"/>
        <v>0</v>
      </c>
      <c r="AL102" s="61">
        <f t="shared" ref="AL102:AL122" si="75">IF(AND(AL$2&gt;=$B102,AL$2&lt;$C102),$E102,0)</f>
        <v>0</v>
      </c>
      <c r="AM102" s="61"/>
      <c r="AN102" s="61">
        <f>IF(AND(AN$2&gt;=$B102,AN$2&lt;$C102),$E102,0)</f>
        <v>0</v>
      </c>
      <c r="AO102" s="61">
        <f>IF(AND(AO$2&gt;=$B102,AO$2&lt;$C102),$E102,0)</f>
        <v>0</v>
      </c>
      <c r="AP102" s="61">
        <f>IF(AND(AP$2&gt;=$B102,AP$2&lt;$C102),$E102,0)</f>
        <v>0</v>
      </c>
      <c r="AQ102" s="61"/>
    </row>
    <row r="103" spans="2:43" x14ac:dyDescent="0.25">
      <c r="B103" s="54">
        <v>0.5</v>
      </c>
      <c r="C103" s="54">
        <v>0.85416666672972796</v>
      </c>
      <c r="D103" s="60"/>
      <c r="E103" s="91">
        <f>SUMMARY!Y16</f>
        <v>0</v>
      </c>
      <c r="G103" s="91">
        <f>SUMMARY!AJ16</f>
        <v>0</v>
      </c>
      <c r="H103" s="92">
        <f t="shared" si="58"/>
        <v>0</v>
      </c>
      <c r="I103" s="180">
        <f>W$91-W$92</f>
        <v>0</v>
      </c>
      <c r="M103" s="61">
        <f t="shared" si="62"/>
        <v>0</v>
      </c>
      <c r="N103" s="61">
        <f t="shared" si="62"/>
        <v>0</v>
      </c>
      <c r="O103" s="61">
        <f t="shared" si="62"/>
        <v>0</v>
      </c>
      <c r="P103" s="61">
        <f t="shared" si="62"/>
        <v>0</v>
      </c>
      <c r="Q103" s="61">
        <f t="shared" si="62"/>
        <v>0</v>
      </c>
      <c r="R103" s="61">
        <f t="shared" si="62"/>
        <v>0</v>
      </c>
      <c r="S103" s="61">
        <f t="shared" si="62"/>
        <v>0</v>
      </c>
      <c r="T103" s="61">
        <f t="shared" si="62"/>
        <v>0</v>
      </c>
      <c r="U103" s="61">
        <f t="shared" si="62"/>
        <v>0</v>
      </c>
      <c r="V103" s="61">
        <f t="shared" si="62"/>
        <v>0</v>
      </c>
      <c r="W103" s="61">
        <f t="shared" si="63"/>
        <v>0</v>
      </c>
      <c r="X103" s="61">
        <f t="shared" si="63"/>
        <v>0</v>
      </c>
      <c r="Y103" s="61">
        <f t="shared" si="63"/>
        <v>0</v>
      </c>
      <c r="Z103" s="61">
        <f t="shared" si="63"/>
        <v>0</v>
      </c>
      <c r="AA103" s="61">
        <f t="shared" si="63"/>
        <v>0</v>
      </c>
      <c r="AB103" s="61">
        <f t="shared" si="63"/>
        <v>0</v>
      </c>
      <c r="AC103" s="61">
        <f t="shared" si="63"/>
        <v>0</v>
      </c>
      <c r="AD103" s="61">
        <f t="shared" si="63"/>
        <v>0</v>
      </c>
      <c r="AE103" s="61">
        <f t="shared" si="63"/>
        <v>0</v>
      </c>
      <c r="AF103" s="61">
        <f t="shared" si="65"/>
        <v>0</v>
      </c>
      <c r="AG103" s="61">
        <f t="shared" si="67"/>
        <v>0</v>
      </c>
      <c r="AH103" s="61">
        <f t="shared" si="69"/>
        <v>0</v>
      </c>
      <c r="AI103" s="61">
        <f t="shared" si="71"/>
        <v>0</v>
      </c>
      <c r="AJ103" s="61">
        <f t="shared" si="73"/>
        <v>0</v>
      </c>
      <c r="AK103" s="61">
        <f t="shared" si="74"/>
        <v>0</v>
      </c>
      <c r="AL103" s="61">
        <f t="shared" si="75"/>
        <v>0</v>
      </c>
      <c r="AM103" s="61">
        <f t="shared" ref="AM103:AM122" si="76">IF(AND(AM$2&gt;=$B103,AM$2&lt;$C103),$E103,0)</f>
        <v>0</v>
      </c>
      <c r="AN103" s="61"/>
      <c r="AO103" s="61">
        <f>IF(AND(AO$2&gt;=$B103,AO$2&lt;$C103),$E103,0)</f>
        <v>0</v>
      </c>
      <c r="AP103" s="61">
        <f>IF(AND(AP$2&gt;=$B103,AP$2&lt;$C103),$E103,0)</f>
        <v>0</v>
      </c>
      <c r="AQ103" s="61"/>
    </row>
    <row r="104" spans="2:43" x14ac:dyDescent="0.25">
      <c r="B104" s="54">
        <v>0.52083333333575865</v>
      </c>
      <c r="C104" s="54">
        <v>0.87500000006548695</v>
      </c>
      <c r="D104" s="60"/>
      <c r="E104" s="91">
        <f>SUMMARY!Y17</f>
        <v>0</v>
      </c>
      <c r="G104" s="91">
        <f>SUMMARY!AJ17</f>
        <v>0</v>
      </c>
      <c r="H104" s="92">
        <f t="shared" si="58"/>
        <v>0</v>
      </c>
      <c r="I104" s="180">
        <f>X$91-X$92</f>
        <v>0</v>
      </c>
      <c r="M104" s="61">
        <f t="shared" si="62"/>
        <v>0</v>
      </c>
      <c r="N104" s="61">
        <f t="shared" si="62"/>
        <v>0</v>
      </c>
      <c r="O104" s="61">
        <f t="shared" si="62"/>
        <v>0</v>
      </c>
      <c r="P104" s="61">
        <f t="shared" si="62"/>
        <v>0</v>
      </c>
      <c r="Q104" s="61">
        <f t="shared" si="62"/>
        <v>0</v>
      </c>
      <c r="R104" s="61">
        <f t="shared" si="62"/>
        <v>0</v>
      </c>
      <c r="S104" s="61">
        <f t="shared" si="62"/>
        <v>0</v>
      </c>
      <c r="T104" s="61">
        <f t="shared" si="62"/>
        <v>0</v>
      </c>
      <c r="U104" s="61">
        <f t="shared" si="62"/>
        <v>0</v>
      </c>
      <c r="V104" s="61">
        <f t="shared" si="62"/>
        <v>0</v>
      </c>
      <c r="W104" s="61">
        <f t="shared" si="63"/>
        <v>0</v>
      </c>
      <c r="X104" s="61">
        <f t="shared" si="63"/>
        <v>0</v>
      </c>
      <c r="Y104" s="61">
        <f t="shared" si="63"/>
        <v>0</v>
      </c>
      <c r="Z104" s="61">
        <f t="shared" si="63"/>
        <v>0</v>
      </c>
      <c r="AA104" s="61">
        <f t="shared" si="63"/>
        <v>0</v>
      </c>
      <c r="AB104" s="61">
        <f t="shared" si="63"/>
        <v>0</v>
      </c>
      <c r="AC104" s="61">
        <f t="shared" si="63"/>
        <v>0</v>
      </c>
      <c r="AD104" s="61">
        <f t="shared" si="63"/>
        <v>0</v>
      </c>
      <c r="AE104" s="61">
        <f t="shared" si="63"/>
        <v>0</v>
      </c>
      <c r="AF104" s="61">
        <f t="shared" si="65"/>
        <v>0</v>
      </c>
      <c r="AG104" s="61">
        <f t="shared" si="67"/>
        <v>0</v>
      </c>
      <c r="AH104" s="61">
        <f t="shared" si="69"/>
        <v>0</v>
      </c>
      <c r="AI104" s="61">
        <f t="shared" si="71"/>
        <v>0</v>
      </c>
      <c r="AJ104" s="61">
        <f t="shared" si="73"/>
        <v>0</v>
      </c>
      <c r="AK104" s="61">
        <f t="shared" si="74"/>
        <v>0</v>
      </c>
      <c r="AL104" s="61">
        <f t="shared" si="75"/>
        <v>0</v>
      </c>
      <c r="AM104" s="61">
        <f t="shared" si="76"/>
        <v>0</v>
      </c>
      <c r="AN104" s="61">
        <f t="shared" ref="AN104:AN122" si="77">IF(AND(AN$2&gt;=$B104,AN$2&lt;$C104),$E104,0)</f>
        <v>0</v>
      </c>
      <c r="AO104" s="61"/>
      <c r="AP104" s="61">
        <f>IF(AND(AP$2&gt;=$B104,AP$2&lt;$C104),$E104,0)</f>
        <v>0</v>
      </c>
      <c r="AQ104" s="61"/>
    </row>
    <row r="105" spans="2:43" x14ac:dyDescent="0.25">
      <c r="B105" s="54">
        <v>0.54166666666424135</v>
      </c>
      <c r="C105" s="54">
        <v>0.89583333340124605</v>
      </c>
      <c r="D105" s="60"/>
      <c r="E105" s="91">
        <f>SUMMARY!Y18</f>
        <v>0</v>
      </c>
      <c r="G105" s="91">
        <f>SUMMARY!AJ18</f>
        <v>0</v>
      </c>
      <c r="H105" s="92">
        <f t="shared" si="58"/>
        <v>0</v>
      </c>
      <c r="I105" s="180">
        <f>Y$91-Y$92</f>
        <v>0</v>
      </c>
      <c r="M105" s="61">
        <f t="shared" ref="M105:V114" si="78">IF(AND(M$2&gt;=$B105,M$2&lt;$C105),$E105,0)</f>
        <v>0</v>
      </c>
      <c r="N105" s="61">
        <f t="shared" si="78"/>
        <v>0</v>
      </c>
      <c r="O105" s="61">
        <f t="shared" si="78"/>
        <v>0</v>
      </c>
      <c r="P105" s="61">
        <f t="shared" si="78"/>
        <v>0</v>
      </c>
      <c r="Q105" s="61">
        <f t="shared" si="78"/>
        <v>0</v>
      </c>
      <c r="R105" s="61">
        <f t="shared" si="78"/>
        <v>0</v>
      </c>
      <c r="S105" s="61">
        <f t="shared" si="78"/>
        <v>0</v>
      </c>
      <c r="T105" s="61">
        <f t="shared" si="78"/>
        <v>0</v>
      </c>
      <c r="U105" s="61">
        <f t="shared" si="78"/>
        <v>0</v>
      </c>
      <c r="V105" s="61">
        <f t="shared" si="78"/>
        <v>0</v>
      </c>
      <c r="W105" s="61">
        <f t="shared" ref="W105:AE114" si="79">IF(AND(W$2&gt;=$B105,W$2&lt;$C105),$E105,0)</f>
        <v>0</v>
      </c>
      <c r="X105" s="61">
        <f t="shared" si="79"/>
        <v>0</v>
      </c>
      <c r="Y105" s="61">
        <f t="shared" si="79"/>
        <v>0</v>
      </c>
      <c r="Z105" s="61">
        <f t="shared" si="79"/>
        <v>0</v>
      </c>
      <c r="AA105" s="61">
        <f t="shared" si="79"/>
        <v>0</v>
      </c>
      <c r="AB105" s="61">
        <f t="shared" si="79"/>
        <v>0</v>
      </c>
      <c r="AC105" s="61">
        <f t="shared" si="79"/>
        <v>0</v>
      </c>
      <c r="AD105" s="61">
        <f t="shared" si="79"/>
        <v>0</v>
      </c>
      <c r="AE105" s="61">
        <f t="shared" si="79"/>
        <v>0</v>
      </c>
      <c r="AF105" s="61">
        <f t="shared" si="65"/>
        <v>0</v>
      </c>
      <c r="AG105" s="61">
        <f t="shared" si="67"/>
        <v>0</v>
      </c>
      <c r="AH105" s="61">
        <f t="shared" si="69"/>
        <v>0</v>
      </c>
      <c r="AI105" s="61">
        <f t="shared" si="71"/>
        <v>0</v>
      </c>
      <c r="AJ105" s="61">
        <f t="shared" si="73"/>
        <v>0</v>
      </c>
      <c r="AK105" s="61">
        <f t="shared" si="74"/>
        <v>0</v>
      </c>
      <c r="AL105" s="61">
        <f t="shared" si="75"/>
        <v>0</v>
      </c>
      <c r="AM105" s="61">
        <f t="shared" si="76"/>
        <v>0</v>
      </c>
      <c r="AN105" s="61">
        <f t="shared" si="77"/>
        <v>0</v>
      </c>
      <c r="AO105" s="61">
        <f t="shared" ref="AO105:AO122" si="80">IF(AND(AO$2&gt;=$B105,AO$2&lt;$C105),$E105,0)</f>
        <v>0</v>
      </c>
      <c r="AP105" s="61"/>
      <c r="AQ105" s="61"/>
    </row>
    <row r="106" spans="2:43" x14ac:dyDescent="0.25">
      <c r="B106" s="54">
        <v>0.5625</v>
      </c>
      <c r="C106" s="54">
        <v>0.91666666673700503</v>
      </c>
      <c r="D106" s="60"/>
      <c r="E106" s="91">
        <f>SUMMARY!Y19</f>
        <v>0</v>
      </c>
      <c r="G106" s="91">
        <f>SUMMARY!AJ19</f>
        <v>0</v>
      </c>
      <c r="H106" s="92">
        <f t="shared" si="58"/>
        <v>0</v>
      </c>
      <c r="I106" s="180">
        <f>Z$91-Z$92</f>
        <v>0</v>
      </c>
      <c r="M106" s="61">
        <f t="shared" si="78"/>
        <v>0</v>
      </c>
      <c r="N106" s="61">
        <f t="shared" si="78"/>
        <v>0</v>
      </c>
      <c r="O106" s="61">
        <f t="shared" si="78"/>
        <v>0</v>
      </c>
      <c r="P106" s="61">
        <f t="shared" si="78"/>
        <v>0</v>
      </c>
      <c r="Q106" s="61">
        <f t="shared" si="78"/>
        <v>0</v>
      </c>
      <c r="R106" s="61">
        <f t="shared" si="78"/>
        <v>0</v>
      </c>
      <c r="S106" s="61">
        <f t="shared" si="78"/>
        <v>0</v>
      </c>
      <c r="T106" s="61">
        <f t="shared" si="78"/>
        <v>0</v>
      </c>
      <c r="U106" s="61">
        <f t="shared" si="78"/>
        <v>0</v>
      </c>
      <c r="V106" s="61">
        <f t="shared" si="78"/>
        <v>0</v>
      </c>
      <c r="W106" s="61">
        <f t="shared" si="79"/>
        <v>0</v>
      </c>
      <c r="X106" s="61">
        <f t="shared" si="79"/>
        <v>0</v>
      </c>
      <c r="Y106" s="61">
        <f t="shared" si="79"/>
        <v>0</v>
      </c>
      <c r="Z106" s="61">
        <f t="shared" si="79"/>
        <v>0</v>
      </c>
      <c r="AA106" s="61">
        <f t="shared" si="79"/>
        <v>0</v>
      </c>
      <c r="AB106" s="61">
        <f t="shared" si="79"/>
        <v>0</v>
      </c>
      <c r="AC106" s="61">
        <f t="shared" si="79"/>
        <v>0</v>
      </c>
      <c r="AD106" s="61">
        <f t="shared" si="79"/>
        <v>0</v>
      </c>
      <c r="AE106" s="61">
        <f t="shared" si="79"/>
        <v>0</v>
      </c>
      <c r="AF106" s="61">
        <f t="shared" si="65"/>
        <v>0</v>
      </c>
      <c r="AG106" s="61">
        <f t="shared" si="67"/>
        <v>0</v>
      </c>
      <c r="AH106" s="61">
        <f t="shared" si="69"/>
        <v>0</v>
      </c>
      <c r="AI106" s="61">
        <f t="shared" si="71"/>
        <v>0</v>
      </c>
      <c r="AJ106" s="61">
        <f t="shared" si="73"/>
        <v>0</v>
      </c>
      <c r="AK106" s="61">
        <f t="shared" si="74"/>
        <v>0</v>
      </c>
      <c r="AL106" s="61">
        <f t="shared" si="75"/>
        <v>0</v>
      </c>
      <c r="AM106" s="61">
        <f t="shared" si="76"/>
        <v>0</v>
      </c>
      <c r="AN106" s="61">
        <f t="shared" si="77"/>
        <v>0</v>
      </c>
      <c r="AO106" s="61">
        <f t="shared" si="80"/>
        <v>0</v>
      </c>
      <c r="AP106" s="61">
        <f t="shared" ref="AP106:AP122" si="81">IF(AND(AP$2&gt;=$B106,AP$2&lt;$C106),$E106,0)</f>
        <v>0</v>
      </c>
      <c r="AQ106" s="61"/>
    </row>
    <row r="107" spans="2:43" x14ac:dyDescent="0.25">
      <c r="B107" s="54">
        <v>0.58333333333575899</v>
      </c>
      <c r="C107" s="54">
        <v>0.93750000007276402</v>
      </c>
      <c r="D107" s="60"/>
      <c r="E107" s="91"/>
      <c r="G107" s="91">
        <f>SUMMARY!AJ20</f>
        <v>0</v>
      </c>
      <c r="H107" s="92">
        <f t="shared" si="58"/>
        <v>0</v>
      </c>
      <c r="I107" s="180">
        <f>AA$91-AA$92</f>
        <v>0</v>
      </c>
      <c r="M107" s="61">
        <f t="shared" si="78"/>
        <v>0</v>
      </c>
      <c r="N107" s="61">
        <f t="shared" si="78"/>
        <v>0</v>
      </c>
      <c r="O107" s="61">
        <f t="shared" si="78"/>
        <v>0</v>
      </c>
      <c r="P107" s="61">
        <f t="shared" si="78"/>
        <v>0</v>
      </c>
      <c r="Q107" s="61">
        <f t="shared" si="78"/>
        <v>0</v>
      </c>
      <c r="R107" s="61">
        <f t="shared" si="78"/>
        <v>0</v>
      </c>
      <c r="S107" s="61">
        <f t="shared" si="78"/>
        <v>0</v>
      </c>
      <c r="T107" s="61">
        <f t="shared" si="78"/>
        <v>0</v>
      </c>
      <c r="U107" s="61">
        <f t="shared" si="78"/>
        <v>0</v>
      </c>
      <c r="V107" s="61">
        <f t="shared" si="78"/>
        <v>0</v>
      </c>
      <c r="W107" s="61">
        <f t="shared" si="79"/>
        <v>0</v>
      </c>
      <c r="X107" s="61">
        <f t="shared" si="79"/>
        <v>0</v>
      </c>
      <c r="Y107" s="61">
        <f t="shared" si="79"/>
        <v>0</v>
      </c>
      <c r="Z107" s="61">
        <f t="shared" si="79"/>
        <v>0</v>
      </c>
      <c r="AA107" s="61">
        <f t="shared" si="79"/>
        <v>0</v>
      </c>
      <c r="AB107" s="61">
        <f t="shared" si="79"/>
        <v>0</v>
      </c>
      <c r="AC107" s="61">
        <f t="shared" si="79"/>
        <v>0</v>
      </c>
      <c r="AD107" s="61">
        <f t="shared" si="79"/>
        <v>0</v>
      </c>
      <c r="AE107" s="61">
        <f t="shared" si="79"/>
        <v>0</v>
      </c>
      <c r="AF107" s="61">
        <f t="shared" si="65"/>
        <v>0</v>
      </c>
      <c r="AG107" s="61">
        <f t="shared" si="67"/>
        <v>0</v>
      </c>
      <c r="AH107" s="61">
        <f t="shared" si="69"/>
        <v>0</v>
      </c>
      <c r="AI107" s="61">
        <f t="shared" si="71"/>
        <v>0</v>
      </c>
      <c r="AJ107" s="61">
        <f t="shared" si="73"/>
        <v>0</v>
      </c>
      <c r="AK107" s="61">
        <f t="shared" si="74"/>
        <v>0</v>
      </c>
      <c r="AL107" s="61">
        <f t="shared" si="75"/>
        <v>0</v>
      </c>
      <c r="AM107" s="61">
        <f t="shared" si="76"/>
        <v>0</v>
      </c>
      <c r="AN107" s="61">
        <f t="shared" si="77"/>
        <v>0</v>
      </c>
      <c r="AO107" s="61">
        <f t="shared" si="80"/>
        <v>0</v>
      </c>
      <c r="AP107" s="61">
        <f t="shared" si="81"/>
        <v>0</v>
      </c>
      <c r="AQ107" s="61"/>
    </row>
    <row r="108" spans="2:43" x14ac:dyDescent="0.25">
      <c r="B108" s="54">
        <v>0.60416666667151697</v>
      </c>
      <c r="C108" s="54">
        <v>0.958333333408523</v>
      </c>
      <c r="D108" s="60"/>
      <c r="E108" s="91"/>
      <c r="G108" s="91">
        <f>SUMMARY!AJ21</f>
        <v>0</v>
      </c>
      <c r="H108" s="92">
        <f t="shared" si="58"/>
        <v>0</v>
      </c>
      <c r="I108" s="180">
        <f>AB$91-AB$92</f>
        <v>0</v>
      </c>
      <c r="M108" s="61">
        <f t="shared" si="78"/>
        <v>0</v>
      </c>
      <c r="N108" s="61">
        <f t="shared" si="78"/>
        <v>0</v>
      </c>
      <c r="O108" s="61">
        <f t="shared" si="78"/>
        <v>0</v>
      </c>
      <c r="P108" s="61">
        <f t="shared" si="78"/>
        <v>0</v>
      </c>
      <c r="Q108" s="61">
        <f t="shared" si="78"/>
        <v>0</v>
      </c>
      <c r="R108" s="61">
        <f t="shared" si="78"/>
        <v>0</v>
      </c>
      <c r="S108" s="61">
        <f t="shared" si="78"/>
        <v>0</v>
      </c>
      <c r="T108" s="61">
        <f t="shared" si="78"/>
        <v>0</v>
      </c>
      <c r="U108" s="61">
        <f t="shared" si="78"/>
        <v>0</v>
      </c>
      <c r="V108" s="61">
        <f t="shared" si="78"/>
        <v>0</v>
      </c>
      <c r="W108" s="61">
        <f t="shared" si="79"/>
        <v>0</v>
      </c>
      <c r="X108" s="61">
        <f t="shared" si="79"/>
        <v>0</v>
      </c>
      <c r="Y108" s="61">
        <f t="shared" si="79"/>
        <v>0</v>
      </c>
      <c r="Z108" s="61">
        <f t="shared" si="79"/>
        <v>0</v>
      </c>
      <c r="AA108" s="61">
        <f t="shared" si="79"/>
        <v>0</v>
      </c>
      <c r="AB108" s="61">
        <f t="shared" si="79"/>
        <v>0</v>
      </c>
      <c r="AC108" s="61">
        <f t="shared" si="79"/>
        <v>0</v>
      </c>
      <c r="AD108" s="61">
        <f t="shared" si="79"/>
        <v>0</v>
      </c>
      <c r="AE108" s="61">
        <f t="shared" si="79"/>
        <v>0</v>
      </c>
      <c r="AF108" s="61">
        <f t="shared" si="65"/>
        <v>0</v>
      </c>
      <c r="AG108" s="61">
        <f t="shared" si="67"/>
        <v>0</v>
      </c>
      <c r="AH108" s="61">
        <f t="shared" si="69"/>
        <v>0</v>
      </c>
      <c r="AI108" s="61">
        <f t="shared" si="71"/>
        <v>0</v>
      </c>
      <c r="AJ108" s="61">
        <f t="shared" si="73"/>
        <v>0</v>
      </c>
      <c r="AK108" s="61">
        <f t="shared" si="74"/>
        <v>0</v>
      </c>
      <c r="AL108" s="61">
        <f t="shared" si="75"/>
        <v>0</v>
      </c>
      <c r="AM108" s="61">
        <f t="shared" si="76"/>
        <v>0</v>
      </c>
      <c r="AN108" s="61">
        <f t="shared" si="77"/>
        <v>0</v>
      </c>
      <c r="AO108" s="61">
        <f t="shared" si="80"/>
        <v>0</v>
      </c>
      <c r="AP108" s="61">
        <f t="shared" si="81"/>
        <v>0</v>
      </c>
      <c r="AQ108" s="61"/>
    </row>
    <row r="109" spans="2:43" x14ac:dyDescent="0.25">
      <c r="B109" s="54">
        <v>0.62500000000727596</v>
      </c>
      <c r="C109" s="54">
        <v>0.97916666674428199</v>
      </c>
      <c r="D109" s="60"/>
      <c r="E109" s="91"/>
      <c r="G109" s="91">
        <f>SUMMARY!AJ22</f>
        <v>0</v>
      </c>
      <c r="H109" s="92">
        <f t="shared" si="58"/>
        <v>0</v>
      </c>
      <c r="I109" s="180">
        <f>AC$91-AC$92</f>
        <v>0</v>
      </c>
      <c r="M109" s="61">
        <f t="shared" si="78"/>
        <v>0</v>
      </c>
      <c r="N109" s="61">
        <f t="shared" si="78"/>
        <v>0</v>
      </c>
      <c r="O109" s="61">
        <f t="shared" si="78"/>
        <v>0</v>
      </c>
      <c r="P109" s="61">
        <f t="shared" si="78"/>
        <v>0</v>
      </c>
      <c r="Q109" s="61">
        <f t="shared" si="78"/>
        <v>0</v>
      </c>
      <c r="R109" s="61">
        <f t="shared" si="78"/>
        <v>0</v>
      </c>
      <c r="S109" s="61">
        <f t="shared" si="78"/>
        <v>0</v>
      </c>
      <c r="T109" s="61">
        <f t="shared" si="78"/>
        <v>0</v>
      </c>
      <c r="U109" s="61">
        <f t="shared" si="78"/>
        <v>0</v>
      </c>
      <c r="V109" s="61">
        <f t="shared" si="78"/>
        <v>0</v>
      </c>
      <c r="W109" s="61">
        <f t="shared" si="79"/>
        <v>0</v>
      </c>
      <c r="X109" s="61">
        <f t="shared" si="79"/>
        <v>0</v>
      </c>
      <c r="Y109" s="61">
        <f t="shared" si="79"/>
        <v>0</v>
      </c>
      <c r="Z109" s="61">
        <f t="shared" si="79"/>
        <v>0</v>
      </c>
      <c r="AA109" s="61">
        <f t="shared" si="79"/>
        <v>0</v>
      </c>
      <c r="AB109" s="61">
        <f t="shared" si="79"/>
        <v>0</v>
      </c>
      <c r="AC109" s="61">
        <f t="shared" si="79"/>
        <v>0</v>
      </c>
      <c r="AD109" s="61">
        <f t="shared" si="79"/>
        <v>0</v>
      </c>
      <c r="AE109" s="61">
        <f t="shared" si="79"/>
        <v>0</v>
      </c>
      <c r="AF109" s="61">
        <f t="shared" si="65"/>
        <v>0</v>
      </c>
      <c r="AG109" s="61">
        <f t="shared" si="67"/>
        <v>0</v>
      </c>
      <c r="AH109" s="61">
        <f t="shared" si="69"/>
        <v>0</v>
      </c>
      <c r="AI109" s="61">
        <f t="shared" si="71"/>
        <v>0</v>
      </c>
      <c r="AJ109" s="61">
        <f t="shared" si="73"/>
        <v>0</v>
      </c>
      <c r="AK109" s="61">
        <f t="shared" si="74"/>
        <v>0</v>
      </c>
      <c r="AL109" s="61">
        <f t="shared" si="75"/>
        <v>0</v>
      </c>
      <c r="AM109" s="61">
        <f t="shared" si="76"/>
        <v>0</v>
      </c>
      <c r="AN109" s="61">
        <f t="shared" si="77"/>
        <v>0</v>
      </c>
      <c r="AO109" s="61">
        <f t="shared" si="80"/>
        <v>0</v>
      </c>
      <c r="AP109" s="61">
        <f t="shared" si="81"/>
        <v>0</v>
      </c>
      <c r="AQ109" s="61"/>
    </row>
    <row r="110" spans="2:43" x14ac:dyDescent="0.25">
      <c r="B110" s="54">
        <v>0.64583333334303406</v>
      </c>
      <c r="C110" s="54">
        <v>1.00000000008004</v>
      </c>
      <c r="D110" s="60"/>
      <c r="E110" s="91"/>
      <c r="G110" s="91">
        <f>SUMMARY!AJ23</f>
        <v>0</v>
      </c>
      <c r="H110" s="92">
        <f t="shared" si="58"/>
        <v>0</v>
      </c>
      <c r="I110" s="180">
        <f>AD$91-AD$92</f>
        <v>0</v>
      </c>
      <c r="M110" s="61">
        <f t="shared" si="78"/>
        <v>0</v>
      </c>
      <c r="N110" s="61">
        <f t="shared" si="78"/>
        <v>0</v>
      </c>
      <c r="O110" s="61">
        <f t="shared" si="78"/>
        <v>0</v>
      </c>
      <c r="P110" s="61">
        <f t="shared" si="78"/>
        <v>0</v>
      </c>
      <c r="Q110" s="61">
        <f t="shared" si="78"/>
        <v>0</v>
      </c>
      <c r="R110" s="61">
        <f t="shared" si="78"/>
        <v>0</v>
      </c>
      <c r="S110" s="61">
        <f t="shared" si="78"/>
        <v>0</v>
      </c>
      <c r="T110" s="61">
        <f t="shared" si="78"/>
        <v>0</v>
      </c>
      <c r="U110" s="61">
        <f t="shared" si="78"/>
        <v>0</v>
      </c>
      <c r="V110" s="61">
        <f t="shared" si="78"/>
        <v>0</v>
      </c>
      <c r="W110" s="61">
        <f t="shared" si="79"/>
        <v>0</v>
      </c>
      <c r="X110" s="61">
        <f t="shared" si="79"/>
        <v>0</v>
      </c>
      <c r="Y110" s="61">
        <f t="shared" si="79"/>
        <v>0</v>
      </c>
      <c r="Z110" s="61">
        <f t="shared" si="79"/>
        <v>0</v>
      </c>
      <c r="AA110" s="61">
        <f t="shared" si="79"/>
        <v>0</v>
      </c>
      <c r="AB110" s="61">
        <f t="shared" si="79"/>
        <v>0</v>
      </c>
      <c r="AC110" s="61">
        <f t="shared" si="79"/>
        <v>0</v>
      </c>
      <c r="AD110" s="61">
        <f t="shared" si="79"/>
        <v>0</v>
      </c>
      <c r="AE110" s="61">
        <f t="shared" si="79"/>
        <v>0</v>
      </c>
      <c r="AF110" s="61">
        <f t="shared" si="65"/>
        <v>0</v>
      </c>
      <c r="AG110" s="61">
        <f t="shared" si="67"/>
        <v>0</v>
      </c>
      <c r="AH110" s="61">
        <f t="shared" si="69"/>
        <v>0</v>
      </c>
      <c r="AI110" s="61">
        <f t="shared" si="71"/>
        <v>0</v>
      </c>
      <c r="AJ110" s="61">
        <f t="shared" si="73"/>
        <v>0</v>
      </c>
      <c r="AK110" s="61">
        <f t="shared" si="74"/>
        <v>0</v>
      </c>
      <c r="AL110" s="61">
        <f t="shared" si="75"/>
        <v>0</v>
      </c>
      <c r="AM110" s="61">
        <f t="shared" si="76"/>
        <v>0</v>
      </c>
      <c r="AN110" s="61">
        <f t="shared" si="77"/>
        <v>0</v>
      </c>
      <c r="AO110" s="61">
        <f t="shared" si="80"/>
        <v>0</v>
      </c>
      <c r="AP110" s="61">
        <f t="shared" si="81"/>
        <v>0</v>
      </c>
      <c r="AQ110" s="61"/>
    </row>
    <row r="111" spans="2:43" x14ac:dyDescent="0.25">
      <c r="B111" s="54">
        <v>0.66666666667879304</v>
      </c>
      <c r="C111" s="54">
        <v>1.0208333334158</v>
      </c>
      <c r="D111" s="60"/>
      <c r="E111" s="91"/>
      <c r="G111" s="91">
        <f>SUMMARY!AJ24</f>
        <v>0</v>
      </c>
      <c r="H111" s="92">
        <f t="shared" si="58"/>
        <v>0</v>
      </c>
      <c r="I111" s="180">
        <f>AE$91-AE$92</f>
        <v>0</v>
      </c>
      <c r="M111" s="61">
        <f t="shared" si="78"/>
        <v>0</v>
      </c>
      <c r="N111" s="61">
        <f t="shared" si="78"/>
        <v>0</v>
      </c>
      <c r="O111" s="61">
        <f t="shared" si="78"/>
        <v>0</v>
      </c>
      <c r="P111" s="61">
        <f t="shared" si="78"/>
        <v>0</v>
      </c>
      <c r="Q111" s="61">
        <f t="shared" si="78"/>
        <v>0</v>
      </c>
      <c r="R111" s="61">
        <f t="shared" si="78"/>
        <v>0</v>
      </c>
      <c r="S111" s="61">
        <f t="shared" si="78"/>
        <v>0</v>
      </c>
      <c r="T111" s="61">
        <f t="shared" si="78"/>
        <v>0</v>
      </c>
      <c r="U111" s="61">
        <f t="shared" si="78"/>
        <v>0</v>
      </c>
      <c r="V111" s="61">
        <f t="shared" si="78"/>
        <v>0</v>
      </c>
      <c r="W111" s="61">
        <f t="shared" si="79"/>
        <v>0</v>
      </c>
      <c r="X111" s="61">
        <f t="shared" si="79"/>
        <v>0</v>
      </c>
      <c r="Y111" s="61">
        <f t="shared" si="79"/>
        <v>0</v>
      </c>
      <c r="Z111" s="61">
        <f t="shared" si="79"/>
        <v>0</v>
      </c>
      <c r="AA111" s="61">
        <f t="shared" si="79"/>
        <v>0</v>
      </c>
      <c r="AB111" s="61">
        <f t="shared" si="79"/>
        <v>0</v>
      </c>
      <c r="AC111" s="61">
        <f t="shared" si="79"/>
        <v>0</v>
      </c>
      <c r="AD111" s="61">
        <f t="shared" si="79"/>
        <v>0</v>
      </c>
      <c r="AE111" s="61">
        <f t="shared" si="79"/>
        <v>0</v>
      </c>
      <c r="AF111" s="61">
        <f t="shared" si="65"/>
        <v>0</v>
      </c>
      <c r="AG111" s="61">
        <f t="shared" si="67"/>
        <v>0</v>
      </c>
      <c r="AH111" s="61">
        <f t="shared" si="69"/>
        <v>0</v>
      </c>
      <c r="AI111" s="61">
        <f t="shared" si="71"/>
        <v>0</v>
      </c>
      <c r="AJ111" s="61">
        <f t="shared" si="73"/>
        <v>0</v>
      </c>
      <c r="AK111" s="61">
        <f t="shared" si="74"/>
        <v>0</v>
      </c>
      <c r="AL111" s="61">
        <f t="shared" si="75"/>
        <v>0</v>
      </c>
      <c r="AM111" s="61">
        <f t="shared" si="76"/>
        <v>0</v>
      </c>
      <c r="AN111" s="61">
        <f t="shared" si="77"/>
        <v>0</v>
      </c>
      <c r="AO111" s="61">
        <f t="shared" si="80"/>
        <v>0</v>
      </c>
      <c r="AP111" s="61">
        <f t="shared" si="81"/>
        <v>0</v>
      </c>
      <c r="AQ111" s="61"/>
    </row>
    <row r="112" spans="2:43" x14ac:dyDescent="0.25">
      <c r="B112" s="54">
        <v>0.68750000001455203</v>
      </c>
      <c r="C112" s="54">
        <v>1.0416666667515599</v>
      </c>
      <c r="D112" s="60"/>
      <c r="E112" s="91"/>
      <c r="G112" s="91">
        <f>SUMMARY!AJ25</f>
        <v>0</v>
      </c>
      <c r="H112" s="92">
        <f t="shared" si="58"/>
        <v>0</v>
      </c>
      <c r="I112" s="180">
        <f>AF$91-AF$92</f>
        <v>0</v>
      </c>
      <c r="M112" s="61">
        <f t="shared" si="78"/>
        <v>0</v>
      </c>
      <c r="N112" s="61">
        <f t="shared" si="78"/>
        <v>0</v>
      </c>
      <c r="O112" s="61">
        <f t="shared" si="78"/>
        <v>0</v>
      </c>
      <c r="P112" s="61">
        <f t="shared" si="78"/>
        <v>0</v>
      </c>
      <c r="Q112" s="61">
        <f t="shared" si="78"/>
        <v>0</v>
      </c>
      <c r="R112" s="61">
        <f t="shared" si="78"/>
        <v>0</v>
      </c>
      <c r="S112" s="61">
        <f t="shared" si="78"/>
        <v>0</v>
      </c>
      <c r="T112" s="61">
        <f t="shared" si="78"/>
        <v>0</v>
      </c>
      <c r="U112" s="61">
        <f t="shared" si="78"/>
        <v>0</v>
      </c>
      <c r="V112" s="61">
        <f t="shared" si="78"/>
        <v>0</v>
      </c>
      <c r="W112" s="61">
        <f t="shared" si="79"/>
        <v>0</v>
      </c>
      <c r="X112" s="61">
        <f t="shared" si="79"/>
        <v>0</v>
      </c>
      <c r="Y112" s="61">
        <f t="shared" si="79"/>
        <v>0</v>
      </c>
      <c r="Z112" s="61">
        <f t="shared" si="79"/>
        <v>0</v>
      </c>
      <c r="AA112" s="61">
        <f t="shared" si="79"/>
        <v>0</v>
      </c>
      <c r="AB112" s="61">
        <f t="shared" si="79"/>
        <v>0</v>
      </c>
      <c r="AC112" s="61">
        <f t="shared" si="79"/>
        <v>0</v>
      </c>
      <c r="AD112" s="61">
        <f t="shared" si="79"/>
        <v>0</v>
      </c>
      <c r="AE112" s="61">
        <f t="shared" si="79"/>
        <v>0</v>
      </c>
      <c r="AF112" s="61">
        <f t="shared" si="65"/>
        <v>0</v>
      </c>
      <c r="AG112" s="61">
        <f t="shared" si="67"/>
        <v>0</v>
      </c>
      <c r="AH112" s="61">
        <f t="shared" si="69"/>
        <v>0</v>
      </c>
      <c r="AI112" s="61">
        <f t="shared" si="71"/>
        <v>0</v>
      </c>
      <c r="AJ112" s="61">
        <f t="shared" si="73"/>
        <v>0</v>
      </c>
      <c r="AK112" s="61">
        <f t="shared" si="74"/>
        <v>0</v>
      </c>
      <c r="AL112" s="61">
        <f t="shared" si="75"/>
        <v>0</v>
      </c>
      <c r="AM112" s="61">
        <f t="shared" si="76"/>
        <v>0</v>
      </c>
      <c r="AN112" s="61">
        <f t="shared" si="77"/>
        <v>0</v>
      </c>
      <c r="AO112" s="61">
        <f t="shared" si="80"/>
        <v>0</v>
      </c>
      <c r="AP112" s="61">
        <f t="shared" si="81"/>
        <v>0</v>
      </c>
      <c r="AQ112" s="61"/>
    </row>
    <row r="113" spans="2:43" x14ac:dyDescent="0.25">
      <c r="B113" s="54">
        <v>0.70833333335031001</v>
      </c>
      <c r="C113" s="54">
        <v>1.0625000000873199</v>
      </c>
      <c r="D113" s="60"/>
      <c r="E113" s="91"/>
      <c r="G113" s="91">
        <f>SUMMARY!AJ26</f>
        <v>0</v>
      </c>
      <c r="H113" s="92">
        <f t="shared" si="58"/>
        <v>0</v>
      </c>
      <c r="I113" s="180">
        <f>AG$91-AG$92</f>
        <v>0</v>
      </c>
      <c r="M113" s="61">
        <f t="shared" si="78"/>
        <v>0</v>
      </c>
      <c r="N113" s="61">
        <f t="shared" si="78"/>
        <v>0</v>
      </c>
      <c r="O113" s="61">
        <f t="shared" si="78"/>
        <v>0</v>
      </c>
      <c r="P113" s="61">
        <f t="shared" si="78"/>
        <v>0</v>
      </c>
      <c r="Q113" s="61">
        <f t="shared" si="78"/>
        <v>0</v>
      </c>
      <c r="R113" s="61">
        <f t="shared" si="78"/>
        <v>0</v>
      </c>
      <c r="S113" s="61">
        <f t="shared" si="78"/>
        <v>0</v>
      </c>
      <c r="T113" s="61">
        <f t="shared" si="78"/>
        <v>0</v>
      </c>
      <c r="U113" s="61">
        <f t="shared" si="78"/>
        <v>0</v>
      </c>
      <c r="V113" s="61">
        <f t="shared" si="78"/>
        <v>0</v>
      </c>
      <c r="W113" s="61">
        <f t="shared" si="79"/>
        <v>0</v>
      </c>
      <c r="X113" s="61">
        <f t="shared" si="79"/>
        <v>0</v>
      </c>
      <c r="Y113" s="61">
        <f t="shared" si="79"/>
        <v>0</v>
      </c>
      <c r="Z113" s="61">
        <f t="shared" si="79"/>
        <v>0</v>
      </c>
      <c r="AA113" s="61">
        <f t="shared" si="79"/>
        <v>0</v>
      </c>
      <c r="AB113" s="61">
        <f t="shared" si="79"/>
        <v>0</v>
      </c>
      <c r="AC113" s="61">
        <f t="shared" si="79"/>
        <v>0</v>
      </c>
      <c r="AD113" s="61">
        <f t="shared" si="79"/>
        <v>0</v>
      </c>
      <c r="AE113" s="61">
        <f t="shared" si="79"/>
        <v>0</v>
      </c>
      <c r="AF113" s="61">
        <f t="shared" si="65"/>
        <v>0</v>
      </c>
      <c r="AG113" s="61">
        <f t="shared" si="67"/>
        <v>0</v>
      </c>
      <c r="AH113" s="61">
        <f t="shared" si="69"/>
        <v>0</v>
      </c>
      <c r="AI113" s="61">
        <f t="shared" si="71"/>
        <v>0</v>
      </c>
      <c r="AJ113" s="61">
        <f t="shared" si="73"/>
        <v>0</v>
      </c>
      <c r="AK113" s="61">
        <f t="shared" si="74"/>
        <v>0</v>
      </c>
      <c r="AL113" s="61">
        <f t="shared" si="75"/>
        <v>0</v>
      </c>
      <c r="AM113" s="61">
        <f t="shared" si="76"/>
        <v>0</v>
      </c>
      <c r="AN113" s="61">
        <f t="shared" si="77"/>
        <v>0</v>
      </c>
      <c r="AO113" s="61">
        <f t="shared" si="80"/>
        <v>0</v>
      </c>
      <c r="AP113" s="61">
        <f t="shared" si="81"/>
        <v>0</v>
      </c>
      <c r="AQ113" s="61"/>
    </row>
    <row r="114" spans="2:43" x14ac:dyDescent="0.25">
      <c r="B114" s="54">
        <v>0.729166666686069</v>
      </c>
      <c r="C114" s="54">
        <v>1.0833333334230799</v>
      </c>
      <c r="D114" s="60"/>
      <c r="E114" s="91"/>
      <c r="G114" s="91">
        <f>SUMMARY!AJ27</f>
        <v>0</v>
      </c>
      <c r="H114" s="92">
        <f t="shared" si="58"/>
        <v>0</v>
      </c>
      <c r="I114" s="180">
        <f>AH$91-AH$92</f>
        <v>0</v>
      </c>
      <c r="M114" s="61">
        <f t="shared" si="78"/>
        <v>0</v>
      </c>
      <c r="N114" s="61">
        <f t="shared" si="78"/>
        <v>0</v>
      </c>
      <c r="O114" s="61">
        <f t="shared" si="78"/>
        <v>0</v>
      </c>
      <c r="P114" s="61">
        <f t="shared" si="78"/>
        <v>0</v>
      </c>
      <c r="Q114" s="61">
        <f t="shared" si="78"/>
        <v>0</v>
      </c>
      <c r="R114" s="61">
        <f t="shared" si="78"/>
        <v>0</v>
      </c>
      <c r="S114" s="61">
        <f t="shared" si="78"/>
        <v>0</v>
      </c>
      <c r="T114" s="61">
        <f t="shared" si="78"/>
        <v>0</v>
      </c>
      <c r="U114" s="61">
        <f t="shared" si="78"/>
        <v>0</v>
      </c>
      <c r="V114" s="61">
        <f t="shared" si="78"/>
        <v>0</v>
      </c>
      <c r="W114" s="61">
        <f t="shared" si="79"/>
        <v>0</v>
      </c>
      <c r="X114" s="61">
        <f t="shared" si="79"/>
        <v>0</v>
      </c>
      <c r="Y114" s="61">
        <f t="shared" si="79"/>
        <v>0</v>
      </c>
      <c r="Z114" s="61">
        <f t="shared" si="79"/>
        <v>0</v>
      </c>
      <c r="AA114" s="61">
        <f t="shared" si="79"/>
        <v>0</v>
      </c>
      <c r="AB114" s="61">
        <f t="shared" si="79"/>
        <v>0</v>
      </c>
      <c r="AC114" s="61">
        <f t="shared" si="79"/>
        <v>0</v>
      </c>
      <c r="AD114" s="61">
        <f t="shared" si="79"/>
        <v>0</v>
      </c>
      <c r="AE114" s="61">
        <f t="shared" si="79"/>
        <v>0</v>
      </c>
      <c r="AF114" s="61">
        <f t="shared" si="65"/>
        <v>0</v>
      </c>
      <c r="AG114" s="61">
        <f t="shared" si="67"/>
        <v>0</v>
      </c>
      <c r="AH114" s="61">
        <f t="shared" si="69"/>
        <v>0</v>
      </c>
      <c r="AI114" s="61">
        <f t="shared" si="71"/>
        <v>0</v>
      </c>
      <c r="AJ114" s="61">
        <f t="shared" si="73"/>
        <v>0</v>
      </c>
      <c r="AK114" s="61">
        <f t="shared" si="74"/>
        <v>0</v>
      </c>
      <c r="AL114" s="61">
        <f t="shared" si="75"/>
        <v>0</v>
      </c>
      <c r="AM114" s="61">
        <f t="shared" si="76"/>
        <v>0</v>
      </c>
      <c r="AN114" s="61">
        <f t="shared" si="77"/>
        <v>0</v>
      </c>
      <c r="AO114" s="61">
        <f t="shared" si="80"/>
        <v>0</v>
      </c>
      <c r="AP114" s="61">
        <f t="shared" si="81"/>
        <v>0</v>
      </c>
      <c r="AQ114" s="61"/>
    </row>
    <row r="115" spans="2:43" x14ac:dyDescent="0.25">
      <c r="B115" s="54">
        <v>0.75000000002182798</v>
      </c>
      <c r="C115" s="54">
        <v>1.1041666667588399</v>
      </c>
      <c r="D115" s="60"/>
      <c r="E115" s="91"/>
      <c r="G115" s="91">
        <f>SUMMARY!AJ28</f>
        <v>0</v>
      </c>
      <c r="H115" s="92">
        <f t="shared" si="58"/>
        <v>0</v>
      </c>
      <c r="I115" s="180">
        <f>AI$91-AI$92</f>
        <v>0</v>
      </c>
      <c r="M115" s="61">
        <f t="shared" ref="M115:V122" si="82">IF(AND(M$2&gt;=$B115,M$2&lt;$C115),$E115,0)</f>
        <v>0</v>
      </c>
      <c r="N115" s="61">
        <f t="shared" si="82"/>
        <v>0</v>
      </c>
      <c r="O115" s="61">
        <f t="shared" si="82"/>
        <v>0</v>
      </c>
      <c r="P115" s="61">
        <f t="shared" si="82"/>
        <v>0</v>
      </c>
      <c r="Q115" s="61">
        <f t="shared" si="82"/>
        <v>0</v>
      </c>
      <c r="R115" s="61">
        <f t="shared" si="82"/>
        <v>0</v>
      </c>
      <c r="S115" s="61">
        <f t="shared" si="82"/>
        <v>0</v>
      </c>
      <c r="T115" s="61">
        <f t="shared" si="82"/>
        <v>0</v>
      </c>
      <c r="U115" s="61">
        <f t="shared" si="82"/>
        <v>0</v>
      </c>
      <c r="V115" s="61">
        <f t="shared" si="82"/>
        <v>0</v>
      </c>
      <c r="W115" s="61">
        <f t="shared" ref="W115:AE122" si="83">IF(AND(W$2&gt;=$B115,W$2&lt;$C115),$E115,0)</f>
        <v>0</v>
      </c>
      <c r="X115" s="61">
        <f t="shared" si="83"/>
        <v>0</v>
      </c>
      <c r="Y115" s="61">
        <f t="shared" si="83"/>
        <v>0</v>
      </c>
      <c r="Z115" s="61">
        <f t="shared" si="83"/>
        <v>0</v>
      </c>
      <c r="AA115" s="61">
        <f t="shared" si="83"/>
        <v>0</v>
      </c>
      <c r="AB115" s="61">
        <f t="shared" si="83"/>
        <v>0</v>
      </c>
      <c r="AC115" s="61">
        <f t="shared" si="83"/>
        <v>0</v>
      </c>
      <c r="AD115" s="61">
        <f t="shared" si="83"/>
        <v>0</v>
      </c>
      <c r="AE115" s="61">
        <f t="shared" si="83"/>
        <v>0</v>
      </c>
      <c r="AF115" s="61">
        <f t="shared" si="65"/>
        <v>0</v>
      </c>
      <c r="AG115" s="61">
        <f t="shared" si="67"/>
        <v>0</v>
      </c>
      <c r="AH115" s="61">
        <f t="shared" si="69"/>
        <v>0</v>
      </c>
      <c r="AI115" s="61">
        <f t="shared" si="71"/>
        <v>0</v>
      </c>
      <c r="AJ115" s="61">
        <f t="shared" si="73"/>
        <v>0</v>
      </c>
      <c r="AK115" s="61">
        <f t="shared" si="74"/>
        <v>0</v>
      </c>
      <c r="AL115" s="61">
        <f t="shared" si="75"/>
        <v>0</v>
      </c>
      <c r="AM115" s="61">
        <f t="shared" si="76"/>
        <v>0</v>
      </c>
      <c r="AN115" s="61">
        <f t="shared" si="77"/>
        <v>0</v>
      </c>
      <c r="AO115" s="61">
        <f t="shared" si="80"/>
        <v>0</v>
      </c>
      <c r="AP115" s="61">
        <f t="shared" si="81"/>
        <v>0</v>
      </c>
      <c r="AQ115" s="61"/>
    </row>
    <row r="116" spans="2:43" x14ac:dyDescent="0.25">
      <c r="B116" s="54">
        <v>0.77083333335758597</v>
      </c>
      <c r="C116" s="54">
        <v>1.1250000000945899</v>
      </c>
      <c r="D116" s="60"/>
      <c r="E116" s="91"/>
      <c r="G116" s="91">
        <f>SUMMARY!AJ29</f>
        <v>0</v>
      </c>
      <c r="H116" s="92">
        <f t="shared" si="58"/>
        <v>0</v>
      </c>
      <c r="I116" s="180">
        <f>AJ$91-AJ$92</f>
        <v>0</v>
      </c>
      <c r="M116" s="61">
        <f t="shared" si="82"/>
        <v>0</v>
      </c>
      <c r="N116" s="61">
        <f t="shared" si="82"/>
        <v>0</v>
      </c>
      <c r="O116" s="61">
        <f t="shared" si="82"/>
        <v>0</v>
      </c>
      <c r="P116" s="61">
        <f t="shared" si="82"/>
        <v>0</v>
      </c>
      <c r="Q116" s="61">
        <f t="shared" si="82"/>
        <v>0</v>
      </c>
      <c r="R116" s="61">
        <f t="shared" si="82"/>
        <v>0</v>
      </c>
      <c r="S116" s="61">
        <f t="shared" si="82"/>
        <v>0</v>
      </c>
      <c r="T116" s="61">
        <f t="shared" si="82"/>
        <v>0</v>
      </c>
      <c r="U116" s="61">
        <f t="shared" si="82"/>
        <v>0</v>
      </c>
      <c r="V116" s="61">
        <f t="shared" si="82"/>
        <v>0</v>
      </c>
      <c r="W116" s="61">
        <f t="shared" si="83"/>
        <v>0</v>
      </c>
      <c r="X116" s="61">
        <f t="shared" si="83"/>
        <v>0</v>
      </c>
      <c r="Y116" s="61">
        <f t="shared" si="83"/>
        <v>0</v>
      </c>
      <c r="Z116" s="61">
        <f t="shared" si="83"/>
        <v>0</v>
      </c>
      <c r="AA116" s="61">
        <f t="shared" si="83"/>
        <v>0</v>
      </c>
      <c r="AB116" s="61">
        <f t="shared" si="83"/>
        <v>0</v>
      </c>
      <c r="AC116" s="61">
        <f t="shared" si="83"/>
        <v>0</v>
      </c>
      <c r="AD116" s="61">
        <f t="shared" si="83"/>
        <v>0</v>
      </c>
      <c r="AE116" s="61">
        <f t="shared" si="83"/>
        <v>0</v>
      </c>
      <c r="AF116" s="61">
        <f t="shared" si="65"/>
        <v>0</v>
      </c>
      <c r="AG116" s="61">
        <f t="shared" si="67"/>
        <v>0</v>
      </c>
      <c r="AH116" s="61">
        <f t="shared" si="69"/>
        <v>0</v>
      </c>
      <c r="AI116" s="61">
        <f t="shared" si="71"/>
        <v>0</v>
      </c>
      <c r="AJ116" s="61">
        <f t="shared" si="73"/>
        <v>0</v>
      </c>
      <c r="AK116" s="61">
        <f t="shared" si="74"/>
        <v>0</v>
      </c>
      <c r="AL116" s="61">
        <f t="shared" si="75"/>
        <v>0</v>
      </c>
      <c r="AM116" s="61">
        <f t="shared" si="76"/>
        <v>0</v>
      </c>
      <c r="AN116" s="61">
        <f t="shared" si="77"/>
        <v>0</v>
      </c>
      <c r="AO116" s="61">
        <f t="shared" si="80"/>
        <v>0</v>
      </c>
      <c r="AP116" s="61">
        <f t="shared" si="81"/>
        <v>0</v>
      </c>
      <c r="AQ116" s="61"/>
    </row>
    <row r="117" spans="2:43" x14ac:dyDescent="0.25">
      <c r="B117" s="54">
        <v>0.79166666669334496</v>
      </c>
      <c r="C117" s="54">
        <v>1.1458333334303501</v>
      </c>
      <c r="D117" s="60"/>
      <c r="E117" s="91"/>
      <c r="G117" s="91">
        <f>SUMMARY!AJ30</f>
        <v>0</v>
      </c>
      <c r="H117" s="92">
        <f t="shared" si="58"/>
        <v>0</v>
      </c>
      <c r="I117" s="180">
        <f>AK$91-AK$92</f>
        <v>0</v>
      </c>
      <c r="M117" s="61">
        <f t="shared" si="82"/>
        <v>0</v>
      </c>
      <c r="N117" s="61">
        <f t="shared" si="82"/>
        <v>0</v>
      </c>
      <c r="O117" s="61">
        <f t="shared" si="82"/>
        <v>0</v>
      </c>
      <c r="P117" s="61">
        <f t="shared" si="82"/>
        <v>0</v>
      </c>
      <c r="Q117" s="61">
        <f t="shared" si="82"/>
        <v>0</v>
      </c>
      <c r="R117" s="61">
        <f t="shared" si="82"/>
        <v>0</v>
      </c>
      <c r="S117" s="61">
        <f t="shared" si="82"/>
        <v>0</v>
      </c>
      <c r="T117" s="61">
        <f t="shared" si="82"/>
        <v>0</v>
      </c>
      <c r="U117" s="61">
        <f t="shared" si="82"/>
        <v>0</v>
      </c>
      <c r="V117" s="61">
        <f t="shared" si="82"/>
        <v>0</v>
      </c>
      <c r="W117" s="61">
        <f t="shared" si="83"/>
        <v>0</v>
      </c>
      <c r="X117" s="61">
        <f t="shared" si="83"/>
        <v>0</v>
      </c>
      <c r="Y117" s="61">
        <f t="shared" si="83"/>
        <v>0</v>
      </c>
      <c r="Z117" s="61">
        <f t="shared" si="83"/>
        <v>0</v>
      </c>
      <c r="AA117" s="61">
        <f t="shared" si="83"/>
        <v>0</v>
      </c>
      <c r="AB117" s="61">
        <f t="shared" si="83"/>
        <v>0</v>
      </c>
      <c r="AC117" s="61">
        <f t="shared" si="83"/>
        <v>0</v>
      </c>
      <c r="AD117" s="61">
        <f t="shared" si="83"/>
        <v>0</v>
      </c>
      <c r="AE117" s="61">
        <f t="shared" si="83"/>
        <v>0</v>
      </c>
      <c r="AF117" s="61">
        <f t="shared" si="65"/>
        <v>0</v>
      </c>
      <c r="AG117" s="61">
        <f t="shared" si="67"/>
        <v>0</v>
      </c>
      <c r="AH117" s="61">
        <f t="shared" si="69"/>
        <v>0</v>
      </c>
      <c r="AI117" s="61">
        <f t="shared" si="71"/>
        <v>0</v>
      </c>
      <c r="AJ117" s="61">
        <f t="shared" si="73"/>
        <v>0</v>
      </c>
      <c r="AK117" s="61">
        <f t="shared" si="74"/>
        <v>0</v>
      </c>
      <c r="AL117" s="61">
        <f t="shared" si="75"/>
        <v>0</v>
      </c>
      <c r="AM117" s="61">
        <f t="shared" si="76"/>
        <v>0</v>
      </c>
      <c r="AN117" s="61">
        <f t="shared" si="77"/>
        <v>0</v>
      </c>
      <c r="AO117" s="61">
        <f t="shared" si="80"/>
        <v>0</v>
      </c>
      <c r="AP117" s="61">
        <f t="shared" si="81"/>
        <v>0</v>
      </c>
      <c r="AQ117" s="61"/>
    </row>
    <row r="118" spans="2:43" x14ac:dyDescent="0.25">
      <c r="B118" s="54">
        <v>0.81250000002910305</v>
      </c>
      <c r="C118" s="54">
        <v>1.1666666667661101</v>
      </c>
      <c r="D118" s="60"/>
      <c r="E118" s="91"/>
      <c r="G118" s="91">
        <f>SUMMARY!AJ31</f>
        <v>0</v>
      </c>
      <c r="H118" s="92">
        <f t="shared" si="58"/>
        <v>0</v>
      </c>
      <c r="I118" s="180">
        <f>AL$91-AL$92</f>
        <v>0</v>
      </c>
      <c r="M118" s="61">
        <f t="shared" si="82"/>
        <v>0</v>
      </c>
      <c r="N118" s="61">
        <f t="shared" si="82"/>
        <v>0</v>
      </c>
      <c r="O118" s="61">
        <f t="shared" si="82"/>
        <v>0</v>
      </c>
      <c r="P118" s="61">
        <f t="shared" si="82"/>
        <v>0</v>
      </c>
      <c r="Q118" s="61">
        <f t="shared" si="82"/>
        <v>0</v>
      </c>
      <c r="R118" s="61">
        <f t="shared" si="82"/>
        <v>0</v>
      </c>
      <c r="S118" s="61">
        <f t="shared" si="82"/>
        <v>0</v>
      </c>
      <c r="T118" s="61">
        <f t="shared" si="82"/>
        <v>0</v>
      </c>
      <c r="U118" s="61">
        <f t="shared" si="82"/>
        <v>0</v>
      </c>
      <c r="V118" s="61">
        <f t="shared" si="82"/>
        <v>0</v>
      </c>
      <c r="W118" s="61">
        <f t="shared" si="83"/>
        <v>0</v>
      </c>
      <c r="X118" s="61">
        <f t="shared" si="83"/>
        <v>0</v>
      </c>
      <c r="Y118" s="61">
        <f t="shared" si="83"/>
        <v>0</v>
      </c>
      <c r="Z118" s="61">
        <f t="shared" si="83"/>
        <v>0</v>
      </c>
      <c r="AA118" s="61">
        <f t="shared" si="83"/>
        <v>0</v>
      </c>
      <c r="AB118" s="61">
        <f t="shared" si="83"/>
        <v>0</v>
      </c>
      <c r="AC118" s="61">
        <f t="shared" si="83"/>
        <v>0</v>
      </c>
      <c r="AD118" s="61">
        <f t="shared" si="83"/>
        <v>0</v>
      </c>
      <c r="AE118" s="61">
        <f t="shared" si="83"/>
        <v>0</v>
      </c>
      <c r="AF118" s="61">
        <f t="shared" si="65"/>
        <v>0</v>
      </c>
      <c r="AG118" s="61">
        <f t="shared" si="67"/>
        <v>0</v>
      </c>
      <c r="AH118" s="61">
        <f t="shared" si="69"/>
        <v>0</v>
      </c>
      <c r="AI118" s="61">
        <f t="shared" si="71"/>
        <v>0</v>
      </c>
      <c r="AJ118" s="61">
        <f t="shared" si="73"/>
        <v>0</v>
      </c>
      <c r="AK118" s="61">
        <f t="shared" si="74"/>
        <v>0</v>
      </c>
      <c r="AL118" s="61">
        <f t="shared" si="75"/>
        <v>0</v>
      </c>
      <c r="AM118" s="61">
        <f t="shared" si="76"/>
        <v>0</v>
      </c>
      <c r="AN118" s="61">
        <f t="shared" si="77"/>
        <v>0</v>
      </c>
      <c r="AO118" s="61">
        <f t="shared" si="80"/>
        <v>0</v>
      </c>
      <c r="AP118" s="61">
        <f t="shared" si="81"/>
        <v>0</v>
      </c>
      <c r="AQ118" s="61"/>
    </row>
    <row r="119" spans="2:43" x14ac:dyDescent="0.25">
      <c r="B119" s="54">
        <v>0.83333333336486204</v>
      </c>
      <c r="C119" s="54">
        <v>1.1875000001018701</v>
      </c>
      <c r="D119" s="60"/>
      <c r="E119" s="91"/>
      <c r="G119" s="91">
        <f>SUMMARY!AJ32</f>
        <v>0</v>
      </c>
      <c r="H119" s="92">
        <f t="shared" si="58"/>
        <v>0</v>
      </c>
      <c r="I119" s="180">
        <f>AM$91-AM$92</f>
        <v>0</v>
      </c>
      <c r="M119" s="61">
        <f t="shared" si="82"/>
        <v>0</v>
      </c>
      <c r="N119" s="61">
        <f t="shared" si="82"/>
        <v>0</v>
      </c>
      <c r="O119" s="61">
        <f t="shared" si="82"/>
        <v>0</v>
      </c>
      <c r="P119" s="61">
        <f t="shared" si="82"/>
        <v>0</v>
      </c>
      <c r="Q119" s="61">
        <f t="shared" si="82"/>
        <v>0</v>
      </c>
      <c r="R119" s="61">
        <f t="shared" si="82"/>
        <v>0</v>
      </c>
      <c r="S119" s="61">
        <f t="shared" si="82"/>
        <v>0</v>
      </c>
      <c r="T119" s="61">
        <f t="shared" si="82"/>
        <v>0</v>
      </c>
      <c r="U119" s="61">
        <f t="shared" si="82"/>
        <v>0</v>
      </c>
      <c r="V119" s="61">
        <f t="shared" si="82"/>
        <v>0</v>
      </c>
      <c r="W119" s="61">
        <f t="shared" si="83"/>
        <v>0</v>
      </c>
      <c r="X119" s="61">
        <f t="shared" si="83"/>
        <v>0</v>
      </c>
      <c r="Y119" s="61">
        <f t="shared" si="83"/>
        <v>0</v>
      </c>
      <c r="Z119" s="61">
        <f t="shared" si="83"/>
        <v>0</v>
      </c>
      <c r="AA119" s="61">
        <f t="shared" si="83"/>
        <v>0</v>
      </c>
      <c r="AB119" s="61">
        <f t="shared" si="83"/>
        <v>0</v>
      </c>
      <c r="AC119" s="61">
        <f t="shared" si="83"/>
        <v>0</v>
      </c>
      <c r="AD119" s="61">
        <f t="shared" si="83"/>
        <v>0</v>
      </c>
      <c r="AE119" s="61">
        <f t="shared" si="83"/>
        <v>0</v>
      </c>
      <c r="AF119" s="61">
        <f t="shared" si="65"/>
        <v>0</v>
      </c>
      <c r="AG119" s="61">
        <f t="shared" si="67"/>
        <v>0</v>
      </c>
      <c r="AH119" s="61">
        <f t="shared" si="69"/>
        <v>0</v>
      </c>
      <c r="AI119" s="61">
        <f t="shared" si="71"/>
        <v>0</v>
      </c>
      <c r="AJ119" s="61">
        <f t="shared" si="73"/>
        <v>0</v>
      </c>
      <c r="AK119" s="61">
        <f t="shared" si="74"/>
        <v>0</v>
      </c>
      <c r="AL119" s="61">
        <f t="shared" si="75"/>
        <v>0</v>
      </c>
      <c r="AM119" s="61">
        <f t="shared" si="76"/>
        <v>0</v>
      </c>
      <c r="AN119" s="61">
        <f t="shared" si="77"/>
        <v>0</v>
      </c>
      <c r="AO119" s="61">
        <f t="shared" si="80"/>
        <v>0</v>
      </c>
      <c r="AP119" s="61">
        <f t="shared" si="81"/>
        <v>0</v>
      </c>
      <c r="AQ119" s="61"/>
    </row>
    <row r="120" spans="2:43" x14ac:dyDescent="0.25">
      <c r="B120" s="54">
        <v>0.85416666670062102</v>
      </c>
      <c r="C120" s="54">
        <v>1.2083333334376301</v>
      </c>
      <c r="D120" s="60"/>
      <c r="E120" s="91"/>
      <c r="G120" s="91">
        <f>SUMMARY!AJ33</f>
        <v>0</v>
      </c>
      <c r="H120" s="92">
        <f t="shared" si="58"/>
        <v>0</v>
      </c>
      <c r="I120" s="180">
        <f>AN$91-AN$92</f>
        <v>0</v>
      </c>
      <c r="M120" s="61">
        <f t="shared" si="82"/>
        <v>0</v>
      </c>
      <c r="N120" s="61">
        <f t="shared" si="82"/>
        <v>0</v>
      </c>
      <c r="O120" s="61">
        <f t="shared" si="82"/>
        <v>0</v>
      </c>
      <c r="P120" s="61">
        <f t="shared" si="82"/>
        <v>0</v>
      </c>
      <c r="Q120" s="61">
        <f t="shared" si="82"/>
        <v>0</v>
      </c>
      <c r="R120" s="61">
        <f t="shared" si="82"/>
        <v>0</v>
      </c>
      <c r="S120" s="61">
        <f t="shared" si="82"/>
        <v>0</v>
      </c>
      <c r="T120" s="61">
        <f t="shared" si="82"/>
        <v>0</v>
      </c>
      <c r="U120" s="61">
        <f t="shared" si="82"/>
        <v>0</v>
      </c>
      <c r="V120" s="61">
        <f t="shared" si="82"/>
        <v>0</v>
      </c>
      <c r="W120" s="61">
        <f t="shared" si="83"/>
        <v>0</v>
      </c>
      <c r="X120" s="61">
        <f t="shared" si="83"/>
        <v>0</v>
      </c>
      <c r="Y120" s="61">
        <f t="shared" si="83"/>
        <v>0</v>
      </c>
      <c r="Z120" s="61">
        <f t="shared" si="83"/>
        <v>0</v>
      </c>
      <c r="AA120" s="61">
        <f t="shared" si="83"/>
        <v>0</v>
      </c>
      <c r="AB120" s="61">
        <f t="shared" si="83"/>
        <v>0</v>
      </c>
      <c r="AC120" s="61">
        <f t="shared" si="83"/>
        <v>0</v>
      </c>
      <c r="AD120" s="61">
        <f t="shared" si="83"/>
        <v>0</v>
      </c>
      <c r="AE120" s="61">
        <f t="shared" si="83"/>
        <v>0</v>
      </c>
      <c r="AF120" s="61">
        <f t="shared" si="65"/>
        <v>0</v>
      </c>
      <c r="AG120" s="61">
        <f t="shared" si="67"/>
        <v>0</v>
      </c>
      <c r="AH120" s="61">
        <f t="shared" si="69"/>
        <v>0</v>
      </c>
      <c r="AI120" s="61">
        <f t="shared" si="71"/>
        <v>0</v>
      </c>
      <c r="AJ120" s="61">
        <f t="shared" si="73"/>
        <v>0</v>
      </c>
      <c r="AK120" s="61">
        <f t="shared" si="74"/>
        <v>0</v>
      </c>
      <c r="AL120" s="61">
        <f t="shared" si="75"/>
        <v>0</v>
      </c>
      <c r="AM120" s="61">
        <f t="shared" si="76"/>
        <v>0</v>
      </c>
      <c r="AN120" s="61">
        <f t="shared" si="77"/>
        <v>0</v>
      </c>
      <c r="AO120" s="61">
        <f t="shared" si="80"/>
        <v>0</v>
      </c>
      <c r="AP120" s="61">
        <f t="shared" si="81"/>
        <v>0</v>
      </c>
      <c r="AQ120" s="61"/>
    </row>
    <row r="121" spans="2:43" x14ac:dyDescent="0.25">
      <c r="B121" s="54">
        <v>0.87500000003637901</v>
      </c>
      <c r="C121" s="54">
        <v>1.22916666677339</v>
      </c>
      <c r="D121" s="60"/>
      <c r="E121" s="91"/>
      <c r="G121" s="91">
        <f>SUMMARY!AJ34</f>
        <v>0</v>
      </c>
      <c r="H121" s="92">
        <f t="shared" si="58"/>
        <v>0</v>
      </c>
      <c r="I121" s="180">
        <f>AO$91-AO$92</f>
        <v>0</v>
      </c>
      <c r="M121" s="61">
        <f t="shared" si="82"/>
        <v>0</v>
      </c>
      <c r="N121" s="61">
        <f t="shared" si="82"/>
        <v>0</v>
      </c>
      <c r="O121" s="61">
        <f t="shared" si="82"/>
        <v>0</v>
      </c>
      <c r="P121" s="61">
        <f t="shared" si="82"/>
        <v>0</v>
      </c>
      <c r="Q121" s="61">
        <f t="shared" si="82"/>
        <v>0</v>
      </c>
      <c r="R121" s="61">
        <f t="shared" si="82"/>
        <v>0</v>
      </c>
      <c r="S121" s="61">
        <f t="shared" si="82"/>
        <v>0</v>
      </c>
      <c r="T121" s="61">
        <f t="shared" si="82"/>
        <v>0</v>
      </c>
      <c r="U121" s="61">
        <f t="shared" si="82"/>
        <v>0</v>
      </c>
      <c r="V121" s="61">
        <f t="shared" si="82"/>
        <v>0</v>
      </c>
      <c r="W121" s="61">
        <f t="shared" si="83"/>
        <v>0</v>
      </c>
      <c r="X121" s="61">
        <f t="shared" si="83"/>
        <v>0</v>
      </c>
      <c r="Y121" s="61">
        <f t="shared" si="83"/>
        <v>0</v>
      </c>
      <c r="Z121" s="61">
        <f t="shared" si="83"/>
        <v>0</v>
      </c>
      <c r="AA121" s="61">
        <f t="shared" si="83"/>
        <v>0</v>
      </c>
      <c r="AB121" s="61">
        <f t="shared" si="83"/>
        <v>0</v>
      </c>
      <c r="AC121" s="61">
        <f t="shared" si="83"/>
        <v>0</v>
      </c>
      <c r="AD121" s="61">
        <f t="shared" si="83"/>
        <v>0</v>
      </c>
      <c r="AE121" s="61">
        <f t="shared" si="83"/>
        <v>0</v>
      </c>
      <c r="AF121" s="61">
        <f t="shared" si="65"/>
        <v>0</v>
      </c>
      <c r="AG121" s="61">
        <f t="shared" si="67"/>
        <v>0</v>
      </c>
      <c r="AH121" s="61">
        <f t="shared" si="69"/>
        <v>0</v>
      </c>
      <c r="AI121" s="61">
        <f t="shared" si="71"/>
        <v>0</v>
      </c>
      <c r="AJ121" s="61">
        <f t="shared" si="73"/>
        <v>0</v>
      </c>
      <c r="AK121" s="61">
        <f t="shared" si="74"/>
        <v>0</v>
      </c>
      <c r="AL121" s="61">
        <f t="shared" si="75"/>
        <v>0</v>
      </c>
      <c r="AM121" s="61">
        <f t="shared" si="76"/>
        <v>0</v>
      </c>
      <c r="AN121" s="61">
        <f t="shared" si="77"/>
        <v>0</v>
      </c>
      <c r="AO121" s="61">
        <f t="shared" si="80"/>
        <v>0</v>
      </c>
      <c r="AP121" s="61">
        <f t="shared" si="81"/>
        <v>0</v>
      </c>
      <c r="AQ121" s="61"/>
    </row>
    <row r="122" spans="2:43" x14ac:dyDescent="0.25">
      <c r="B122" s="54">
        <v>0.895833333372138</v>
      </c>
      <c r="C122" s="54">
        <v>1.25000000010915</v>
      </c>
      <c r="D122" s="60"/>
      <c r="E122" s="91"/>
      <c r="G122" s="91">
        <f>SUMMARY!AJ35</f>
        <v>0</v>
      </c>
      <c r="H122" s="92">
        <f t="shared" si="58"/>
        <v>0</v>
      </c>
      <c r="I122" s="180">
        <f>AP$91-AP$92</f>
        <v>0</v>
      </c>
      <c r="M122" s="61">
        <f t="shared" si="82"/>
        <v>0</v>
      </c>
      <c r="N122" s="61">
        <f t="shared" si="82"/>
        <v>0</v>
      </c>
      <c r="O122" s="61">
        <f t="shared" si="82"/>
        <v>0</v>
      </c>
      <c r="P122" s="61">
        <f t="shared" si="82"/>
        <v>0</v>
      </c>
      <c r="Q122" s="61">
        <f t="shared" si="82"/>
        <v>0</v>
      </c>
      <c r="R122" s="61">
        <f t="shared" si="82"/>
        <v>0</v>
      </c>
      <c r="S122" s="61">
        <f t="shared" si="82"/>
        <v>0</v>
      </c>
      <c r="T122" s="61">
        <f t="shared" si="82"/>
        <v>0</v>
      </c>
      <c r="U122" s="61">
        <f t="shared" si="82"/>
        <v>0</v>
      </c>
      <c r="V122" s="61">
        <f t="shared" si="82"/>
        <v>0</v>
      </c>
      <c r="W122" s="61">
        <f t="shared" si="83"/>
        <v>0</v>
      </c>
      <c r="X122" s="61">
        <f t="shared" si="83"/>
        <v>0</v>
      </c>
      <c r="Y122" s="61">
        <f t="shared" si="83"/>
        <v>0</v>
      </c>
      <c r="Z122" s="61">
        <f t="shared" si="83"/>
        <v>0</v>
      </c>
      <c r="AA122" s="61">
        <f t="shared" si="83"/>
        <v>0</v>
      </c>
      <c r="AB122" s="61">
        <f t="shared" si="83"/>
        <v>0</v>
      </c>
      <c r="AC122" s="61">
        <f t="shared" si="83"/>
        <v>0</v>
      </c>
      <c r="AD122" s="61">
        <f t="shared" si="83"/>
        <v>0</v>
      </c>
      <c r="AE122" s="61">
        <f t="shared" si="83"/>
        <v>0</v>
      </c>
      <c r="AF122" s="61">
        <f t="shared" si="65"/>
        <v>0</v>
      </c>
      <c r="AG122" s="61">
        <f t="shared" si="67"/>
        <v>0</v>
      </c>
      <c r="AH122" s="61">
        <f t="shared" si="69"/>
        <v>0</v>
      </c>
      <c r="AI122" s="61">
        <f t="shared" si="71"/>
        <v>0</v>
      </c>
      <c r="AJ122" s="61">
        <f t="shared" si="73"/>
        <v>0</v>
      </c>
      <c r="AK122" s="61">
        <f t="shared" si="74"/>
        <v>0</v>
      </c>
      <c r="AL122" s="61">
        <f t="shared" si="75"/>
        <v>0</v>
      </c>
      <c r="AM122" s="61">
        <f t="shared" si="76"/>
        <v>0</v>
      </c>
      <c r="AN122" s="61">
        <f t="shared" si="77"/>
        <v>0</v>
      </c>
      <c r="AO122" s="61">
        <f t="shared" si="80"/>
        <v>0</v>
      </c>
      <c r="AP122" s="61">
        <f t="shared" si="81"/>
        <v>0</v>
      </c>
      <c r="AQ122" s="61"/>
    </row>
    <row r="123" spans="2:43" x14ac:dyDescent="0.25">
      <c r="E123" s="91"/>
      <c r="G123" s="91"/>
      <c r="I123" s="180">
        <f>NCC!$P$36</f>
        <v>0</v>
      </c>
    </row>
    <row r="129" spans="2:43" s="52" customFormat="1" x14ac:dyDescent="0.25">
      <c r="E129" s="53"/>
      <c r="F129" s="53"/>
      <c r="G129" s="53"/>
      <c r="H129" s="53"/>
      <c r="I129" s="53"/>
      <c r="J129" s="53"/>
      <c r="K129" s="58" t="s">
        <v>32</v>
      </c>
      <c r="L129" s="53"/>
      <c r="M129" s="84">
        <f>G134</f>
        <v>0</v>
      </c>
      <c r="N129" s="84">
        <f>M129+G135</f>
        <v>0</v>
      </c>
      <c r="O129" s="84">
        <f>N129+G136</f>
        <v>0</v>
      </c>
      <c r="P129" s="84">
        <f>+O129+G137</f>
        <v>0</v>
      </c>
      <c r="Q129" s="84">
        <f>P129+G138</f>
        <v>0</v>
      </c>
      <c r="R129" s="84">
        <f>Q129+G139</f>
        <v>0</v>
      </c>
      <c r="S129" s="84">
        <f>R129+G140</f>
        <v>0</v>
      </c>
      <c r="T129" s="84">
        <f>S129+G141</f>
        <v>0</v>
      </c>
      <c r="U129" s="84">
        <f>T129+G142-G134</f>
        <v>0</v>
      </c>
      <c r="V129" s="84">
        <f>U129+G143-G135</f>
        <v>0</v>
      </c>
      <c r="W129" s="84">
        <f>V129+G144-G136</f>
        <v>0</v>
      </c>
      <c r="X129" s="84">
        <f>W129+G145-G137</f>
        <v>0</v>
      </c>
      <c r="Y129" s="84">
        <f>X129+G146-G138</f>
        <v>0</v>
      </c>
      <c r="Z129" s="84">
        <f>Y129+G147-G139</f>
        <v>0</v>
      </c>
      <c r="AA129" s="84">
        <f>Z129+G148-G140</f>
        <v>0</v>
      </c>
      <c r="AB129" s="84">
        <f>AA129+G149-G141</f>
        <v>0</v>
      </c>
      <c r="AC129" s="84">
        <f>AB129+G150-G142</f>
        <v>0</v>
      </c>
      <c r="AD129" s="84">
        <f>AC129+G151-G143</f>
        <v>0</v>
      </c>
      <c r="AE129" s="84">
        <f>AD129+G152-G144</f>
        <v>0</v>
      </c>
      <c r="AF129" s="84">
        <f>AE129+G153-G145</f>
        <v>0</v>
      </c>
      <c r="AG129" s="84">
        <f>AF129+G154-G146</f>
        <v>0</v>
      </c>
      <c r="AH129" s="84">
        <f>AG129+G155-G147</f>
        <v>0</v>
      </c>
      <c r="AI129" s="84">
        <f>AH129+G156-G148</f>
        <v>0</v>
      </c>
      <c r="AJ129" s="84">
        <f>AI129+G157-G149</f>
        <v>0</v>
      </c>
      <c r="AK129" s="84">
        <f>AJ129+G158-G150</f>
        <v>0</v>
      </c>
      <c r="AL129" s="84">
        <f>AK129+G159-G151</f>
        <v>0</v>
      </c>
      <c r="AM129" s="84">
        <f>AL129+G160-G152</f>
        <v>0</v>
      </c>
      <c r="AN129" s="84">
        <f>AM129+G161-G153</f>
        <v>0</v>
      </c>
      <c r="AO129" s="84">
        <f>AN129+G162-G154</f>
        <v>0</v>
      </c>
      <c r="AP129" s="84">
        <f>AO129+G163-G155</f>
        <v>0</v>
      </c>
      <c r="AQ129" s="84">
        <f>SUM(M129:AP129)/8.5</f>
        <v>0</v>
      </c>
    </row>
    <row r="130" spans="2:43" x14ac:dyDescent="0.25">
      <c r="J130" s="57"/>
      <c r="K130" s="58" t="s">
        <v>31</v>
      </c>
      <c r="M130" s="84">
        <f>F134</f>
        <v>0</v>
      </c>
      <c r="N130" s="84">
        <f>M130+F135</f>
        <v>0</v>
      </c>
      <c r="O130" s="84">
        <f>N130+F136</f>
        <v>0</v>
      </c>
      <c r="P130" s="84">
        <f>O130+F137</f>
        <v>0</v>
      </c>
      <c r="Q130" s="84">
        <f>P130+F138</f>
        <v>0</v>
      </c>
      <c r="R130" s="84">
        <f>Q130+F139</f>
        <v>0</v>
      </c>
      <c r="S130" s="84">
        <f>R130+F140</f>
        <v>0</v>
      </c>
      <c r="T130" s="84">
        <f>S130+F141</f>
        <v>0</v>
      </c>
      <c r="U130" s="84">
        <f>T130+F142</f>
        <v>0</v>
      </c>
      <c r="V130" s="84">
        <f>U130</f>
        <v>0</v>
      </c>
      <c r="W130" s="84">
        <f>V130</f>
        <v>0</v>
      </c>
      <c r="X130" s="84">
        <f>W130</f>
        <v>0</v>
      </c>
      <c r="Y130" s="96"/>
      <c r="Z130" s="96"/>
      <c r="AA130" s="96"/>
      <c r="AB130" s="96"/>
      <c r="AC130" s="84">
        <f t="shared" ref="AC130:AN130" si="84">M130</f>
        <v>0</v>
      </c>
      <c r="AD130" s="84">
        <f t="shared" si="84"/>
        <v>0</v>
      </c>
      <c r="AE130" s="84">
        <f t="shared" si="84"/>
        <v>0</v>
      </c>
      <c r="AF130" s="84">
        <f t="shared" si="84"/>
        <v>0</v>
      </c>
      <c r="AG130" s="84">
        <f t="shared" si="84"/>
        <v>0</v>
      </c>
      <c r="AH130" s="84">
        <f t="shared" si="84"/>
        <v>0</v>
      </c>
      <c r="AI130" s="84">
        <f t="shared" si="84"/>
        <v>0</v>
      </c>
      <c r="AJ130" s="84">
        <f t="shared" si="84"/>
        <v>0</v>
      </c>
      <c r="AK130" s="84">
        <f t="shared" si="84"/>
        <v>0</v>
      </c>
      <c r="AL130" s="84">
        <f t="shared" si="84"/>
        <v>0</v>
      </c>
      <c r="AM130" s="84">
        <f t="shared" si="84"/>
        <v>0</v>
      </c>
      <c r="AN130" s="84">
        <f t="shared" si="84"/>
        <v>0</v>
      </c>
      <c r="AO130" s="84"/>
      <c r="AP130" s="84"/>
      <c r="AQ130" s="182"/>
    </row>
    <row r="131" spans="2:43" s="57" customFormat="1" ht="17.25" customHeight="1" x14ac:dyDescent="0.25">
      <c r="K131" s="58" t="s">
        <v>13</v>
      </c>
      <c r="M131" s="84"/>
      <c r="N131" s="84"/>
      <c r="O131" s="84"/>
      <c r="P131" s="84"/>
      <c r="Q131" s="84"/>
      <c r="R131" s="84"/>
      <c r="S131" s="84"/>
      <c r="T131" s="84"/>
      <c r="U131" s="84">
        <f>M130</f>
        <v>0</v>
      </c>
      <c r="V131" s="84">
        <f>N130</f>
        <v>0</v>
      </c>
      <c r="W131" s="84">
        <f>O130</f>
        <v>0</v>
      </c>
      <c r="X131" s="84">
        <f>P130</f>
        <v>0</v>
      </c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>
        <f>AC130</f>
        <v>0</v>
      </c>
      <c r="AL131" s="84">
        <f>AD130</f>
        <v>0</v>
      </c>
      <c r="AM131" s="84">
        <f>AE130</f>
        <v>0</v>
      </c>
      <c r="AN131" s="84">
        <f>AF130</f>
        <v>0</v>
      </c>
      <c r="AO131" s="84"/>
      <c r="AP131" s="85"/>
      <c r="AQ131" s="86"/>
    </row>
    <row r="132" spans="2:43" s="57" customFormat="1" ht="17.25" customHeight="1" x14ac:dyDescent="0.25">
      <c r="B132" s="57" t="s">
        <v>19</v>
      </c>
      <c r="E132" s="59" t="s">
        <v>8</v>
      </c>
      <c r="F132" s="59" t="s">
        <v>15</v>
      </c>
      <c r="G132" s="59" t="s">
        <v>32</v>
      </c>
      <c r="H132" s="59" t="s">
        <v>16</v>
      </c>
      <c r="J132" s="58" t="s">
        <v>9</v>
      </c>
      <c r="K132" s="58">
        <f>SUM(M132:AP132)/16</f>
        <v>0</v>
      </c>
      <c r="M132" s="87">
        <f t="shared" ref="M132:AP132" si="85">SUM(M134:M163)+M130+M129-M131</f>
        <v>0</v>
      </c>
      <c r="N132" s="87">
        <f t="shared" si="85"/>
        <v>0</v>
      </c>
      <c r="O132" s="87">
        <f t="shared" si="85"/>
        <v>0</v>
      </c>
      <c r="P132" s="87">
        <f t="shared" si="85"/>
        <v>0</v>
      </c>
      <c r="Q132" s="87">
        <f t="shared" si="85"/>
        <v>0</v>
      </c>
      <c r="R132" s="87">
        <f t="shared" si="85"/>
        <v>0</v>
      </c>
      <c r="S132" s="87">
        <f t="shared" si="85"/>
        <v>0</v>
      </c>
      <c r="T132" s="87">
        <f t="shared" si="85"/>
        <v>0</v>
      </c>
      <c r="U132" s="87">
        <f t="shared" si="85"/>
        <v>0</v>
      </c>
      <c r="V132" s="87">
        <f t="shared" si="85"/>
        <v>0</v>
      </c>
      <c r="W132" s="87">
        <f t="shared" si="85"/>
        <v>0</v>
      </c>
      <c r="X132" s="87">
        <f t="shared" si="85"/>
        <v>0</v>
      </c>
      <c r="Y132" s="87">
        <f t="shared" si="85"/>
        <v>0</v>
      </c>
      <c r="Z132" s="87">
        <f t="shared" si="85"/>
        <v>0</v>
      </c>
      <c r="AA132" s="87">
        <f t="shared" si="85"/>
        <v>0</v>
      </c>
      <c r="AB132" s="87">
        <f t="shared" si="85"/>
        <v>0</v>
      </c>
      <c r="AC132" s="87">
        <f t="shared" si="85"/>
        <v>0</v>
      </c>
      <c r="AD132" s="87">
        <f t="shared" si="85"/>
        <v>0</v>
      </c>
      <c r="AE132" s="87">
        <f t="shared" si="85"/>
        <v>0</v>
      </c>
      <c r="AF132" s="87">
        <f t="shared" si="85"/>
        <v>0</v>
      </c>
      <c r="AG132" s="87">
        <f t="shared" si="85"/>
        <v>0</v>
      </c>
      <c r="AH132" s="87">
        <f t="shared" si="85"/>
        <v>0</v>
      </c>
      <c r="AI132" s="87">
        <f t="shared" si="85"/>
        <v>0</v>
      </c>
      <c r="AJ132" s="87">
        <f t="shared" si="85"/>
        <v>0</v>
      </c>
      <c r="AK132" s="87">
        <f t="shared" si="85"/>
        <v>0</v>
      </c>
      <c r="AL132" s="87">
        <f t="shared" si="85"/>
        <v>0</v>
      </c>
      <c r="AM132" s="87">
        <f t="shared" si="85"/>
        <v>0</v>
      </c>
      <c r="AN132" s="87">
        <f t="shared" si="85"/>
        <v>0</v>
      </c>
      <c r="AO132" s="87">
        <f t="shared" si="85"/>
        <v>0</v>
      </c>
      <c r="AP132" s="87">
        <f t="shared" si="85"/>
        <v>0</v>
      </c>
      <c r="AQ132" s="87"/>
    </row>
    <row r="133" spans="2:43" s="88" customFormat="1" x14ac:dyDescent="0.25">
      <c r="E133" s="178">
        <f>SUM(E134:E163)</f>
        <v>0</v>
      </c>
      <c r="F133" s="178">
        <f>SUM(F134:F163)</f>
        <v>0</v>
      </c>
      <c r="G133" s="178">
        <f>SUM(G134:G163)</f>
        <v>0</v>
      </c>
      <c r="H133" s="178">
        <f>SUM(H134:H163)</f>
        <v>0</v>
      </c>
      <c r="I133" s="89"/>
      <c r="J133" s="89"/>
      <c r="K133" s="58" t="s">
        <v>7</v>
      </c>
      <c r="L133" s="89"/>
      <c r="M133" s="180">
        <f>SUMMARY!$H$6</f>
        <v>0</v>
      </c>
      <c r="N133" s="180">
        <f>SUMMARY!$H$7</f>
        <v>0</v>
      </c>
      <c r="O133" s="180">
        <f>SUMMARY!$H$8</f>
        <v>0</v>
      </c>
      <c r="P133" s="180">
        <f>SUMMARY!$H$9</f>
        <v>0</v>
      </c>
      <c r="Q133" s="180">
        <f>SUMMARY!$H$10</f>
        <v>0</v>
      </c>
      <c r="R133" s="180">
        <f>SUMMARY!$H$11</f>
        <v>0</v>
      </c>
      <c r="S133" s="180">
        <f>SUMMARY!$H$12</f>
        <v>0</v>
      </c>
      <c r="T133" s="180">
        <f>SUMMARY!$H$13</f>
        <v>0</v>
      </c>
      <c r="U133" s="180">
        <f>SUMMARY!$H$14</f>
        <v>0</v>
      </c>
      <c r="V133" s="180">
        <f>SUMMARY!$H$15</f>
        <v>0</v>
      </c>
      <c r="W133" s="180">
        <f>SUMMARY!$H$16</f>
        <v>0</v>
      </c>
      <c r="X133" s="180">
        <f>SUMMARY!$H$17</f>
        <v>0</v>
      </c>
      <c r="Y133" s="180">
        <f>SUMMARY!$H$18</f>
        <v>0</v>
      </c>
      <c r="Z133" s="180">
        <f>SUMMARY!$H$19</f>
        <v>0</v>
      </c>
      <c r="AA133" s="180">
        <f>SUMMARY!$H$20</f>
        <v>0</v>
      </c>
      <c r="AB133" s="180">
        <f>SUMMARY!$H$21</f>
        <v>0</v>
      </c>
      <c r="AC133" s="180">
        <f>SUMMARY!$H$22</f>
        <v>0</v>
      </c>
      <c r="AD133" s="180">
        <f>SUMMARY!$H$23</f>
        <v>0</v>
      </c>
      <c r="AE133" s="180">
        <f>SUMMARY!$H$24</f>
        <v>0</v>
      </c>
      <c r="AF133" s="180">
        <f>SUMMARY!$H$25</f>
        <v>0</v>
      </c>
      <c r="AG133" s="180">
        <f>SUMMARY!$H$26</f>
        <v>0</v>
      </c>
      <c r="AH133" s="180">
        <f>SUMMARY!$H$27</f>
        <v>0</v>
      </c>
      <c r="AI133" s="180">
        <f>SUMMARY!$H$28</f>
        <v>0</v>
      </c>
      <c r="AJ133" s="180">
        <f>SUMMARY!$H$29</f>
        <v>0</v>
      </c>
      <c r="AK133" s="180">
        <f>SUMMARY!$H$30</f>
        <v>0</v>
      </c>
      <c r="AL133" s="180">
        <f>SUMMARY!$H$31</f>
        <v>0</v>
      </c>
      <c r="AM133" s="180">
        <f>SUMMARY!$H$32</f>
        <v>0</v>
      </c>
      <c r="AN133" s="180">
        <f>SUMMARY!$H$33</f>
        <v>0</v>
      </c>
      <c r="AO133" s="180">
        <f>SUMMARY!$H$34</f>
        <v>0</v>
      </c>
      <c r="AP133" s="180">
        <f>SUMMARY!$H$35</f>
        <v>0</v>
      </c>
      <c r="AQ133" s="90"/>
    </row>
    <row r="134" spans="2:43" x14ac:dyDescent="0.25">
      <c r="B134" s="54">
        <v>0.29166666666424135</v>
      </c>
      <c r="C134" s="54">
        <v>0.645833333372138</v>
      </c>
      <c r="D134" s="60"/>
      <c r="E134" s="91">
        <f>SUMMARY!Z6</f>
        <v>0</v>
      </c>
      <c r="F134" s="91">
        <f>SUMMARY!AR6</f>
        <v>0</v>
      </c>
      <c r="G134" s="91">
        <f>SUMMARY!AK6</f>
        <v>0</v>
      </c>
      <c r="H134" s="92">
        <f t="shared" ref="H134:H163" si="86">SUM(E134:G134)</f>
        <v>0</v>
      </c>
      <c r="I134" s="180">
        <f>M$132-M$133</f>
        <v>0</v>
      </c>
      <c r="M134" s="61">
        <f t="shared" ref="M134:V135" si="87">IF(AND(M$2&gt;=$B134,M$2&lt;$C134),$E134,0)</f>
        <v>0</v>
      </c>
      <c r="N134" s="61">
        <f t="shared" si="87"/>
        <v>0</v>
      </c>
      <c r="O134" s="61">
        <f t="shared" si="87"/>
        <v>0</v>
      </c>
      <c r="P134" s="61">
        <f t="shared" si="87"/>
        <v>0</v>
      </c>
      <c r="Q134" s="61">
        <f t="shared" si="87"/>
        <v>0</v>
      </c>
      <c r="R134" s="61">
        <f t="shared" si="87"/>
        <v>0</v>
      </c>
      <c r="S134" s="61">
        <f t="shared" si="87"/>
        <v>0</v>
      </c>
      <c r="T134" s="61">
        <f t="shared" si="87"/>
        <v>0</v>
      </c>
      <c r="U134" s="61">
        <f t="shared" si="87"/>
        <v>0</v>
      </c>
      <c r="V134" s="61">
        <f t="shared" si="87"/>
        <v>0</v>
      </c>
      <c r="W134" s="61">
        <f t="shared" ref="W134:AF135" si="88">IF(AND(W$2&gt;=$B134,W$2&lt;$C134),$E134,0)</f>
        <v>0</v>
      </c>
      <c r="X134" s="61">
        <f t="shared" si="88"/>
        <v>0</v>
      </c>
      <c r="Y134" s="61">
        <f t="shared" si="88"/>
        <v>0</v>
      </c>
      <c r="Z134" s="61">
        <f t="shared" si="88"/>
        <v>0</v>
      </c>
      <c r="AA134" s="61">
        <f t="shared" si="88"/>
        <v>0</v>
      </c>
      <c r="AB134" s="61">
        <f t="shared" si="88"/>
        <v>0</v>
      </c>
      <c r="AC134" s="61">
        <f t="shared" si="88"/>
        <v>0</v>
      </c>
      <c r="AD134" s="61">
        <f t="shared" si="88"/>
        <v>0</v>
      </c>
      <c r="AE134" s="61">
        <f t="shared" si="88"/>
        <v>0</v>
      </c>
      <c r="AF134" s="61">
        <f t="shared" si="88"/>
        <v>0</v>
      </c>
      <c r="AG134" s="61">
        <f t="shared" ref="AG134:AP135" si="89">IF(AND(AG$2&gt;=$B134,AG$2&lt;$C134),$E134,0)</f>
        <v>0</v>
      </c>
      <c r="AH134" s="61">
        <f t="shared" si="89"/>
        <v>0</v>
      </c>
      <c r="AI134" s="61">
        <f t="shared" si="89"/>
        <v>0</v>
      </c>
      <c r="AJ134" s="61">
        <f t="shared" si="89"/>
        <v>0</v>
      </c>
      <c r="AK134" s="61">
        <f t="shared" si="89"/>
        <v>0</v>
      </c>
      <c r="AL134" s="61">
        <f t="shared" si="89"/>
        <v>0</v>
      </c>
      <c r="AM134" s="61">
        <f t="shared" si="89"/>
        <v>0</v>
      </c>
      <c r="AN134" s="61">
        <f t="shared" si="89"/>
        <v>0</v>
      </c>
      <c r="AO134" s="61">
        <f t="shared" si="89"/>
        <v>0</v>
      </c>
      <c r="AP134" s="61">
        <f t="shared" si="89"/>
        <v>0</v>
      </c>
      <c r="AQ134" s="61"/>
    </row>
    <row r="135" spans="2:43" x14ac:dyDescent="0.25">
      <c r="B135" s="54">
        <v>0.3125</v>
      </c>
      <c r="C135" s="54">
        <v>0.66666666670789698</v>
      </c>
      <c r="D135" s="60"/>
      <c r="E135" s="91">
        <f>SUMMARY!Z7</f>
        <v>0</v>
      </c>
      <c r="F135" s="91">
        <f>SUMMARY!AR7</f>
        <v>0</v>
      </c>
      <c r="G135" s="91">
        <f>SUMMARY!AK7</f>
        <v>0</v>
      </c>
      <c r="H135" s="92">
        <f t="shared" si="86"/>
        <v>0</v>
      </c>
      <c r="I135" s="180">
        <f>N$132-N$133</f>
        <v>0</v>
      </c>
      <c r="M135" s="61">
        <f t="shared" si="87"/>
        <v>0</v>
      </c>
      <c r="N135" s="61">
        <f t="shared" si="87"/>
        <v>0</v>
      </c>
      <c r="O135" s="61">
        <f t="shared" si="87"/>
        <v>0</v>
      </c>
      <c r="P135" s="61">
        <f t="shared" si="87"/>
        <v>0</v>
      </c>
      <c r="Q135" s="61">
        <f t="shared" si="87"/>
        <v>0</v>
      </c>
      <c r="R135" s="61">
        <f t="shared" si="87"/>
        <v>0</v>
      </c>
      <c r="S135" s="61">
        <f t="shared" si="87"/>
        <v>0</v>
      </c>
      <c r="T135" s="61">
        <f t="shared" si="87"/>
        <v>0</v>
      </c>
      <c r="U135" s="61">
        <f t="shared" si="87"/>
        <v>0</v>
      </c>
      <c r="V135" s="61">
        <f t="shared" si="87"/>
        <v>0</v>
      </c>
      <c r="W135" s="61">
        <f t="shared" si="88"/>
        <v>0</v>
      </c>
      <c r="X135" s="61">
        <f t="shared" si="88"/>
        <v>0</v>
      </c>
      <c r="Y135" s="61">
        <f t="shared" si="88"/>
        <v>0</v>
      </c>
      <c r="Z135" s="61">
        <f t="shared" si="88"/>
        <v>0</v>
      </c>
      <c r="AA135" s="61">
        <f t="shared" si="88"/>
        <v>0</v>
      </c>
      <c r="AB135" s="61">
        <f t="shared" si="88"/>
        <v>0</v>
      </c>
      <c r="AC135" s="61">
        <f t="shared" si="88"/>
        <v>0</v>
      </c>
      <c r="AD135" s="61">
        <f t="shared" si="88"/>
        <v>0</v>
      </c>
      <c r="AE135" s="61">
        <f t="shared" si="88"/>
        <v>0</v>
      </c>
      <c r="AF135" s="61">
        <f t="shared" si="88"/>
        <v>0</v>
      </c>
      <c r="AG135" s="61">
        <f t="shared" si="89"/>
        <v>0</v>
      </c>
      <c r="AH135" s="61">
        <f t="shared" si="89"/>
        <v>0</v>
      </c>
      <c r="AI135" s="61">
        <f t="shared" si="89"/>
        <v>0</v>
      </c>
      <c r="AJ135" s="61">
        <f t="shared" si="89"/>
        <v>0</v>
      </c>
      <c r="AK135" s="61">
        <f t="shared" si="89"/>
        <v>0</v>
      </c>
      <c r="AL135" s="61">
        <f t="shared" si="89"/>
        <v>0</v>
      </c>
      <c r="AM135" s="61">
        <f t="shared" si="89"/>
        <v>0</v>
      </c>
      <c r="AN135" s="61">
        <f t="shared" si="89"/>
        <v>0</v>
      </c>
      <c r="AO135" s="61">
        <f t="shared" si="89"/>
        <v>0</v>
      </c>
      <c r="AP135" s="61">
        <f t="shared" si="89"/>
        <v>0</v>
      </c>
      <c r="AQ135" s="61"/>
    </row>
    <row r="136" spans="2:43" x14ac:dyDescent="0.25">
      <c r="B136" s="54">
        <v>0.33333333333575865</v>
      </c>
      <c r="C136" s="54">
        <v>0.68750000004365597</v>
      </c>
      <c r="D136" s="60"/>
      <c r="E136" s="91">
        <f>SUMMARY!Z8</f>
        <v>0</v>
      </c>
      <c r="F136" s="91">
        <f>SUMMARY!AR8</f>
        <v>0</v>
      </c>
      <c r="G136" s="91">
        <f>SUMMARY!AK8</f>
        <v>0</v>
      </c>
      <c r="H136" s="92">
        <f t="shared" si="86"/>
        <v>0</v>
      </c>
      <c r="I136" s="180">
        <f>O$132-O$133</f>
        <v>0</v>
      </c>
      <c r="M136" s="61">
        <f t="shared" ref="M136:V145" si="90">IF(AND(M$2&gt;=$B136,M$2&lt;$C136),$E136,0)</f>
        <v>0</v>
      </c>
      <c r="N136" s="61">
        <f t="shared" si="90"/>
        <v>0</v>
      </c>
      <c r="O136" s="61">
        <f t="shared" si="90"/>
        <v>0</v>
      </c>
      <c r="P136" s="61">
        <f t="shared" si="90"/>
        <v>0</v>
      </c>
      <c r="Q136" s="61">
        <f t="shared" si="90"/>
        <v>0</v>
      </c>
      <c r="R136" s="61">
        <f t="shared" si="90"/>
        <v>0</v>
      </c>
      <c r="S136" s="61">
        <f t="shared" si="90"/>
        <v>0</v>
      </c>
      <c r="T136" s="61">
        <f t="shared" si="90"/>
        <v>0</v>
      </c>
      <c r="U136" s="61">
        <f t="shared" si="90"/>
        <v>0</v>
      </c>
      <c r="V136" s="61">
        <f t="shared" si="90"/>
        <v>0</v>
      </c>
      <c r="W136" s="61">
        <f t="shared" ref="W136:AE145" si="91">IF(AND(W$2&gt;=$B136,W$2&lt;$C136),$E136,0)</f>
        <v>0</v>
      </c>
      <c r="X136" s="61">
        <f t="shared" si="91"/>
        <v>0</v>
      </c>
      <c r="Y136" s="61">
        <f t="shared" si="91"/>
        <v>0</v>
      </c>
      <c r="Z136" s="61">
        <f t="shared" si="91"/>
        <v>0</v>
      </c>
      <c r="AA136" s="61">
        <f t="shared" si="91"/>
        <v>0</v>
      </c>
      <c r="AB136" s="61">
        <f t="shared" si="91"/>
        <v>0</v>
      </c>
      <c r="AC136" s="61">
        <f t="shared" si="91"/>
        <v>0</v>
      </c>
      <c r="AD136" s="61">
        <f t="shared" si="91"/>
        <v>0</v>
      </c>
      <c r="AE136" s="61">
        <f t="shared" si="91"/>
        <v>0</v>
      </c>
      <c r="AF136" s="61"/>
      <c r="AG136" s="61">
        <f t="shared" ref="AG136:AP136" si="92">IF(AND(AG$2&gt;=$B136,AG$2&lt;$C136),$E136,0)</f>
        <v>0</v>
      </c>
      <c r="AH136" s="61">
        <f t="shared" si="92"/>
        <v>0</v>
      </c>
      <c r="AI136" s="61">
        <f t="shared" si="92"/>
        <v>0</v>
      </c>
      <c r="AJ136" s="61">
        <f t="shared" si="92"/>
        <v>0</v>
      </c>
      <c r="AK136" s="61">
        <f t="shared" si="92"/>
        <v>0</v>
      </c>
      <c r="AL136" s="61">
        <f t="shared" si="92"/>
        <v>0</v>
      </c>
      <c r="AM136" s="61">
        <f t="shared" si="92"/>
        <v>0</v>
      </c>
      <c r="AN136" s="61">
        <f t="shared" si="92"/>
        <v>0</v>
      </c>
      <c r="AO136" s="61">
        <f t="shared" si="92"/>
        <v>0</v>
      </c>
      <c r="AP136" s="61">
        <f t="shared" si="92"/>
        <v>0</v>
      </c>
      <c r="AQ136" s="61"/>
    </row>
    <row r="137" spans="2:43" x14ac:dyDescent="0.25">
      <c r="B137" s="54">
        <v>0.35416666666424135</v>
      </c>
      <c r="C137" s="54">
        <v>0.70833333337941495</v>
      </c>
      <c r="D137" s="60"/>
      <c r="E137" s="91">
        <f>SUMMARY!Z9</f>
        <v>0</v>
      </c>
      <c r="F137" s="91">
        <f>SUMMARY!AR9</f>
        <v>0</v>
      </c>
      <c r="G137" s="91">
        <f>SUMMARY!AK9</f>
        <v>0</v>
      </c>
      <c r="H137" s="92">
        <f t="shared" si="86"/>
        <v>0</v>
      </c>
      <c r="I137" s="180">
        <f>P$132-P$133</f>
        <v>0</v>
      </c>
      <c r="M137" s="61">
        <f t="shared" si="90"/>
        <v>0</v>
      </c>
      <c r="N137" s="61">
        <f t="shared" si="90"/>
        <v>0</v>
      </c>
      <c r="O137" s="61">
        <f t="shared" si="90"/>
        <v>0</v>
      </c>
      <c r="P137" s="61">
        <f t="shared" si="90"/>
        <v>0</v>
      </c>
      <c r="Q137" s="61">
        <f t="shared" si="90"/>
        <v>0</v>
      </c>
      <c r="R137" s="61">
        <f t="shared" si="90"/>
        <v>0</v>
      </c>
      <c r="S137" s="61">
        <f t="shared" si="90"/>
        <v>0</v>
      </c>
      <c r="T137" s="61">
        <f t="shared" si="90"/>
        <v>0</v>
      </c>
      <c r="U137" s="61">
        <f t="shared" si="90"/>
        <v>0</v>
      </c>
      <c r="V137" s="61">
        <f t="shared" si="90"/>
        <v>0</v>
      </c>
      <c r="W137" s="61">
        <f t="shared" si="91"/>
        <v>0</v>
      </c>
      <c r="X137" s="61">
        <f t="shared" si="91"/>
        <v>0</v>
      </c>
      <c r="Y137" s="61">
        <f t="shared" si="91"/>
        <v>0</v>
      </c>
      <c r="Z137" s="61">
        <f t="shared" si="91"/>
        <v>0</v>
      </c>
      <c r="AA137" s="61">
        <f t="shared" si="91"/>
        <v>0</v>
      </c>
      <c r="AB137" s="61">
        <f t="shared" si="91"/>
        <v>0</v>
      </c>
      <c r="AC137" s="61">
        <f t="shared" si="91"/>
        <v>0</v>
      </c>
      <c r="AD137" s="61">
        <f t="shared" si="91"/>
        <v>0</v>
      </c>
      <c r="AE137" s="61">
        <f t="shared" si="91"/>
        <v>0</v>
      </c>
      <c r="AF137" s="61">
        <f t="shared" ref="AF137:AF163" si="93">IF(AND(AF$2&gt;=$B137,AF$2&lt;$C137),$E137,0)</f>
        <v>0</v>
      </c>
      <c r="AG137" s="61"/>
      <c r="AH137" s="61">
        <f t="shared" ref="AH137:AP137" si="94">IF(AND(AH$2&gt;=$B137,AH$2&lt;$C137),$E137,0)</f>
        <v>0</v>
      </c>
      <c r="AI137" s="61">
        <f t="shared" si="94"/>
        <v>0</v>
      </c>
      <c r="AJ137" s="61">
        <f t="shared" si="94"/>
        <v>0</v>
      </c>
      <c r="AK137" s="61">
        <f t="shared" si="94"/>
        <v>0</v>
      </c>
      <c r="AL137" s="61">
        <f t="shared" si="94"/>
        <v>0</v>
      </c>
      <c r="AM137" s="61">
        <f t="shared" si="94"/>
        <v>0</v>
      </c>
      <c r="AN137" s="61">
        <f t="shared" si="94"/>
        <v>0</v>
      </c>
      <c r="AO137" s="61">
        <f t="shared" si="94"/>
        <v>0</v>
      </c>
      <c r="AP137" s="61">
        <f t="shared" si="94"/>
        <v>0</v>
      </c>
      <c r="AQ137" s="61"/>
    </row>
    <row r="138" spans="2:43" x14ac:dyDescent="0.25">
      <c r="B138" s="54">
        <v>0.375</v>
      </c>
      <c r="C138" s="54">
        <v>0.72916666671517405</v>
      </c>
      <c r="D138" s="60"/>
      <c r="E138" s="91">
        <f>SUMMARY!Z10</f>
        <v>0</v>
      </c>
      <c r="F138" s="91">
        <f>SUMMARY!AR10</f>
        <v>0</v>
      </c>
      <c r="G138" s="91">
        <f>SUMMARY!AK10</f>
        <v>0</v>
      </c>
      <c r="H138" s="92">
        <f>SUM(E138:G138)</f>
        <v>0</v>
      </c>
      <c r="I138" s="180">
        <f>Q$132-Q$133</f>
        <v>0</v>
      </c>
      <c r="M138" s="61">
        <f t="shared" si="90"/>
        <v>0</v>
      </c>
      <c r="N138" s="61">
        <f t="shared" si="90"/>
        <v>0</v>
      </c>
      <c r="O138" s="61">
        <f t="shared" si="90"/>
        <v>0</v>
      </c>
      <c r="P138" s="61">
        <f t="shared" si="90"/>
        <v>0</v>
      </c>
      <c r="Q138" s="61">
        <f t="shared" si="90"/>
        <v>0</v>
      </c>
      <c r="R138" s="61">
        <f t="shared" si="90"/>
        <v>0</v>
      </c>
      <c r="S138" s="61">
        <f t="shared" si="90"/>
        <v>0</v>
      </c>
      <c r="T138" s="61">
        <f t="shared" si="90"/>
        <v>0</v>
      </c>
      <c r="U138" s="61">
        <f t="shared" si="90"/>
        <v>0</v>
      </c>
      <c r="V138" s="61">
        <f t="shared" si="90"/>
        <v>0</v>
      </c>
      <c r="W138" s="61">
        <f t="shared" si="91"/>
        <v>0</v>
      </c>
      <c r="X138" s="61">
        <f t="shared" si="91"/>
        <v>0</v>
      </c>
      <c r="Y138" s="61">
        <f t="shared" si="91"/>
        <v>0</v>
      </c>
      <c r="Z138" s="61">
        <f t="shared" si="91"/>
        <v>0</v>
      </c>
      <c r="AA138" s="61">
        <f t="shared" si="91"/>
        <v>0</v>
      </c>
      <c r="AB138" s="61">
        <f t="shared" si="91"/>
        <v>0</v>
      </c>
      <c r="AC138" s="61">
        <f t="shared" si="91"/>
        <v>0</v>
      </c>
      <c r="AD138" s="61">
        <f t="shared" si="91"/>
        <v>0</v>
      </c>
      <c r="AE138" s="61">
        <f t="shared" si="91"/>
        <v>0</v>
      </c>
      <c r="AF138" s="61">
        <f t="shared" si="93"/>
        <v>0</v>
      </c>
      <c r="AG138" s="61">
        <f t="shared" ref="AG138:AG163" si="95">IF(AND(AG$2&gt;=$B138,AG$2&lt;$C138),$E138,0)</f>
        <v>0</v>
      </c>
      <c r="AH138" s="61"/>
      <c r="AI138" s="61">
        <f t="shared" ref="AI138:AP138" si="96">IF(AND(AI$2&gt;=$B138,AI$2&lt;$C138),$E138,0)</f>
        <v>0</v>
      </c>
      <c r="AJ138" s="61">
        <f t="shared" si="96"/>
        <v>0</v>
      </c>
      <c r="AK138" s="61">
        <f t="shared" si="96"/>
        <v>0</v>
      </c>
      <c r="AL138" s="61">
        <f t="shared" si="96"/>
        <v>0</v>
      </c>
      <c r="AM138" s="61">
        <f t="shared" si="96"/>
        <v>0</v>
      </c>
      <c r="AN138" s="61">
        <f t="shared" si="96"/>
        <v>0</v>
      </c>
      <c r="AO138" s="61">
        <f t="shared" si="96"/>
        <v>0</v>
      </c>
      <c r="AP138" s="61">
        <f t="shared" si="96"/>
        <v>0</v>
      </c>
      <c r="AQ138" s="61"/>
    </row>
    <row r="139" spans="2:43" x14ac:dyDescent="0.25">
      <c r="B139" s="54">
        <v>0.39583333333575865</v>
      </c>
      <c r="C139" s="54">
        <v>0.75000000005093304</v>
      </c>
      <c r="D139" s="60"/>
      <c r="E139" s="91">
        <f>SUMMARY!Z11</f>
        <v>0</v>
      </c>
      <c r="F139" s="91">
        <f>SUMMARY!AR11</f>
        <v>0</v>
      </c>
      <c r="G139" s="91">
        <f>SUMMARY!AK11</f>
        <v>0</v>
      </c>
      <c r="H139" s="92">
        <f t="shared" si="86"/>
        <v>0</v>
      </c>
      <c r="I139" s="180">
        <f>R$132-R$133</f>
        <v>0</v>
      </c>
      <c r="M139" s="61">
        <f t="shared" si="90"/>
        <v>0</v>
      </c>
      <c r="N139" s="61">
        <f t="shared" si="90"/>
        <v>0</v>
      </c>
      <c r="O139" s="61">
        <f t="shared" si="90"/>
        <v>0</v>
      </c>
      <c r="P139" s="61">
        <f t="shared" si="90"/>
        <v>0</v>
      </c>
      <c r="Q139" s="61">
        <f t="shared" si="90"/>
        <v>0</v>
      </c>
      <c r="R139" s="61">
        <f t="shared" si="90"/>
        <v>0</v>
      </c>
      <c r="S139" s="61">
        <f t="shared" si="90"/>
        <v>0</v>
      </c>
      <c r="T139" s="61">
        <f t="shared" si="90"/>
        <v>0</v>
      </c>
      <c r="U139" s="61">
        <f t="shared" si="90"/>
        <v>0</v>
      </c>
      <c r="V139" s="61">
        <f t="shared" si="90"/>
        <v>0</v>
      </c>
      <c r="W139" s="61">
        <f t="shared" si="91"/>
        <v>0</v>
      </c>
      <c r="X139" s="61">
        <f t="shared" si="91"/>
        <v>0</v>
      </c>
      <c r="Y139" s="61">
        <f t="shared" si="91"/>
        <v>0</v>
      </c>
      <c r="Z139" s="61">
        <f t="shared" si="91"/>
        <v>0</v>
      </c>
      <c r="AA139" s="61">
        <f t="shared" si="91"/>
        <v>0</v>
      </c>
      <c r="AB139" s="61">
        <f t="shared" si="91"/>
        <v>0</v>
      </c>
      <c r="AC139" s="61">
        <f t="shared" si="91"/>
        <v>0</v>
      </c>
      <c r="AD139" s="61">
        <f t="shared" si="91"/>
        <v>0</v>
      </c>
      <c r="AE139" s="61">
        <f t="shared" si="91"/>
        <v>0</v>
      </c>
      <c r="AF139" s="61">
        <f t="shared" si="93"/>
        <v>0</v>
      </c>
      <c r="AG139" s="61">
        <f t="shared" si="95"/>
        <v>0</v>
      </c>
      <c r="AH139" s="61">
        <f t="shared" ref="AH139:AH163" si="97">IF(AND(AH$2&gt;=$B139,AH$2&lt;$C139),$E139,0)</f>
        <v>0</v>
      </c>
      <c r="AI139" s="61"/>
      <c r="AJ139" s="61">
        <f t="shared" ref="AJ139:AP139" si="98">IF(AND(AJ$2&gt;=$B139,AJ$2&lt;$C139),$E139,0)</f>
        <v>0</v>
      </c>
      <c r="AK139" s="61">
        <f t="shared" si="98"/>
        <v>0</v>
      </c>
      <c r="AL139" s="61">
        <f t="shared" si="98"/>
        <v>0</v>
      </c>
      <c r="AM139" s="61">
        <f t="shared" si="98"/>
        <v>0</v>
      </c>
      <c r="AN139" s="61">
        <f t="shared" si="98"/>
        <v>0</v>
      </c>
      <c r="AO139" s="61">
        <f t="shared" si="98"/>
        <v>0</v>
      </c>
      <c r="AP139" s="61">
        <f t="shared" si="98"/>
        <v>0</v>
      </c>
      <c r="AQ139" s="61"/>
    </row>
    <row r="140" spans="2:43" x14ac:dyDescent="0.25">
      <c r="B140" s="54">
        <v>0.41666666666424135</v>
      </c>
      <c r="C140" s="54">
        <v>0.77083333338669202</v>
      </c>
      <c r="D140" s="60"/>
      <c r="E140" s="91">
        <f>SUMMARY!Z12</f>
        <v>0</v>
      </c>
      <c r="F140" s="91">
        <f>SUMMARY!AR12</f>
        <v>0</v>
      </c>
      <c r="G140" s="91">
        <f>SUMMARY!AK12</f>
        <v>0</v>
      </c>
      <c r="H140" s="92">
        <f t="shared" si="86"/>
        <v>0</v>
      </c>
      <c r="I140" s="180">
        <f>S$132-S$133</f>
        <v>0</v>
      </c>
      <c r="M140" s="61">
        <f t="shared" si="90"/>
        <v>0</v>
      </c>
      <c r="N140" s="61">
        <f t="shared" si="90"/>
        <v>0</v>
      </c>
      <c r="O140" s="61">
        <f t="shared" si="90"/>
        <v>0</v>
      </c>
      <c r="P140" s="61">
        <f t="shared" si="90"/>
        <v>0</v>
      </c>
      <c r="Q140" s="61">
        <f t="shared" si="90"/>
        <v>0</v>
      </c>
      <c r="R140" s="61">
        <f t="shared" si="90"/>
        <v>0</v>
      </c>
      <c r="S140" s="61">
        <f t="shared" si="90"/>
        <v>0</v>
      </c>
      <c r="T140" s="61">
        <f t="shared" si="90"/>
        <v>0</v>
      </c>
      <c r="U140" s="61">
        <f t="shared" si="90"/>
        <v>0</v>
      </c>
      <c r="V140" s="61">
        <f t="shared" si="90"/>
        <v>0</v>
      </c>
      <c r="W140" s="61">
        <f t="shared" si="91"/>
        <v>0</v>
      </c>
      <c r="X140" s="61">
        <f t="shared" si="91"/>
        <v>0</v>
      </c>
      <c r="Y140" s="61">
        <f t="shared" si="91"/>
        <v>0</v>
      </c>
      <c r="Z140" s="61">
        <f t="shared" si="91"/>
        <v>0</v>
      </c>
      <c r="AA140" s="61">
        <f t="shared" si="91"/>
        <v>0</v>
      </c>
      <c r="AB140" s="61">
        <f t="shared" si="91"/>
        <v>0</v>
      </c>
      <c r="AC140" s="61">
        <f t="shared" si="91"/>
        <v>0</v>
      </c>
      <c r="AD140" s="61">
        <f t="shared" si="91"/>
        <v>0</v>
      </c>
      <c r="AE140" s="61">
        <f t="shared" si="91"/>
        <v>0</v>
      </c>
      <c r="AF140" s="61">
        <f t="shared" si="93"/>
        <v>0</v>
      </c>
      <c r="AG140" s="61">
        <f t="shared" si="95"/>
        <v>0</v>
      </c>
      <c r="AH140" s="61">
        <f t="shared" si="97"/>
        <v>0</v>
      </c>
      <c r="AI140" s="61">
        <f t="shared" ref="AI140:AI163" si="99">IF(AND(AI$2&gt;=$B140,AI$2&lt;$C140),$E140,0)</f>
        <v>0</v>
      </c>
      <c r="AJ140" s="61"/>
      <c r="AK140" s="61">
        <f t="shared" ref="AK140:AP140" si="100">IF(AND(AK$2&gt;=$B140,AK$2&lt;$C140),$E140,0)</f>
        <v>0</v>
      </c>
      <c r="AL140" s="61">
        <f t="shared" si="100"/>
        <v>0</v>
      </c>
      <c r="AM140" s="61">
        <f t="shared" si="100"/>
        <v>0</v>
      </c>
      <c r="AN140" s="61">
        <f t="shared" si="100"/>
        <v>0</v>
      </c>
      <c r="AO140" s="61">
        <f t="shared" si="100"/>
        <v>0</v>
      </c>
      <c r="AP140" s="61">
        <f t="shared" si="100"/>
        <v>0</v>
      </c>
      <c r="AQ140" s="61"/>
    </row>
    <row r="141" spans="2:43" x14ac:dyDescent="0.25">
      <c r="B141" s="54">
        <v>0.4375</v>
      </c>
      <c r="C141" s="54">
        <v>0.79166666672245101</v>
      </c>
      <c r="D141" s="60"/>
      <c r="E141" s="91">
        <f>SUMMARY!Z13</f>
        <v>0</v>
      </c>
      <c r="F141" s="91">
        <f>SUMMARY!AR13</f>
        <v>0</v>
      </c>
      <c r="G141" s="91">
        <f>SUMMARY!AK13</f>
        <v>0</v>
      </c>
      <c r="H141" s="92">
        <f t="shared" si="86"/>
        <v>0</v>
      </c>
      <c r="I141" s="180">
        <f>T$132-T$133</f>
        <v>0</v>
      </c>
      <c r="M141" s="61">
        <f t="shared" si="90"/>
        <v>0</v>
      </c>
      <c r="N141" s="61">
        <f t="shared" si="90"/>
        <v>0</v>
      </c>
      <c r="O141" s="61">
        <f t="shared" si="90"/>
        <v>0</v>
      </c>
      <c r="P141" s="61">
        <f t="shared" si="90"/>
        <v>0</v>
      </c>
      <c r="Q141" s="61">
        <f t="shared" si="90"/>
        <v>0</v>
      </c>
      <c r="R141" s="61">
        <f t="shared" si="90"/>
        <v>0</v>
      </c>
      <c r="S141" s="61">
        <f t="shared" si="90"/>
        <v>0</v>
      </c>
      <c r="T141" s="61">
        <f t="shared" si="90"/>
        <v>0</v>
      </c>
      <c r="U141" s="61">
        <f t="shared" si="90"/>
        <v>0</v>
      </c>
      <c r="V141" s="61">
        <f t="shared" si="90"/>
        <v>0</v>
      </c>
      <c r="W141" s="61">
        <f t="shared" si="91"/>
        <v>0</v>
      </c>
      <c r="X141" s="61">
        <f t="shared" si="91"/>
        <v>0</v>
      </c>
      <c r="Y141" s="61">
        <f t="shared" si="91"/>
        <v>0</v>
      </c>
      <c r="Z141" s="61">
        <f t="shared" si="91"/>
        <v>0</v>
      </c>
      <c r="AA141" s="61">
        <f t="shared" si="91"/>
        <v>0</v>
      </c>
      <c r="AB141" s="61">
        <f t="shared" si="91"/>
        <v>0</v>
      </c>
      <c r="AC141" s="61">
        <f t="shared" si="91"/>
        <v>0</v>
      </c>
      <c r="AD141" s="61">
        <f t="shared" si="91"/>
        <v>0</v>
      </c>
      <c r="AE141" s="61">
        <f t="shared" si="91"/>
        <v>0</v>
      </c>
      <c r="AF141" s="61">
        <f t="shared" si="93"/>
        <v>0</v>
      </c>
      <c r="AG141" s="61">
        <f t="shared" si="95"/>
        <v>0</v>
      </c>
      <c r="AH141" s="61">
        <f t="shared" si="97"/>
        <v>0</v>
      </c>
      <c r="AI141" s="61">
        <f t="shared" si="99"/>
        <v>0</v>
      </c>
      <c r="AJ141" s="61">
        <f t="shared" ref="AJ141:AJ163" si="101">IF(AND(AJ$2&gt;=$B141,AJ$2&lt;$C141),$E141,0)</f>
        <v>0</v>
      </c>
      <c r="AK141" s="61"/>
      <c r="AL141" s="61">
        <f>IF(AND(AL$2&gt;=$B141,AL$2&lt;$C141),$E141,0)</f>
        <v>0</v>
      </c>
      <c r="AM141" s="61">
        <f>IF(AND(AM$2&gt;=$B141,AM$2&lt;$C141),$E141,0)</f>
        <v>0</v>
      </c>
      <c r="AN141" s="61">
        <f>IF(AND(AN$2&gt;=$B141,AN$2&lt;$C141),$E141,0)</f>
        <v>0</v>
      </c>
      <c r="AO141" s="61">
        <f>IF(AND(AO$2&gt;=$B141,AO$2&lt;$C141),$E141,0)</f>
        <v>0</v>
      </c>
      <c r="AP141" s="61">
        <f>IF(AND(AP$2&gt;=$B141,AP$2&lt;$C141),$E141,0)</f>
        <v>0</v>
      </c>
      <c r="AQ141" s="61"/>
    </row>
    <row r="142" spans="2:43" x14ac:dyDescent="0.25">
      <c r="B142" s="54">
        <v>0.45833333333575865</v>
      </c>
      <c r="C142" s="54">
        <v>0.81250000005820999</v>
      </c>
      <c r="D142" s="60"/>
      <c r="E142" s="91">
        <f>SUMMARY!Z14</f>
        <v>0</v>
      </c>
      <c r="F142" s="91">
        <f>SUMMARY!AR14</f>
        <v>0</v>
      </c>
      <c r="G142" s="91">
        <f>SUMMARY!AK14</f>
        <v>0</v>
      </c>
      <c r="H142" s="92">
        <f t="shared" si="86"/>
        <v>0</v>
      </c>
      <c r="I142" s="180">
        <f>U$132-U$133</f>
        <v>0</v>
      </c>
      <c r="M142" s="61">
        <f t="shared" si="90"/>
        <v>0</v>
      </c>
      <c r="N142" s="61">
        <f t="shared" si="90"/>
        <v>0</v>
      </c>
      <c r="O142" s="61">
        <f t="shared" si="90"/>
        <v>0</v>
      </c>
      <c r="P142" s="61">
        <f t="shared" si="90"/>
        <v>0</v>
      </c>
      <c r="Q142" s="61">
        <f t="shared" si="90"/>
        <v>0</v>
      </c>
      <c r="R142" s="61">
        <f t="shared" si="90"/>
        <v>0</v>
      </c>
      <c r="S142" s="61">
        <f t="shared" si="90"/>
        <v>0</v>
      </c>
      <c r="T142" s="61">
        <f t="shared" si="90"/>
        <v>0</v>
      </c>
      <c r="U142" s="61">
        <f t="shared" si="90"/>
        <v>0</v>
      </c>
      <c r="V142" s="61">
        <f t="shared" si="90"/>
        <v>0</v>
      </c>
      <c r="W142" s="61">
        <f t="shared" si="91"/>
        <v>0</v>
      </c>
      <c r="X142" s="61">
        <f t="shared" si="91"/>
        <v>0</v>
      </c>
      <c r="Y142" s="61">
        <f t="shared" si="91"/>
        <v>0</v>
      </c>
      <c r="Z142" s="61">
        <f t="shared" si="91"/>
        <v>0</v>
      </c>
      <c r="AA142" s="61">
        <f t="shared" si="91"/>
        <v>0</v>
      </c>
      <c r="AB142" s="61">
        <f t="shared" si="91"/>
        <v>0</v>
      </c>
      <c r="AC142" s="61">
        <f t="shared" si="91"/>
        <v>0</v>
      </c>
      <c r="AD142" s="61">
        <f t="shared" si="91"/>
        <v>0</v>
      </c>
      <c r="AE142" s="61">
        <f t="shared" si="91"/>
        <v>0</v>
      </c>
      <c r="AF142" s="61">
        <f t="shared" si="93"/>
        <v>0</v>
      </c>
      <c r="AG142" s="61">
        <f t="shared" si="95"/>
        <v>0</v>
      </c>
      <c r="AH142" s="61">
        <f t="shared" si="97"/>
        <v>0</v>
      </c>
      <c r="AI142" s="61">
        <f t="shared" si="99"/>
        <v>0</v>
      </c>
      <c r="AJ142" s="61">
        <f t="shared" si="101"/>
        <v>0</v>
      </c>
      <c r="AK142" s="61">
        <f t="shared" ref="AK142:AK163" si="102">IF(AND(AK$2&gt;=$B142,AK$2&lt;$C142),$E142,0)</f>
        <v>0</v>
      </c>
      <c r="AL142" s="61"/>
      <c r="AM142" s="61">
        <f>IF(AND(AM$2&gt;=$B142,AM$2&lt;$C142),$E142,0)</f>
        <v>0</v>
      </c>
      <c r="AN142" s="61">
        <f>IF(AND(AN$2&gt;=$B142,AN$2&lt;$C142),$E142,0)</f>
        <v>0</v>
      </c>
      <c r="AO142" s="61">
        <f>IF(AND(AO$2&gt;=$B142,AO$2&lt;$C142),$E142,0)</f>
        <v>0</v>
      </c>
      <c r="AP142" s="61">
        <f>IF(AND(AP$2&gt;=$B142,AP$2&lt;$C142),$E142,0)</f>
        <v>0</v>
      </c>
      <c r="AQ142" s="61"/>
    </row>
    <row r="143" spans="2:43" x14ac:dyDescent="0.25">
      <c r="B143" s="54">
        <v>0.47916666666424135</v>
      </c>
      <c r="C143" s="54">
        <v>0.83333333339396898</v>
      </c>
      <c r="D143" s="60"/>
      <c r="E143" s="91">
        <f>SUMMARY!Z15</f>
        <v>0</v>
      </c>
      <c r="G143" s="91">
        <f>SUMMARY!AK15</f>
        <v>0</v>
      </c>
      <c r="H143" s="92">
        <f t="shared" si="86"/>
        <v>0</v>
      </c>
      <c r="I143" s="180">
        <f>V$132-V$133</f>
        <v>0</v>
      </c>
      <c r="M143" s="61">
        <f t="shared" si="90"/>
        <v>0</v>
      </c>
      <c r="N143" s="61">
        <f t="shared" si="90"/>
        <v>0</v>
      </c>
      <c r="O143" s="61">
        <f t="shared" si="90"/>
        <v>0</v>
      </c>
      <c r="P143" s="61">
        <f t="shared" si="90"/>
        <v>0</v>
      </c>
      <c r="Q143" s="61">
        <f t="shared" si="90"/>
        <v>0</v>
      </c>
      <c r="R143" s="61">
        <f t="shared" si="90"/>
        <v>0</v>
      </c>
      <c r="S143" s="61">
        <f t="shared" si="90"/>
        <v>0</v>
      </c>
      <c r="T143" s="61">
        <f t="shared" si="90"/>
        <v>0</v>
      </c>
      <c r="U143" s="61">
        <f t="shared" si="90"/>
        <v>0</v>
      </c>
      <c r="V143" s="61">
        <f t="shared" si="90"/>
        <v>0</v>
      </c>
      <c r="W143" s="61">
        <f t="shared" si="91"/>
        <v>0</v>
      </c>
      <c r="X143" s="61">
        <f t="shared" si="91"/>
        <v>0</v>
      </c>
      <c r="Y143" s="61">
        <f t="shared" si="91"/>
        <v>0</v>
      </c>
      <c r="Z143" s="61">
        <f t="shared" si="91"/>
        <v>0</v>
      </c>
      <c r="AA143" s="61">
        <f t="shared" si="91"/>
        <v>0</v>
      </c>
      <c r="AB143" s="61">
        <f t="shared" si="91"/>
        <v>0</v>
      </c>
      <c r="AC143" s="61">
        <f t="shared" si="91"/>
        <v>0</v>
      </c>
      <c r="AD143" s="61">
        <f t="shared" si="91"/>
        <v>0</v>
      </c>
      <c r="AE143" s="61">
        <f t="shared" si="91"/>
        <v>0</v>
      </c>
      <c r="AF143" s="61">
        <f t="shared" si="93"/>
        <v>0</v>
      </c>
      <c r="AG143" s="61">
        <f t="shared" si="95"/>
        <v>0</v>
      </c>
      <c r="AH143" s="61">
        <f t="shared" si="97"/>
        <v>0</v>
      </c>
      <c r="AI143" s="61">
        <f t="shared" si="99"/>
        <v>0</v>
      </c>
      <c r="AJ143" s="61">
        <f t="shared" si="101"/>
        <v>0</v>
      </c>
      <c r="AK143" s="61">
        <f t="shared" si="102"/>
        <v>0</v>
      </c>
      <c r="AL143" s="61">
        <f t="shared" ref="AL143:AL163" si="103">IF(AND(AL$2&gt;=$B143,AL$2&lt;$C143),$E143,0)</f>
        <v>0</v>
      </c>
      <c r="AM143" s="61"/>
      <c r="AN143" s="61">
        <f>IF(AND(AN$2&gt;=$B143,AN$2&lt;$C143),$E143,0)</f>
        <v>0</v>
      </c>
      <c r="AO143" s="61">
        <f>IF(AND(AO$2&gt;=$B143,AO$2&lt;$C143),$E143,0)</f>
        <v>0</v>
      </c>
      <c r="AP143" s="61">
        <f>IF(AND(AP$2&gt;=$B143,AP$2&lt;$C143),$E143,0)</f>
        <v>0</v>
      </c>
      <c r="AQ143" s="61"/>
    </row>
    <row r="144" spans="2:43" x14ac:dyDescent="0.25">
      <c r="B144" s="54">
        <v>0.5</v>
      </c>
      <c r="C144" s="54">
        <v>0.85416666672972796</v>
      </c>
      <c r="D144" s="60"/>
      <c r="E144" s="91">
        <f>SUMMARY!Z16</f>
        <v>0</v>
      </c>
      <c r="G144" s="91">
        <f>SUMMARY!AK16</f>
        <v>0</v>
      </c>
      <c r="H144" s="92">
        <f t="shared" si="86"/>
        <v>0</v>
      </c>
      <c r="I144" s="180">
        <f>W$132-W$133</f>
        <v>0</v>
      </c>
      <c r="M144" s="61">
        <f t="shared" si="90"/>
        <v>0</v>
      </c>
      <c r="N144" s="61">
        <f t="shared" si="90"/>
        <v>0</v>
      </c>
      <c r="O144" s="61">
        <f t="shared" si="90"/>
        <v>0</v>
      </c>
      <c r="P144" s="61">
        <f t="shared" si="90"/>
        <v>0</v>
      </c>
      <c r="Q144" s="61">
        <f t="shared" si="90"/>
        <v>0</v>
      </c>
      <c r="R144" s="61">
        <f t="shared" si="90"/>
        <v>0</v>
      </c>
      <c r="S144" s="61">
        <f t="shared" si="90"/>
        <v>0</v>
      </c>
      <c r="T144" s="61">
        <f t="shared" si="90"/>
        <v>0</v>
      </c>
      <c r="U144" s="61">
        <f t="shared" si="90"/>
        <v>0</v>
      </c>
      <c r="V144" s="61">
        <f t="shared" si="90"/>
        <v>0</v>
      </c>
      <c r="W144" s="61">
        <f t="shared" si="91"/>
        <v>0</v>
      </c>
      <c r="X144" s="61">
        <f t="shared" si="91"/>
        <v>0</v>
      </c>
      <c r="Y144" s="61">
        <f t="shared" si="91"/>
        <v>0</v>
      </c>
      <c r="Z144" s="61">
        <f t="shared" si="91"/>
        <v>0</v>
      </c>
      <c r="AA144" s="61">
        <f t="shared" si="91"/>
        <v>0</v>
      </c>
      <c r="AB144" s="61">
        <f t="shared" si="91"/>
        <v>0</v>
      </c>
      <c r="AC144" s="61">
        <f t="shared" si="91"/>
        <v>0</v>
      </c>
      <c r="AD144" s="61">
        <f t="shared" si="91"/>
        <v>0</v>
      </c>
      <c r="AE144" s="61">
        <f t="shared" si="91"/>
        <v>0</v>
      </c>
      <c r="AF144" s="61">
        <f t="shared" si="93"/>
        <v>0</v>
      </c>
      <c r="AG144" s="61">
        <f t="shared" si="95"/>
        <v>0</v>
      </c>
      <c r="AH144" s="61">
        <f t="shared" si="97"/>
        <v>0</v>
      </c>
      <c r="AI144" s="61">
        <f t="shared" si="99"/>
        <v>0</v>
      </c>
      <c r="AJ144" s="61">
        <f t="shared" si="101"/>
        <v>0</v>
      </c>
      <c r="AK144" s="61">
        <f t="shared" si="102"/>
        <v>0</v>
      </c>
      <c r="AL144" s="61">
        <f t="shared" si="103"/>
        <v>0</v>
      </c>
      <c r="AM144" s="61">
        <f t="shared" ref="AM144:AM163" si="104">IF(AND(AM$2&gt;=$B144,AM$2&lt;$C144),$E144,0)</f>
        <v>0</v>
      </c>
      <c r="AN144" s="61"/>
      <c r="AO144" s="61">
        <f>IF(AND(AO$2&gt;=$B144,AO$2&lt;$C144),$E144,0)</f>
        <v>0</v>
      </c>
      <c r="AP144" s="61">
        <f>IF(AND(AP$2&gt;=$B144,AP$2&lt;$C144),$E144,0)</f>
        <v>0</v>
      </c>
      <c r="AQ144" s="61"/>
    </row>
    <row r="145" spans="2:43" x14ac:dyDescent="0.25">
      <c r="B145" s="54">
        <v>0.52083333333575865</v>
      </c>
      <c r="C145" s="54">
        <v>0.87500000006548695</v>
      </c>
      <c r="D145" s="60"/>
      <c r="E145" s="91">
        <f>SUMMARY!Z17</f>
        <v>0</v>
      </c>
      <c r="G145" s="91">
        <f>SUMMARY!AK17</f>
        <v>0</v>
      </c>
      <c r="H145" s="92">
        <f t="shared" si="86"/>
        <v>0</v>
      </c>
      <c r="I145" s="180">
        <f>X$132-X$133</f>
        <v>0</v>
      </c>
      <c r="M145" s="61">
        <f t="shared" si="90"/>
        <v>0</v>
      </c>
      <c r="N145" s="61">
        <f t="shared" si="90"/>
        <v>0</v>
      </c>
      <c r="O145" s="61">
        <f t="shared" si="90"/>
        <v>0</v>
      </c>
      <c r="P145" s="61">
        <f t="shared" si="90"/>
        <v>0</v>
      </c>
      <c r="Q145" s="61">
        <f t="shared" si="90"/>
        <v>0</v>
      </c>
      <c r="R145" s="61">
        <f t="shared" si="90"/>
        <v>0</v>
      </c>
      <c r="S145" s="61">
        <f t="shared" si="90"/>
        <v>0</v>
      </c>
      <c r="T145" s="61">
        <f t="shared" si="90"/>
        <v>0</v>
      </c>
      <c r="U145" s="61">
        <f t="shared" si="90"/>
        <v>0</v>
      </c>
      <c r="V145" s="61">
        <f t="shared" si="90"/>
        <v>0</v>
      </c>
      <c r="W145" s="61">
        <f t="shared" si="91"/>
        <v>0</v>
      </c>
      <c r="X145" s="61">
        <f t="shared" si="91"/>
        <v>0</v>
      </c>
      <c r="Y145" s="61">
        <f t="shared" si="91"/>
        <v>0</v>
      </c>
      <c r="Z145" s="61">
        <f t="shared" si="91"/>
        <v>0</v>
      </c>
      <c r="AA145" s="61">
        <f t="shared" si="91"/>
        <v>0</v>
      </c>
      <c r="AB145" s="61">
        <f t="shared" si="91"/>
        <v>0</v>
      </c>
      <c r="AC145" s="61">
        <f t="shared" si="91"/>
        <v>0</v>
      </c>
      <c r="AD145" s="61">
        <f t="shared" si="91"/>
        <v>0</v>
      </c>
      <c r="AE145" s="61">
        <f t="shared" si="91"/>
        <v>0</v>
      </c>
      <c r="AF145" s="61">
        <f t="shared" si="93"/>
        <v>0</v>
      </c>
      <c r="AG145" s="61">
        <f t="shared" si="95"/>
        <v>0</v>
      </c>
      <c r="AH145" s="61">
        <f t="shared" si="97"/>
        <v>0</v>
      </c>
      <c r="AI145" s="61">
        <f t="shared" si="99"/>
        <v>0</v>
      </c>
      <c r="AJ145" s="61">
        <f t="shared" si="101"/>
        <v>0</v>
      </c>
      <c r="AK145" s="61">
        <f t="shared" si="102"/>
        <v>0</v>
      </c>
      <c r="AL145" s="61">
        <f t="shared" si="103"/>
        <v>0</v>
      </c>
      <c r="AM145" s="61">
        <f t="shared" si="104"/>
        <v>0</v>
      </c>
      <c r="AN145" s="61">
        <f t="shared" ref="AN145:AN163" si="105">IF(AND(AN$2&gt;=$B145,AN$2&lt;$C145),$E145,0)</f>
        <v>0</v>
      </c>
      <c r="AO145" s="61"/>
      <c r="AP145" s="61">
        <f>IF(AND(AP$2&gt;=$B145,AP$2&lt;$C145),$E145,0)</f>
        <v>0</v>
      </c>
      <c r="AQ145" s="61"/>
    </row>
    <row r="146" spans="2:43" x14ac:dyDescent="0.25">
      <c r="B146" s="54">
        <v>0.54166666666424135</v>
      </c>
      <c r="C146" s="54">
        <v>0.89583333340124605</v>
      </c>
      <c r="D146" s="60"/>
      <c r="E146" s="91">
        <f>SUMMARY!Z18</f>
        <v>0</v>
      </c>
      <c r="G146" s="91">
        <f>SUMMARY!AK18</f>
        <v>0</v>
      </c>
      <c r="H146" s="92">
        <f t="shared" si="86"/>
        <v>0</v>
      </c>
      <c r="I146" s="180">
        <f>Y$132-Y$133</f>
        <v>0</v>
      </c>
      <c r="M146" s="61">
        <f t="shared" ref="M146:V155" si="106">IF(AND(M$2&gt;=$B146,M$2&lt;$C146),$E146,0)</f>
        <v>0</v>
      </c>
      <c r="N146" s="61">
        <f t="shared" si="106"/>
        <v>0</v>
      </c>
      <c r="O146" s="61">
        <f t="shared" si="106"/>
        <v>0</v>
      </c>
      <c r="P146" s="61">
        <f t="shared" si="106"/>
        <v>0</v>
      </c>
      <c r="Q146" s="61">
        <f t="shared" si="106"/>
        <v>0</v>
      </c>
      <c r="R146" s="61">
        <f t="shared" si="106"/>
        <v>0</v>
      </c>
      <c r="S146" s="61">
        <f t="shared" si="106"/>
        <v>0</v>
      </c>
      <c r="T146" s="61">
        <f t="shared" si="106"/>
        <v>0</v>
      </c>
      <c r="U146" s="61">
        <f t="shared" si="106"/>
        <v>0</v>
      </c>
      <c r="V146" s="61">
        <f t="shared" si="106"/>
        <v>0</v>
      </c>
      <c r="W146" s="61">
        <f t="shared" ref="W146:AE155" si="107">IF(AND(W$2&gt;=$B146,W$2&lt;$C146),$E146,0)</f>
        <v>0</v>
      </c>
      <c r="X146" s="61">
        <f t="shared" si="107"/>
        <v>0</v>
      </c>
      <c r="Y146" s="61">
        <f t="shared" si="107"/>
        <v>0</v>
      </c>
      <c r="Z146" s="61">
        <f t="shared" si="107"/>
        <v>0</v>
      </c>
      <c r="AA146" s="61">
        <f t="shared" si="107"/>
        <v>0</v>
      </c>
      <c r="AB146" s="61">
        <f t="shared" si="107"/>
        <v>0</v>
      </c>
      <c r="AC146" s="61">
        <f t="shared" si="107"/>
        <v>0</v>
      </c>
      <c r="AD146" s="61">
        <f t="shared" si="107"/>
        <v>0</v>
      </c>
      <c r="AE146" s="61">
        <f t="shared" si="107"/>
        <v>0</v>
      </c>
      <c r="AF146" s="61">
        <f t="shared" si="93"/>
        <v>0</v>
      </c>
      <c r="AG146" s="61">
        <f t="shared" si="95"/>
        <v>0</v>
      </c>
      <c r="AH146" s="61">
        <f t="shared" si="97"/>
        <v>0</v>
      </c>
      <c r="AI146" s="61">
        <f t="shared" si="99"/>
        <v>0</v>
      </c>
      <c r="AJ146" s="61">
        <f t="shared" si="101"/>
        <v>0</v>
      </c>
      <c r="AK146" s="61">
        <f t="shared" si="102"/>
        <v>0</v>
      </c>
      <c r="AL146" s="61">
        <f t="shared" si="103"/>
        <v>0</v>
      </c>
      <c r="AM146" s="61">
        <f t="shared" si="104"/>
        <v>0</v>
      </c>
      <c r="AN146" s="61">
        <f t="shared" si="105"/>
        <v>0</v>
      </c>
      <c r="AO146" s="61">
        <f t="shared" ref="AO146:AO163" si="108">IF(AND(AO$2&gt;=$B146,AO$2&lt;$C146),$E146,0)</f>
        <v>0</v>
      </c>
      <c r="AP146" s="61"/>
      <c r="AQ146" s="61"/>
    </row>
    <row r="147" spans="2:43" x14ac:dyDescent="0.25">
      <c r="B147" s="54">
        <v>0.5625</v>
      </c>
      <c r="C147" s="54">
        <v>0.91666666673700503</v>
      </c>
      <c r="D147" s="60"/>
      <c r="E147" s="91">
        <f>SUMMARY!Z19</f>
        <v>0</v>
      </c>
      <c r="G147" s="91">
        <f>SUMMARY!AK19</f>
        <v>0</v>
      </c>
      <c r="H147" s="92">
        <f t="shared" si="86"/>
        <v>0</v>
      </c>
      <c r="I147" s="180">
        <f>Z$132-Z$133</f>
        <v>0</v>
      </c>
      <c r="M147" s="61">
        <f t="shared" si="106"/>
        <v>0</v>
      </c>
      <c r="N147" s="61">
        <f t="shared" si="106"/>
        <v>0</v>
      </c>
      <c r="O147" s="61">
        <f t="shared" si="106"/>
        <v>0</v>
      </c>
      <c r="P147" s="61">
        <f t="shared" si="106"/>
        <v>0</v>
      </c>
      <c r="Q147" s="61">
        <f t="shared" si="106"/>
        <v>0</v>
      </c>
      <c r="R147" s="61">
        <f t="shared" si="106"/>
        <v>0</v>
      </c>
      <c r="S147" s="61">
        <f t="shared" si="106"/>
        <v>0</v>
      </c>
      <c r="T147" s="61">
        <f t="shared" si="106"/>
        <v>0</v>
      </c>
      <c r="U147" s="61">
        <f t="shared" si="106"/>
        <v>0</v>
      </c>
      <c r="V147" s="61">
        <f t="shared" si="106"/>
        <v>0</v>
      </c>
      <c r="W147" s="61">
        <f t="shared" si="107"/>
        <v>0</v>
      </c>
      <c r="X147" s="61">
        <f t="shared" si="107"/>
        <v>0</v>
      </c>
      <c r="Y147" s="61">
        <f t="shared" si="107"/>
        <v>0</v>
      </c>
      <c r="Z147" s="61">
        <f t="shared" si="107"/>
        <v>0</v>
      </c>
      <c r="AA147" s="61">
        <f t="shared" si="107"/>
        <v>0</v>
      </c>
      <c r="AB147" s="61">
        <f t="shared" si="107"/>
        <v>0</v>
      </c>
      <c r="AC147" s="61">
        <f t="shared" si="107"/>
        <v>0</v>
      </c>
      <c r="AD147" s="61">
        <f t="shared" si="107"/>
        <v>0</v>
      </c>
      <c r="AE147" s="61">
        <f t="shared" si="107"/>
        <v>0</v>
      </c>
      <c r="AF147" s="61">
        <f t="shared" si="93"/>
        <v>0</v>
      </c>
      <c r="AG147" s="61">
        <f t="shared" si="95"/>
        <v>0</v>
      </c>
      <c r="AH147" s="61">
        <f t="shared" si="97"/>
        <v>0</v>
      </c>
      <c r="AI147" s="61">
        <f t="shared" si="99"/>
        <v>0</v>
      </c>
      <c r="AJ147" s="61">
        <f t="shared" si="101"/>
        <v>0</v>
      </c>
      <c r="AK147" s="61">
        <f t="shared" si="102"/>
        <v>0</v>
      </c>
      <c r="AL147" s="61">
        <f t="shared" si="103"/>
        <v>0</v>
      </c>
      <c r="AM147" s="61">
        <f t="shared" si="104"/>
        <v>0</v>
      </c>
      <c r="AN147" s="61">
        <f t="shared" si="105"/>
        <v>0</v>
      </c>
      <c r="AO147" s="61">
        <f t="shared" si="108"/>
        <v>0</v>
      </c>
      <c r="AP147" s="61">
        <f t="shared" ref="AP147:AP163" si="109">IF(AND(AP$2&gt;=$B147,AP$2&lt;$C147),$E147,0)</f>
        <v>0</v>
      </c>
      <c r="AQ147" s="61"/>
    </row>
    <row r="148" spans="2:43" x14ac:dyDescent="0.25">
      <c r="B148" s="54">
        <v>0.58333333333575899</v>
      </c>
      <c r="C148" s="54">
        <v>0.93750000007276402</v>
      </c>
      <c r="D148" s="60"/>
      <c r="E148" s="91"/>
      <c r="G148" s="91">
        <f>SUMMARY!AK20</f>
        <v>0</v>
      </c>
      <c r="H148" s="92">
        <f t="shared" si="86"/>
        <v>0</v>
      </c>
      <c r="I148" s="180">
        <f>AA$132-AA$133</f>
        <v>0</v>
      </c>
      <c r="M148" s="61">
        <f t="shared" si="106"/>
        <v>0</v>
      </c>
      <c r="N148" s="61">
        <f t="shared" si="106"/>
        <v>0</v>
      </c>
      <c r="O148" s="61">
        <f t="shared" si="106"/>
        <v>0</v>
      </c>
      <c r="P148" s="61">
        <f t="shared" si="106"/>
        <v>0</v>
      </c>
      <c r="Q148" s="61">
        <f t="shared" si="106"/>
        <v>0</v>
      </c>
      <c r="R148" s="61">
        <f t="shared" si="106"/>
        <v>0</v>
      </c>
      <c r="S148" s="61">
        <f t="shared" si="106"/>
        <v>0</v>
      </c>
      <c r="T148" s="61">
        <f t="shared" si="106"/>
        <v>0</v>
      </c>
      <c r="U148" s="61">
        <f t="shared" si="106"/>
        <v>0</v>
      </c>
      <c r="V148" s="61">
        <f t="shared" si="106"/>
        <v>0</v>
      </c>
      <c r="W148" s="61">
        <f t="shared" si="107"/>
        <v>0</v>
      </c>
      <c r="X148" s="61">
        <f t="shared" si="107"/>
        <v>0</v>
      </c>
      <c r="Y148" s="61">
        <f t="shared" si="107"/>
        <v>0</v>
      </c>
      <c r="Z148" s="61">
        <f t="shared" si="107"/>
        <v>0</v>
      </c>
      <c r="AA148" s="61">
        <f t="shared" si="107"/>
        <v>0</v>
      </c>
      <c r="AB148" s="61">
        <f t="shared" si="107"/>
        <v>0</v>
      </c>
      <c r="AC148" s="61">
        <f t="shared" si="107"/>
        <v>0</v>
      </c>
      <c r="AD148" s="61">
        <f t="shared" si="107"/>
        <v>0</v>
      </c>
      <c r="AE148" s="61">
        <f t="shared" si="107"/>
        <v>0</v>
      </c>
      <c r="AF148" s="61">
        <f t="shared" si="93"/>
        <v>0</v>
      </c>
      <c r="AG148" s="61">
        <f t="shared" si="95"/>
        <v>0</v>
      </c>
      <c r="AH148" s="61">
        <f t="shared" si="97"/>
        <v>0</v>
      </c>
      <c r="AI148" s="61">
        <f t="shared" si="99"/>
        <v>0</v>
      </c>
      <c r="AJ148" s="61">
        <f t="shared" si="101"/>
        <v>0</v>
      </c>
      <c r="AK148" s="61">
        <f t="shared" si="102"/>
        <v>0</v>
      </c>
      <c r="AL148" s="61">
        <f t="shared" si="103"/>
        <v>0</v>
      </c>
      <c r="AM148" s="61">
        <f t="shared" si="104"/>
        <v>0</v>
      </c>
      <c r="AN148" s="61">
        <f t="shared" si="105"/>
        <v>0</v>
      </c>
      <c r="AO148" s="61">
        <f t="shared" si="108"/>
        <v>0</v>
      </c>
      <c r="AP148" s="61">
        <f t="shared" si="109"/>
        <v>0</v>
      </c>
      <c r="AQ148" s="61"/>
    </row>
    <row r="149" spans="2:43" x14ac:dyDescent="0.25">
      <c r="B149" s="54">
        <v>0.60416666667151697</v>
      </c>
      <c r="C149" s="54">
        <v>0.958333333408523</v>
      </c>
      <c r="D149" s="60"/>
      <c r="E149" s="91"/>
      <c r="G149" s="91">
        <f>SUMMARY!AK21</f>
        <v>0</v>
      </c>
      <c r="H149" s="92">
        <f t="shared" si="86"/>
        <v>0</v>
      </c>
      <c r="I149" s="180">
        <f>AB$132-AB$133</f>
        <v>0</v>
      </c>
      <c r="M149" s="61">
        <f t="shared" si="106"/>
        <v>0</v>
      </c>
      <c r="N149" s="61">
        <f t="shared" si="106"/>
        <v>0</v>
      </c>
      <c r="O149" s="61">
        <f t="shared" si="106"/>
        <v>0</v>
      </c>
      <c r="P149" s="61">
        <f t="shared" si="106"/>
        <v>0</v>
      </c>
      <c r="Q149" s="61">
        <f t="shared" si="106"/>
        <v>0</v>
      </c>
      <c r="R149" s="61">
        <f t="shared" si="106"/>
        <v>0</v>
      </c>
      <c r="S149" s="61">
        <f t="shared" si="106"/>
        <v>0</v>
      </c>
      <c r="T149" s="61">
        <f t="shared" si="106"/>
        <v>0</v>
      </c>
      <c r="U149" s="61">
        <f t="shared" si="106"/>
        <v>0</v>
      </c>
      <c r="V149" s="61">
        <f t="shared" si="106"/>
        <v>0</v>
      </c>
      <c r="W149" s="61">
        <f t="shared" si="107"/>
        <v>0</v>
      </c>
      <c r="X149" s="61">
        <f t="shared" si="107"/>
        <v>0</v>
      </c>
      <c r="Y149" s="61">
        <f t="shared" si="107"/>
        <v>0</v>
      </c>
      <c r="Z149" s="61">
        <f t="shared" si="107"/>
        <v>0</v>
      </c>
      <c r="AA149" s="61">
        <f t="shared" si="107"/>
        <v>0</v>
      </c>
      <c r="AB149" s="61">
        <f t="shared" si="107"/>
        <v>0</v>
      </c>
      <c r="AC149" s="61">
        <f t="shared" si="107"/>
        <v>0</v>
      </c>
      <c r="AD149" s="61">
        <f t="shared" si="107"/>
        <v>0</v>
      </c>
      <c r="AE149" s="61">
        <f t="shared" si="107"/>
        <v>0</v>
      </c>
      <c r="AF149" s="61">
        <f t="shared" si="93"/>
        <v>0</v>
      </c>
      <c r="AG149" s="61">
        <f t="shared" si="95"/>
        <v>0</v>
      </c>
      <c r="AH149" s="61">
        <f t="shared" si="97"/>
        <v>0</v>
      </c>
      <c r="AI149" s="61">
        <f t="shared" si="99"/>
        <v>0</v>
      </c>
      <c r="AJ149" s="61">
        <f t="shared" si="101"/>
        <v>0</v>
      </c>
      <c r="AK149" s="61">
        <f t="shared" si="102"/>
        <v>0</v>
      </c>
      <c r="AL149" s="61">
        <f t="shared" si="103"/>
        <v>0</v>
      </c>
      <c r="AM149" s="61">
        <f t="shared" si="104"/>
        <v>0</v>
      </c>
      <c r="AN149" s="61">
        <f t="shared" si="105"/>
        <v>0</v>
      </c>
      <c r="AO149" s="61">
        <f t="shared" si="108"/>
        <v>0</v>
      </c>
      <c r="AP149" s="61">
        <f t="shared" si="109"/>
        <v>0</v>
      </c>
      <c r="AQ149" s="61"/>
    </row>
    <row r="150" spans="2:43" x14ac:dyDescent="0.25">
      <c r="B150" s="54">
        <v>0.62500000000727596</v>
      </c>
      <c r="C150" s="54">
        <v>0.97916666674428199</v>
      </c>
      <c r="D150" s="60"/>
      <c r="E150" s="91"/>
      <c r="G150" s="91">
        <f>SUMMARY!AK22</f>
        <v>0</v>
      </c>
      <c r="H150" s="92">
        <f t="shared" si="86"/>
        <v>0</v>
      </c>
      <c r="I150" s="180">
        <f>AC$132-AC$133</f>
        <v>0</v>
      </c>
      <c r="M150" s="61">
        <f t="shared" si="106"/>
        <v>0</v>
      </c>
      <c r="N150" s="61">
        <f t="shared" si="106"/>
        <v>0</v>
      </c>
      <c r="O150" s="61">
        <f t="shared" si="106"/>
        <v>0</v>
      </c>
      <c r="P150" s="61">
        <f t="shared" si="106"/>
        <v>0</v>
      </c>
      <c r="Q150" s="61">
        <f t="shared" si="106"/>
        <v>0</v>
      </c>
      <c r="R150" s="61">
        <f t="shared" si="106"/>
        <v>0</v>
      </c>
      <c r="S150" s="61">
        <f t="shared" si="106"/>
        <v>0</v>
      </c>
      <c r="T150" s="61">
        <f t="shared" si="106"/>
        <v>0</v>
      </c>
      <c r="U150" s="61">
        <f t="shared" si="106"/>
        <v>0</v>
      </c>
      <c r="V150" s="61">
        <f t="shared" si="106"/>
        <v>0</v>
      </c>
      <c r="W150" s="61">
        <f t="shared" si="107"/>
        <v>0</v>
      </c>
      <c r="X150" s="61">
        <f t="shared" si="107"/>
        <v>0</v>
      </c>
      <c r="Y150" s="61">
        <f t="shared" si="107"/>
        <v>0</v>
      </c>
      <c r="Z150" s="61">
        <f t="shared" si="107"/>
        <v>0</v>
      </c>
      <c r="AA150" s="61">
        <f t="shared" si="107"/>
        <v>0</v>
      </c>
      <c r="AB150" s="61">
        <f t="shared" si="107"/>
        <v>0</v>
      </c>
      <c r="AC150" s="61">
        <f t="shared" si="107"/>
        <v>0</v>
      </c>
      <c r="AD150" s="61">
        <f t="shared" si="107"/>
        <v>0</v>
      </c>
      <c r="AE150" s="61">
        <f t="shared" si="107"/>
        <v>0</v>
      </c>
      <c r="AF150" s="61">
        <f t="shared" si="93"/>
        <v>0</v>
      </c>
      <c r="AG150" s="61">
        <f t="shared" si="95"/>
        <v>0</v>
      </c>
      <c r="AH150" s="61">
        <f t="shared" si="97"/>
        <v>0</v>
      </c>
      <c r="AI150" s="61">
        <f t="shared" si="99"/>
        <v>0</v>
      </c>
      <c r="AJ150" s="61">
        <f t="shared" si="101"/>
        <v>0</v>
      </c>
      <c r="AK150" s="61">
        <f t="shared" si="102"/>
        <v>0</v>
      </c>
      <c r="AL150" s="61">
        <f t="shared" si="103"/>
        <v>0</v>
      </c>
      <c r="AM150" s="61">
        <f t="shared" si="104"/>
        <v>0</v>
      </c>
      <c r="AN150" s="61">
        <f t="shared" si="105"/>
        <v>0</v>
      </c>
      <c r="AO150" s="61">
        <f t="shared" si="108"/>
        <v>0</v>
      </c>
      <c r="AP150" s="61">
        <f t="shared" si="109"/>
        <v>0</v>
      </c>
      <c r="AQ150" s="61"/>
    </row>
    <row r="151" spans="2:43" x14ac:dyDescent="0.25">
      <c r="B151" s="54">
        <v>0.64583333334303406</v>
      </c>
      <c r="C151" s="54">
        <v>1.00000000008004</v>
      </c>
      <c r="D151" s="60"/>
      <c r="E151" s="91"/>
      <c r="G151" s="91">
        <f>SUMMARY!AK23</f>
        <v>0</v>
      </c>
      <c r="H151" s="92">
        <f t="shared" si="86"/>
        <v>0</v>
      </c>
      <c r="I151" s="180">
        <f>AD$132-AD$133</f>
        <v>0</v>
      </c>
      <c r="M151" s="61">
        <f t="shared" si="106"/>
        <v>0</v>
      </c>
      <c r="N151" s="61">
        <f t="shared" si="106"/>
        <v>0</v>
      </c>
      <c r="O151" s="61">
        <f t="shared" si="106"/>
        <v>0</v>
      </c>
      <c r="P151" s="61">
        <f t="shared" si="106"/>
        <v>0</v>
      </c>
      <c r="Q151" s="61">
        <f t="shared" si="106"/>
        <v>0</v>
      </c>
      <c r="R151" s="61">
        <f t="shared" si="106"/>
        <v>0</v>
      </c>
      <c r="S151" s="61">
        <f t="shared" si="106"/>
        <v>0</v>
      </c>
      <c r="T151" s="61">
        <f t="shared" si="106"/>
        <v>0</v>
      </c>
      <c r="U151" s="61">
        <f t="shared" si="106"/>
        <v>0</v>
      </c>
      <c r="V151" s="61">
        <f t="shared" si="106"/>
        <v>0</v>
      </c>
      <c r="W151" s="61">
        <f t="shared" si="107"/>
        <v>0</v>
      </c>
      <c r="X151" s="61">
        <f t="shared" si="107"/>
        <v>0</v>
      </c>
      <c r="Y151" s="61">
        <f t="shared" si="107"/>
        <v>0</v>
      </c>
      <c r="Z151" s="61">
        <f t="shared" si="107"/>
        <v>0</v>
      </c>
      <c r="AA151" s="61">
        <f t="shared" si="107"/>
        <v>0</v>
      </c>
      <c r="AB151" s="61">
        <f t="shared" si="107"/>
        <v>0</v>
      </c>
      <c r="AC151" s="61">
        <f t="shared" si="107"/>
        <v>0</v>
      </c>
      <c r="AD151" s="61">
        <f t="shared" si="107"/>
        <v>0</v>
      </c>
      <c r="AE151" s="61">
        <f t="shared" si="107"/>
        <v>0</v>
      </c>
      <c r="AF151" s="61">
        <f t="shared" si="93"/>
        <v>0</v>
      </c>
      <c r="AG151" s="61">
        <f t="shared" si="95"/>
        <v>0</v>
      </c>
      <c r="AH151" s="61">
        <f t="shared" si="97"/>
        <v>0</v>
      </c>
      <c r="AI151" s="61">
        <f t="shared" si="99"/>
        <v>0</v>
      </c>
      <c r="AJ151" s="61">
        <f t="shared" si="101"/>
        <v>0</v>
      </c>
      <c r="AK151" s="61">
        <f t="shared" si="102"/>
        <v>0</v>
      </c>
      <c r="AL151" s="61">
        <f t="shared" si="103"/>
        <v>0</v>
      </c>
      <c r="AM151" s="61">
        <f t="shared" si="104"/>
        <v>0</v>
      </c>
      <c r="AN151" s="61">
        <f t="shared" si="105"/>
        <v>0</v>
      </c>
      <c r="AO151" s="61">
        <f t="shared" si="108"/>
        <v>0</v>
      </c>
      <c r="AP151" s="61">
        <f t="shared" si="109"/>
        <v>0</v>
      </c>
      <c r="AQ151" s="61"/>
    </row>
    <row r="152" spans="2:43" x14ac:dyDescent="0.25">
      <c r="B152" s="54">
        <v>0.66666666667879304</v>
      </c>
      <c r="C152" s="54">
        <v>1.0208333334158</v>
      </c>
      <c r="D152" s="60"/>
      <c r="E152" s="91"/>
      <c r="G152" s="91">
        <f>SUMMARY!AK24</f>
        <v>0</v>
      </c>
      <c r="H152" s="92">
        <f t="shared" si="86"/>
        <v>0</v>
      </c>
      <c r="I152" s="180">
        <f>AE$132-AE$133</f>
        <v>0</v>
      </c>
      <c r="M152" s="61">
        <f t="shared" si="106"/>
        <v>0</v>
      </c>
      <c r="N152" s="61">
        <f t="shared" si="106"/>
        <v>0</v>
      </c>
      <c r="O152" s="61">
        <f t="shared" si="106"/>
        <v>0</v>
      </c>
      <c r="P152" s="61">
        <f t="shared" si="106"/>
        <v>0</v>
      </c>
      <c r="Q152" s="61">
        <f t="shared" si="106"/>
        <v>0</v>
      </c>
      <c r="R152" s="61">
        <f t="shared" si="106"/>
        <v>0</v>
      </c>
      <c r="S152" s="61">
        <f t="shared" si="106"/>
        <v>0</v>
      </c>
      <c r="T152" s="61">
        <f t="shared" si="106"/>
        <v>0</v>
      </c>
      <c r="U152" s="61">
        <f t="shared" si="106"/>
        <v>0</v>
      </c>
      <c r="V152" s="61">
        <f t="shared" si="106"/>
        <v>0</v>
      </c>
      <c r="W152" s="61">
        <f t="shared" si="107"/>
        <v>0</v>
      </c>
      <c r="X152" s="61">
        <f t="shared" si="107"/>
        <v>0</v>
      </c>
      <c r="Y152" s="61">
        <f t="shared" si="107"/>
        <v>0</v>
      </c>
      <c r="Z152" s="61">
        <f t="shared" si="107"/>
        <v>0</v>
      </c>
      <c r="AA152" s="61">
        <f t="shared" si="107"/>
        <v>0</v>
      </c>
      <c r="AB152" s="61">
        <f t="shared" si="107"/>
        <v>0</v>
      </c>
      <c r="AC152" s="61">
        <f t="shared" si="107"/>
        <v>0</v>
      </c>
      <c r="AD152" s="61">
        <f t="shared" si="107"/>
        <v>0</v>
      </c>
      <c r="AE152" s="61">
        <f t="shared" si="107"/>
        <v>0</v>
      </c>
      <c r="AF152" s="61">
        <f t="shared" si="93"/>
        <v>0</v>
      </c>
      <c r="AG152" s="61">
        <f t="shared" si="95"/>
        <v>0</v>
      </c>
      <c r="AH152" s="61">
        <f t="shared" si="97"/>
        <v>0</v>
      </c>
      <c r="AI152" s="61">
        <f t="shared" si="99"/>
        <v>0</v>
      </c>
      <c r="AJ152" s="61">
        <f t="shared" si="101"/>
        <v>0</v>
      </c>
      <c r="AK152" s="61">
        <f t="shared" si="102"/>
        <v>0</v>
      </c>
      <c r="AL152" s="61">
        <f t="shared" si="103"/>
        <v>0</v>
      </c>
      <c r="AM152" s="61">
        <f t="shared" si="104"/>
        <v>0</v>
      </c>
      <c r="AN152" s="61">
        <f t="shared" si="105"/>
        <v>0</v>
      </c>
      <c r="AO152" s="61">
        <f t="shared" si="108"/>
        <v>0</v>
      </c>
      <c r="AP152" s="61">
        <f t="shared" si="109"/>
        <v>0</v>
      </c>
      <c r="AQ152" s="61"/>
    </row>
    <row r="153" spans="2:43" x14ac:dyDescent="0.25">
      <c r="B153" s="54">
        <v>0.68750000001455203</v>
      </c>
      <c r="C153" s="54">
        <v>1.0416666667515599</v>
      </c>
      <c r="D153" s="60"/>
      <c r="E153" s="91"/>
      <c r="G153" s="91">
        <f>SUMMARY!AK25</f>
        <v>0</v>
      </c>
      <c r="H153" s="92">
        <f t="shared" si="86"/>
        <v>0</v>
      </c>
      <c r="I153" s="180">
        <f>AF$132-AF$133</f>
        <v>0</v>
      </c>
      <c r="M153" s="61">
        <f t="shared" si="106"/>
        <v>0</v>
      </c>
      <c r="N153" s="61">
        <f t="shared" si="106"/>
        <v>0</v>
      </c>
      <c r="O153" s="61">
        <f t="shared" si="106"/>
        <v>0</v>
      </c>
      <c r="P153" s="61">
        <f t="shared" si="106"/>
        <v>0</v>
      </c>
      <c r="Q153" s="61">
        <f t="shared" si="106"/>
        <v>0</v>
      </c>
      <c r="R153" s="61">
        <f t="shared" si="106"/>
        <v>0</v>
      </c>
      <c r="S153" s="61">
        <f t="shared" si="106"/>
        <v>0</v>
      </c>
      <c r="T153" s="61">
        <f t="shared" si="106"/>
        <v>0</v>
      </c>
      <c r="U153" s="61">
        <f t="shared" si="106"/>
        <v>0</v>
      </c>
      <c r="V153" s="61">
        <f t="shared" si="106"/>
        <v>0</v>
      </c>
      <c r="W153" s="61">
        <f t="shared" si="107"/>
        <v>0</v>
      </c>
      <c r="X153" s="61">
        <f t="shared" si="107"/>
        <v>0</v>
      </c>
      <c r="Y153" s="61">
        <f t="shared" si="107"/>
        <v>0</v>
      </c>
      <c r="Z153" s="61">
        <f t="shared" si="107"/>
        <v>0</v>
      </c>
      <c r="AA153" s="61">
        <f t="shared" si="107"/>
        <v>0</v>
      </c>
      <c r="AB153" s="61">
        <f t="shared" si="107"/>
        <v>0</v>
      </c>
      <c r="AC153" s="61">
        <f t="shared" si="107"/>
        <v>0</v>
      </c>
      <c r="AD153" s="61">
        <f t="shared" si="107"/>
        <v>0</v>
      </c>
      <c r="AE153" s="61">
        <f t="shared" si="107"/>
        <v>0</v>
      </c>
      <c r="AF153" s="61">
        <f t="shared" si="93"/>
        <v>0</v>
      </c>
      <c r="AG153" s="61">
        <f t="shared" si="95"/>
        <v>0</v>
      </c>
      <c r="AH153" s="61">
        <f t="shared" si="97"/>
        <v>0</v>
      </c>
      <c r="AI153" s="61">
        <f t="shared" si="99"/>
        <v>0</v>
      </c>
      <c r="AJ153" s="61">
        <f t="shared" si="101"/>
        <v>0</v>
      </c>
      <c r="AK153" s="61">
        <f t="shared" si="102"/>
        <v>0</v>
      </c>
      <c r="AL153" s="61">
        <f t="shared" si="103"/>
        <v>0</v>
      </c>
      <c r="AM153" s="61">
        <f t="shared" si="104"/>
        <v>0</v>
      </c>
      <c r="AN153" s="61">
        <f t="shared" si="105"/>
        <v>0</v>
      </c>
      <c r="AO153" s="61">
        <f t="shared" si="108"/>
        <v>0</v>
      </c>
      <c r="AP153" s="61">
        <f t="shared" si="109"/>
        <v>0</v>
      </c>
      <c r="AQ153" s="61"/>
    </row>
    <row r="154" spans="2:43" x14ac:dyDescent="0.25">
      <c r="B154" s="54">
        <v>0.70833333335031001</v>
      </c>
      <c r="C154" s="54">
        <v>1.0625000000873199</v>
      </c>
      <c r="D154" s="60"/>
      <c r="E154" s="91"/>
      <c r="G154" s="91">
        <f>SUMMARY!AK26</f>
        <v>0</v>
      </c>
      <c r="H154" s="92">
        <f t="shared" si="86"/>
        <v>0</v>
      </c>
      <c r="I154" s="180">
        <f>AG$132-AG$133</f>
        <v>0</v>
      </c>
      <c r="M154" s="61">
        <f t="shared" si="106"/>
        <v>0</v>
      </c>
      <c r="N154" s="61">
        <f t="shared" si="106"/>
        <v>0</v>
      </c>
      <c r="O154" s="61">
        <f t="shared" si="106"/>
        <v>0</v>
      </c>
      <c r="P154" s="61">
        <f t="shared" si="106"/>
        <v>0</v>
      </c>
      <c r="Q154" s="61">
        <f t="shared" si="106"/>
        <v>0</v>
      </c>
      <c r="R154" s="61">
        <f t="shared" si="106"/>
        <v>0</v>
      </c>
      <c r="S154" s="61">
        <f t="shared" si="106"/>
        <v>0</v>
      </c>
      <c r="T154" s="61">
        <f t="shared" si="106"/>
        <v>0</v>
      </c>
      <c r="U154" s="61">
        <f t="shared" si="106"/>
        <v>0</v>
      </c>
      <c r="V154" s="61">
        <f t="shared" si="106"/>
        <v>0</v>
      </c>
      <c r="W154" s="61">
        <f t="shared" si="107"/>
        <v>0</v>
      </c>
      <c r="X154" s="61">
        <f t="shared" si="107"/>
        <v>0</v>
      </c>
      <c r="Y154" s="61">
        <f t="shared" si="107"/>
        <v>0</v>
      </c>
      <c r="Z154" s="61">
        <f t="shared" si="107"/>
        <v>0</v>
      </c>
      <c r="AA154" s="61">
        <f t="shared" si="107"/>
        <v>0</v>
      </c>
      <c r="AB154" s="61">
        <f t="shared" si="107"/>
        <v>0</v>
      </c>
      <c r="AC154" s="61">
        <f t="shared" si="107"/>
        <v>0</v>
      </c>
      <c r="AD154" s="61">
        <f t="shared" si="107"/>
        <v>0</v>
      </c>
      <c r="AE154" s="61">
        <f t="shared" si="107"/>
        <v>0</v>
      </c>
      <c r="AF154" s="61">
        <f t="shared" si="93"/>
        <v>0</v>
      </c>
      <c r="AG154" s="61">
        <f t="shared" si="95"/>
        <v>0</v>
      </c>
      <c r="AH154" s="61">
        <f t="shared" si="97"/>
        <v>0</v>
      </c>
      <c r="AI154" s="61">
        <f t="shared" si="99"/>
        <v>0</v>
      </c>
      <c r="AJ154" s="61">
        <f t="shared" si="101"/>
        <v>0</v>
      </c>
      <c r="AK154" s="61">
        <f t="shared" si="102"/>
        <v>0</v>
      </c>
      <c r="AL154" s="61">
        <f t="shared" si="103"/>
        <v>0</v>
      </c>
      <c r="AM154" s="61">
        <f t="shared" si="104"/>
        <v>0</v>
      </c>
      <c r="AN154" s="61">
        <f t="shared" si="105"/>
        <v>0</v>
      </c>
      <c r="AO154" s="61">
        <f t="shared" si="108"/>
        <v>0</v>
      </c>
      <c r="AP154" s="61">
        <f t="shared" si="109"/>
        <v>0</v>
      </c>
      <c r="AQ154" s="61"/>
    </row>
    <row r="155" spans="2:43" x14ac:dyDescent="0.25">
      <c r="B155" s="54">
        <v>0.729166666686069</v>
      </c>
      <c r="C155" s="54">
        <v>1.0833333334230799</v>
      </c>
      <c r="D155" s="60"/>
      <c r="E155" s="91"/>
      <c r="G155" s="91">
        <f>SUMMARY!AK27</f>
        <v>0</v>
      </c>
      <c r="H155" s="92">
        <f t="shared" si="86"/>
        <v>0</v>
      </c>
      <c r="I155" s="180">
        <f>AH$132-AH$133</f>
        <v>0</v>
      </c>
      <c r="M155" s="61">
        <f t="shared" si="106"/>
        <v>0</v>
      </c>
      <c r="N155" s="61">
        <f t="shared" si="106"/>
        <v>0</v>
      </c>
      <c r="O155" s="61">
        <f t="shared" si="106"/>
        <v>0</v>
      </c>
      <c r="P155" s="61">
        <f t="shared" si="106"/>
        <v>0</v>
      </c>
      <c r="Q155" s="61">
        <f t="shared" si="106"/>
        <v>0</v>
      </c>
      <c r="R155" s="61">
        <f t="shared" si="106"/>
        <v>0</v>
      </c>
      <c r="S155" s="61">
        <f t="shared" si="106"/>
        <v>0</v>
      </c>
      <c r="T155" s="61">
        <f t="shared" si="106"/>
        <v>0</v>
      </c>
      <c r="U155" s="61">
        <f t="shared" si="106"/>
        <v>0</v>
      </c>
      <c r="V155" s="61">
        <f t="shared" si="106"/>
        <v>0</v>
      </c>
      <c r="W155" s="61">
        <f t="shared" si="107"/>
        <v>0</v>
      </c>
      <c r="X155" s="61">
        <f t="shared" si="107"/>
        <v>0</v>
      </c>
      <c r="Y155" s="61">
        <f t="shared" si="107"/>
        <v>0</v>
      </c>
      <c r="Z155" s="61">
        <f t="shared" si="107"/>
        <v>0</v>
      </c>
      <c r="AA155" s="61">
        <f t="shared" si="107"/>
        <v>0</v>
      </c>
      <c r="AB155" s="61">
        <f t="shared" si="107"/>
        <v>0</v>
      </c>
      <c r="AC155" s="61">
        <f t="shared" si="107"/>
        <v>0</v>
      </c>
      <c r="AD155" s="61">
        <f t="shared" si="107"/>
        <v>0</v>
      </c>
      <c r="AE155" s="61">
        <f t="shared" si="107"/>
        <v>0</v>
      </c>
      <c r="AF155" s="61">
        <f t="shared" si="93"/>
        <v>0</v>
      </c>
      <c r="AG155" s="61">
        <f t="shared" si="95"/>
        <v>0</v>
      </c>
      <c r="AH155" s="61">
        <f t="shared" si="97"/>
        <v>0</v>
      </c>
      <c r="AI155" s="61">
        <f t="shared" si="99"/>
        <v>0</v>
      </c>
      <c r="AJ155" s="61">
        <f t="shared" si="101"/>
        <v>0</v>
      </c>
      <c r="AK155" s="61">
        <f t="shared" si="102"/>
        <v>0</v>
      </c>
      <c r="AL155" s="61">
        <f t="shared" si="103"/>
        <v>0</v>
      </c>
      <c r="AM155" s="61">
        <f t="shared" si="104"/>
        <v>0</v>
      </c>
      <c r="AN155" s="61">
        <f t="shared" si="105"/>
        <v>0</v>
      </c>
      <c r="AO155" s="61">
        <f t="shared" si="108"/>
        <v>0</v>
      </c>
      <c r="AP155" s="61">
        <f t="shared" si="109"/>
        <v>0</v>
      </c>
      <c r="AQ155" s="61"/>
    </row>
    <row r="156" spans="2:43" x14ac:dyDescent="0.25">
      <c r="B156" s="54">
        <v>0.75000000002182798</v>
      </c>
      <c r="C156" s="54">
        <v>1.1041666667588399</v>
      </c>
      <c r="D156" s="60"/>
      <c r="E156" s="91"/>
      <c r="G156" s="91">
        <f>SUMMARY!AK28</f>
        <v>0</v>
      </c>
      <c r="H156" s="92">
        <f t="shared" si="86"/>
        <v>0</v>
      </c>
      <c r="I156" s="180">
        <f>AI$132-AI$133</f>
        <v>0</v>
      </c>
      <c r="M156" s="61">
        <f t="shared" ref="M156:V163" si="110">IF(AND(M$2&gt;=$B156,M$2&lt;$C156),$E156,0)</f>
        <v>0</v>
      </c>
      <c r="N156" s="61">
        <f t="shared" si="110"/>
        <v>0</v>
      </c>
      <c r="O156" s="61">
        <f t="shared" si="110"/>
        <v>0</v>
      </c>
      <c r="P156" s="61">
        <f t="shared" si="110"/>
        <v>0</v>
      </c>
      <c r="Q156" s="61">
        <f t="shared" si="110"/>
        <v>0</v>
      </c>
      <c r="R156" s="61">
        <f t="shared" si="110"/>
        <v>0</v>
      </c>
      <c r="S156" s="61">
        <f t="shared" si="110"/>
        <v>0</v>
      </c>
      <c r="T156" s="61">
        <f t="shared" si="110"/>
        <v>0</v>
      </c>
      <c r="U156" s="61">
        <f t="shared" si="110"/>
        <v>0</v>
      </c>
      <c r="V156" s="61">
        <f t="shared" si="110"/>
        <v>0</v>
      </c>
      <c r="W156" s="61">
        <f t="shared" ref="W156:AE163" si="111">IF(AND(W$2&gt;=$B156,W$2&lt;$C156),$E156,0)</f>
        <v>0</v>
      </c>
      <c r="X156" s="61">
        <f t="shared" si="111"/>
        <v>0</v>
      </c>
      <c r="Y156" s="61">
        <f t="shared" si="111"/>
        <v>0</v>
      </c>
      <c r="Z156" s="61">
        <f t="shared" si="111"/>
        <v>0</v>
      </c>
      <c r="AA156" s="61">
        <f t="shared" si="111"/>
        <v>0</v>
      </c>
      <c r="AB156" s="61">
        <f t="shared" si="111"/>
        <v>0</v>
      </c>
      <c r="AC156" s="61">
        <f t="shared" si="111"/>
        <v>0</v>
      </c>
      <c r="AD156" s="61">
        <f t="shared" si="111"/>
        <v>0</v>
      </c>
      <c r="AE156" s="61">
        <f t="shared" si="111"/>
        <v>0</v>
      </c>
      <c r="AF156" s="61">
        <f t="shared" si="93"/>
        <v>0</v>
      </c>
      <c r="AG156" s="61">
        <f t="shared" si="95"/>
        <v>0</v>
      </c>
      <c r="AH156" s="61">
        <f t="shared" si="97"/>
        <v>0</v>
      </c>
      <c r="AI156" s="61">
        <f t="shared" si="99"/>
        <v>0</v>
      </c>
      <c r="AJ156" s="61">
        <f t="shared" si="101"/>
        <v>0</v>
      </c>
      <c r="AK156" s="61">
        <f t="shared" si="102"/>
        <v>0</v>
      </c>
      <c r="AL156" s="61">
        <f t="shared" si="103"/>
        <v>0</v>
      </c>
      <c r="AM156" s="61">
        <f t="shared" si="104"/>
        <v>0</v>
      </c>
      <c r="AN156" s="61">
        <f t="shared" si="105"/>
        <v>0</v>
      </c>
      <c r="AO156" s="61">
        <f t="shared" si="108"/>
        <v>0</v>
      </c>
      <c r="AP156" s="61">
        <f t="shared" si="109"/>
        <v>0</v>
      </c>
      <c r="AQ156" s="61"/>
    </row>
    <row r="157" spans="2:43" x14ac:dyDescent="0.25">
      <c r="B157" s="54">
        <v>0.77083333335758597</v>
      </c>
      <c r="C157" s="54">
        <v>1.1250000000945899</v>
      </c>
      <c r="D157" s="60"/>
      <c r="E157" s="91"/>
      <c r="G157" s="91">
        <f>SUMMARY!AK29</f>
        <v>0</v>
      </c>
      <c r="H157" s="92">
        <f t="shared" si="86"/>
        <v>0</v>
      </c>
      <c r="I157" s="180">
        <f>AJ$132-AJ$133</f>
        <v>0</v>
      </c>
      <c r="M157" s="61">
        <f t="shared" si="110"/>
        <v>0</v>
      </c>
      <c r="N157" s="61">
        <f t="shared" si="110"/>
        <v>0</v>
      </c>
      <c r="O157" s="61">
        <f t="shared" si="110"/>
        <v>0</v>
      </c>
      <c r="P157" s="61">
        <f t="shared" si="110"/>
        <v>0</v>
      </c>
      <c r="Q157" s="61">
        <f t="shared" si="110"/>
        <v>0</v>
      </c>
      <c r="R157" s="61">
        <f t="shared" si="110"/>
        <v>0</v>
      </c>
      <c r="S157" s="61">
        <f t="shared" si="110"/>
        <v>0</v>
      </c>
      <c r="T157" s="61">
        <f t="shared" si="110"/>
        <v>0</v>
      </c>
      <c r="U157" s="61">
        <f t="shared" si="110"/>
        <v>0</v>
      </c>
      <c r="V157" s="61">
        <f t="shared" si="110"/>
        <v>0</v>
      </c>
      <c r="W157" s="61">
        <f t="shared" si="111"/>
        <v>0</v>
      </c>
      <c r="X157" s="61">
        <f t="shared" si="111"/>
        <v>0</v>
      </c>
      <c r="Y157" s="61">
        <f t="shared" si="111"/>
        <v>0</v>
      </c>
      <c r="Z157" s="61">
        <f t="shared" si="111"/>
        <v>0</v>
      </c>
      <c r="AA157" s="61">
        <f t="shared" si="111"/>
        <v>0</v>
      </c>
      <c r="AB157" s="61">
        <f t="shared" si="111"/>
        <v>0</v>
      </c>
      <c r="AC157" s="61">
        <f t="shared" si="111"/>
        <v>0</v>
      </c>
      <c r="AD157" s="61">
        <f t="shared" si="111"/>
        <v>0</v>
      </c>
      <c r="AE157" s="61">
        <f t="shared" si="111"/>
        <v>0</v>
      </c>
      <c r="AF157" s="61">
        <f t="shared" si="93"/>
        <v>0</v>
      </c>
      <c r="AG157" s="61">
        <f t="shared" si="95"/>
        <v>0</v>
      </c>
      <c r="AH157" s="61">
        <f t="shared" si="97"/>
        <v>0</v>
      </c>
      <c r="AI157" s="61">
        <f t="shared" si="99"/>
        <v>0</v>
      </c>
      <c r="AJ157" s="61">
        <f t="shared" si="101"/>
        <v>0</v>
      </c>
      <c r="AK157" s="61">
        <f t="shared" si="102"/>
        <v>0</v>
      </c>
      <c r="AL157" s="61">
        <f t="shared" si="103"/>
        <v>0</v>
      </c>
      <c r="AM157" s="61">
        <f t="shared" si="104"/>
        <v>0</v>
      </c>
      <c r="AN157" s="61">
        <f t="shared" si="105"/>
        <v>0</v>
      </c>
      <c r="AO157" s="61">
        <f t="shared" si="108"/>
        <v>0</v>
      </c>
      <c r="AP157" s="61">
        <f t="shared" si="109"/>
        <v>0</v>
      </c>
      <c r="AQ157" s="61"/>
    </row>
    <row r="158" spans="2:43" x14ac:dyDescent="0.25">
      <c r="B158" s="54">
        <v>0.79166666669334496</v>
      </c>
      <c r="C158" s="54">
        <v>1.1458333334303501</v>
      </c>
      <c r="D158" s="60"/>
      <c r="E158" s="91"/>
      <c r="G158" s="91">
        <f>SUMMARY!AK30</f>
        <v>0</v>
      </c>
      <c r="H158" s="92">
        <f t="shared" si="86"/>
        <v>0</v>
      </c>
      <c r="I158" s="180">
        <f>AK$132-AK$133</f>
        <v>0</v>
      </c>
      <c r="M158" s="61">
        <f t="shared" si="110"/>
        <v>0</v>
      </c>
      <c r="N158" s="61">
        <f t="shared" si="110"/>
        <v>0</v>
      </c>
      <c r="O158" s="61">
        <f t="shared" si="110"/>
        <v>0</v>
      </c>
      <c r="P158" s="61">
        <f t="shared" si="110"/>
        <v>0</v>
      </c>
      <c r="Q158" s="61">
        <f t="shared" si="110"/>
        <v>0</v>
      </c>
      <c r="R158" s="61">
        <f t="shared" si="110"/>
        <v>0</v>
      </c>
      <c r="S158" s="61">
        <f t="shared" si="110"/>
        <v>0</v>
      </c>
      <c r="T158" s="61">
        <f t="shared" si="110"/>
        <v>0</v>
      </c>
      <c r="U158" s="61">
        <f t="shared" si="110"/>
        <v>0</v>
      </c>
      <c r="V158" s="61">
        <f t="shared" si="110"/>
        <v>0</v>
      </c>
      <c r="W158" s="61">
        <f t="shared" si="111"/>
        <v>0</v>
      </c>
      <c r="X158" s="61">
        <f t="shared" si="111"/>
        <v>0</v>
      </c>
      <c r="Y158" s="61">
        <f t="shared" si="111"/>
        <v>0</v>
      </c>
      <c r="Z158" s="61">
        <f t="shared" si="111"/>
        <v>0</v>
      </c>
      <c r="AA158" s="61">
        <f t="shared" si="111"/>
        <v>0</v>
      </c>
      <c r="AB158" s="61">
        <f t="shared" si="111"/>
        <v>0</v>
      </c>
      <c r="AC158" s="61">
        <f t="shared" si="111"/>
        <v>0</v>
      </c>
      <c r="AD158" s="61">
        <f t="shared" si="111"/>
        <v>0</v>
      </c>
      <c r="AE158" s="61">
        <f t="shared" si="111"/>
        <v>0</v>
      </c>
      <c r="AF158" s="61">
        <f t="shared" si="93"/>
        <v>0</v>
      </c>
      <c r="AG158" s="61">
        <f t="shared" si="95"/>
        <v>0</v>
      </c>
      <c r="AH158" s="61">
        <f t="shared" si="97"/>
        <v>0</v>
      </c>
      <c r="AI158" s="61">
        <f t="shared" si="99"/>
        <v>0</v>
      </c>
      <c r="AJ158" s="61">
        <f t="shared" si="101"/>
        <v>0</v>
      </c>
      <c r="AK158" s="61">
        <f t="shared" si="102"/>
        <v>0</v>
      </c>
      <c r="AL158" s="61">
        <f t="shared" si="103"/>
        <v>0</v>
      </c>
      <c r="AM158" s="61">
        <f t="shared" si="104"/>
        <v>0</v>
      </c>
      <c r="AN158" s="61">
        <f t="shared" si="105"/>
        <v>0</v>
      </c>
      <c r="AO158" s="61">
        <f t="shared" si="108"/>
        <v>0</v>
      </c>
      <c r="AP158" s="61">
        <f t="shared" si="109"/>
        <v>0</v>
      </c>
      <c r="AQ158" s="61"/>
    </row>
    <row r="159" spans="2:43" x14ac:dyDescent="0.25">
      <c r="B159" s="54">
        <v>0.81250000002910305</v>
      </c>
      <c r="C159" s="54">
        <v>1.1666666667661101</v>
      </c>
      <c r="D159" s="60"/>
      <c r="E159" s="91"/>
      <c r="G159" s="91">
        <f>SUMMARY!AK31</f>
        <v>0</v>
      </c>
      <c r="H159" s="92">
        <f t="shared" si="86"/>
        <v>0</v>
      </c>
      <c r="I159" s="180">
        <f>AL$132-AL$133</f>
        <v>0</v>
      </c>
      <c r="M159" s="61">
        <f t="shared" si="110"/>
        <v>0</v>
      </c>
      <c r="N159" s="61">
        <f t="shared" si="110"/>
        <v>0</v>
      </c>
      <c r="O159" s="61">
        <f t="shared" si="110"/>
        <v>0</v>
      </c>
      <c r="P159" s="61">
        <f t="shared" si="110"/>
        <v>0</v>
      </c>
      <c r="Q159" s="61">
        <f t="shared" si="110"/>
        <v>0</v>
      </c>
      <c r="R159" s="61">
        <f t="shared" si="110"/>
        <v>0</v>
      </c>
      <c r="S159" s="61">
        <f t="shared" si="110"/>
        <v>0</v>
      </c>
      <c r="T159" s="61">
        <f t="shared" si="110"/>
        <v>0</v>
      </c>
      <c r="U159" s="61">
        <f t="shared" si="110"/>
        <v>0</v>
      </c>
      <c r="V159" s="61">
        <f t="shared" si="110"/>
        <v>0</v>
      </c>
      <c r="W159" s="61">
        <f t="shared" si="111"/>
        <v>0</v>
      </c>
      <c r="X159" s="61">
        <f t="shared" si="111"/>
        <v>0</v>
      </c>
      <c r="Y159" s="61">
        <f t="shared" si="111"/>
        <v>0</v>
      </c>
      <c r="Z159" s="61">
        <f t="shared" si="111"/>
        <v>0</v>
      </c>
      <c r="AA159" s="61">
        <f t="shared" si="111"/>
        <v>0</v>
      </c>
      <c r="AB159" s="61">
        <f t="shared" si="111"/>
        <v>0</v>
      </c>
      <c r="AC159" s="61">
        <f t="shared" si="111"/>
        <v>0</v>
      </c>
      <c r="AD159" s="61">
        <f t="shared" si="111"/>
        <v>0</v>
      </c>
      <c r="AE159" s="61">
        <f t="shared" si="111"/>
        <v>0</v>
      </c>
      <c r="AF159" s="61">
        <f t="shared" si="93"/>
        <v>0</v>
      </c>
      <c r="AG159" s="61">
        <f t="shared" si="95"/>
        <v>0</v>
      </c>
      <c r="AH159" s="61">
        <f t="shared" si="97"/>
        <v>0</v>
      </c>
      <c r="AI159" s="61">
        <f t="shared" si="99"/>
        <v>0</v>
      </c>
      <c r="AJ159" s="61">
        <f t="shared" si="101"/>
        <v>0</v>
      </c>
      <c r="AK159" s="61">
        <f t="shared" si="102"/>
        <v>0</v>
      </c>
      <c r="AL159" s="61">
        <f t="shared" si="103"/>
        <v>0</v>
      </c>
      <c r="AM159" s="61">
        <f t="shared" si="104"/>
        <v>0</v>
      </c>
      <c r="AN159" s="61">
        <f t="shared" si="105"/>
        <v>0</v>
      </c>
      <c r="AO159" s="61">
        <f t="shared" si="108"/>
        <v>0</v>
      </c>
      <c r="AP159" s="61">
        <f t="shared" si="109"/>
        <v>0</v>
      </c>
      <c r="AQ159" s="61"/>
    </row>
    <row r="160" spans="2:43" x14ac:dyDescent="0.25">
      <c r="B160" s="54">
        <v>0.83333333336486204</v>
      </c>
      <c r="C160" s="54">
        <v>1.1875000001018701</v>
      </c>
      <c r="D160" s="60"/>
      <c r="E160" s="91"/>
      <c r="G160" s="91">
        <f>SUMMARY!AK32</f>
        <v>0</v>
      </c>
      <c r="H160" s="92">
        <f t="shared" si="86"/>
        <v>0</v>
      </c>
      <c r="I160" s="180">
        <f>AM$132-AM$133</f>
        <v>0</v>
      </c>
      <c r="M160" s="61">
        <f t="shared" si="110"/>
        <v>0</v>
      </c>
      <c r="N160" s="61">
        <f t="shared" si="110"/>
        <v>0</v>
      </c>
      <c r="O160" s="61">
        <f t="shared" si="110"/>
        <v>0</v>
      </c>
      <c r="P160" s="61">
        <f t="shared" si="110"/>
        <v>0</v>
      </c>
      <c r="Q160" s="61">
        <f t="shared" si="110"/>
        <v>0</v>
      </c>
      <c r="R160" s="61">
        <f t="shared" si="110"/>
        <v>0</v>
      </c>
      <c r="S160" s="61">
        <f t="shared" si="110"/>
        <v>0</v>
      </c>
      <c r="T160" s="61">
        <f t="shared" si="110"/>
        <v>0</v>
      </c>
      <c r="U160" s="61">
        <f t="shared" si="110"/>
        <v>0</v>
      </c>
      <c r="V160" s="61">
        <f t="shared" si="110"/>
        <v>0</v>
      </c>
      <c r="W160" s="61">
        <f t="shared" si="111"/>
        <v>0</v>
      </c>
      <c r="X160" s="61">
        <f t="shared" si="111"/>
        <v>0</v>
      </c>
      <c r="Y160" s="61">
        <f t="shared" si="111"/>
        <v>0</v>
      </c>
      <c r="Z160" s="61">
        <f t="shared" si="111"/>
        <v>0</v>
      </c>
      <c r="AA160" s="61">
        <f t="shared" si="111"/>
        <v>0</v>
      </c>
      <c r="AB160" s="61">
        <f t="shared" si="111"/>
        <v>0</v>
      </c>
      <c r="AC160" s="61">
        <f t="shared" si="111"/>
        <v>0</v>
      </c>
      <c r="AD160" s="61">
        <f t="shared" si="111"/>
        <v>0</v>
      </c>
      <c r="AE160" s="61">
        <f t="shared" si="111"/>
        <v>0</v>
      </c>
      <c r="AF160" s="61">
        <f t="shared" si="93"/>
        <v>0</v>
      </c>
      <c r="AG160" s="61">
        <f t="shared" si="95"/>
        <v>0</v>
      </c>
      <c r="AH160" s="61">
        <f t="shared" si="97"/>
        <v>0</v>
      </c>
      <c r="AI160" s="61">
        <f t="shared" si="99"/>
        <v>0</v>
      </c>
      <c r="AJ160" s="61">
        <f t="shared" si="101"/>
        <v>0</v>
      </c>
      <c r="AK160" s="61">
        <f t="shared" si="102"/>
        <v>0</v>
      </c>
      <c r="AL160" s="61">
        <f t="shared" si="103"/>
        <v>0</v>
      </c>
      <c r="AM160" s="61">
        <f t="shared" si="104"/>
        <v>0</v>
      </c>
      <c r="AN160" s="61">
        <f t="shared" si="105"/>
        <v>0</v>
      </c>
      <c r="AO160" s="61">
        <f t="shared" si="108"/>
        <v>0</v>
      </c>
      <c r="AP160" s="61">
        <f t="shared" si="109"/>
        <v>0</v>
      </c>
      <c r="AQ160" s="61"/>
    </row>
    <row r="161" spans="2:43" x14ac:dyDescent="0.25">
      <c r="B161" s="54">
        <v>0.85416666670062102</v>
      </c>
      <c r="C161" s="54">
        <v>1.2083333334376301</v>
      </c>
      <c r="D161" s="60"/>
      <c r="E161" s="91"/>
      <c r="G161" s="91">
        <f>SUMMARY!AK33</f>
        <v>0</v>
      </c>
      <c r="H161" s="92">
        <f t="shared" si="86"/>
        <v>0</v>
      </c>
      <c r="I161" s="180">
        <f>AN$132-AN$133</f>
        <v>0</v>
      </c>
      <c r="M161" s="61">
        <f t="shared" si="110"/>
        <v>0</v>
      </c>
      <c r="N161" s="61">
        <f t="shared" si="110"/>
        <v>0</v>
      </c>
      <c r="O161" s="61">
        <f t="shared" si="110"/>
        <v>0</v>
      </c>
      <c r="P161" s="61">
        <f t="shared" si="110"/>
        <v>0</v>
      </c>
      <c r="Q161" s="61">
        <f t="shared" si="110"/>
        <v>0</v>
      </c>
      <c r="R161" s="61">
        <f t="shared" si="110"/>
        <v>0</v>
      </c>
      <c r="S161" s="61">
        <f t="shared" si="110"/>
        <v>0</v>
      </c>
      <c r="T161" s="61">
        <f t="shared" si="110"/>
        <v>0</v>
      </c>
      <c r="U161" s="61">
        <f t="shared" si="110"/>
        <v>0</v>
      </c>
      <c r="V161" s="61">
        <f t="shared" si="110"/>
        <v>0</v>
      </c>
      <c r="W161" s="61">
        <f t="shared" si="111"/>
        <v>0</v>
      </c>
      <c r="X161" s="61">
        <f t="shared" si="111"/>
        <v>0</v>
      </c>
      <c r="Y161" s="61">
        <f t="shared" si="111"/>
        <v>0</v>
      </c>
      <c r="Z161" s="61">
        <f t="shared" si="111"/>
        <v>0</v>
      </c>
      <c r="AA161" s="61">
        <f t="shared" si="111"/>
        <v>0</v>
      </c>
      <c r="AB161" s="61">
        <f t="shared" si="111"/>
        <v>0</v>
      </c>
      <c r="AC161" s="61">
        <f t="shared" si="111"/>
        <v>0</v>
      </c>
      <c r="AD161" s="61">
        <f t="shared" si="111"/>
        <v>0</v>
      </c>
      <c r="AE161" s="61">
        <f t="shared" si="111"/>
        <v>0</v>
      </c>
      <c r="AF161" s="61">
        <f t="shared" si="93"/>
        <v>0</v>
      </c>
      <c r="AG161" s="61">
        <f t="shared" si="95"/>
        <v>0</v>
      </c>
      <c r="AH161" s="61">
        <f t="shared" si="97"/>
        <v>0</v>
      </c>
      <c r="AI161" s="61">
        <f t="shared" si="99"/>
        <v>0</v>
      </c>
      <c r="AJ161" s="61">
        <f t="shared" si="101"/>
        <v>0</v>
      </c>
      <c r="AK161" s="61">
        <f t="shared" si="102"/>
        <v>0</v>
      </c>
      <c r="AL161" s="61">
        <f t="shared" si="103"/>
        <v>0</v>
      </c>
      <c r="AM161" s="61">
        <f t="shared" si="104"/>
        <v>0</v>
      </c>
      <c r="AN161" s="61">
        <f t="shared" si="105"/>
        <v>0</v>
      </c>
      <c r="AO161" s="61">
        <f t="shared" si="108"/>
        <v>0</v>
      </c>
      <c r="AP161" s="61">
        <f t="shared" si="109"/>
        <v>0</v>
      </c>
      <c r="AQ161" s="61"/>
    </row>
    <row r="162" spans="2:43" x14ac:dyDescent="0.25">
      <c r="B162" s="54">
        <v>0.87500000003637901</v>
      </c>
      <c r="C162" s="54">
        <v>1.22916666677339</v>
      </c>
      <c r="D162" s="60"/>
      <c r="E162" s="91"/>
      <c r="G162" s="91">
        <f>SUMMARY!AK34</f>
        <v>0</v>
      </c>
      <c r="H162" s="92">
        <f t="shared" si="86"/>
        <v>0</v>
      </c>
      <c r="I162" s="180">
        <f>AO$132-AO$133</f>
        <v>0</v>
      </c>
      <c r="M162" s="61">
        <f t="shared" si="110"/>
        <v>0</v>
      </c>
      <c r="N162" s="61">
        <f t="shared" si="110"/>
        <v>0</v>
      </c>
      <c r="O162" s="61">
        <f t="shared" si="110"/>
        <v>0</v>
      </c>
      <c r="P162" s="61">
        <f t="shared" si="110"/>
        <v>0</v>
      </c>
      <c r="Q162" s="61">
        <f t="shared" si="110"/>
        <v>0</v>
      </c>
      <c r="R162" s="61">
        <f t="shared" si="110"/>
        <v>0</v>
      </c>
      <c r="S162" s="61">
        <f t="shared" si="110"/>
        <v>0</v>
      </c>
      <c r="T162" s="61">
        <f t="shared" si="110"/>
        <v>0</v>
      </c>
      <c r="U162" s="61">
        <f t="shared" si="110"/>
        <v>0</v>
      </c>
      <c r="V162" s="61">
        <f t="shared" si="110"/>
        <v>0</v>
      </c>
      <c r="W162" s="61">
        <f t="shared" si="111"/>
        <v>0</v>
      </c>
      <c r="X162" s="61">
        <f t="shared" si="111"/>
        <v>0</v>
      </c>
      <c r="Y162" s="61">
        <f t="shared" si="111"/>
        <v>0</v>
      </c>
      <c r="Z162" s="61">
        <f t="shared" si="111"/>
        <v>0</v>
      </c>
      <c r="AA162" s="61">
        <f t="shared" si="111"/>
        <v>0</v>
      </c>
      <c r="AB162" s="61">
        <f t="shared" si="111"/>
        <v>0</v>
      </c>
      <c r="AC162" s="61">
        <f t="shared" si="111"/>
        <v>0</v>
      </c>
      <c r="AD162" s="61">
        <f t="shared" si="111"/>
        <v>0</v>
      </c>
      <c r="AE162" s="61">
        <f t="shared" si="111"/>
        <v>0</v>
      </c>
      <c r="AF162" s="61">
        <f t="shared" si="93"/>
        <v>0</v>
      </c>
      <c r="AG162" s="61">
        <f t="shared" si="95"/>
        <v>0</v>
      </c>
      <c r="AH162" s="61">
        <f t="shared" si="97"/>
        <v>0</v>
      </c>
      <c r="AI162" s="61">
        <f t="shared" si="99"/>
        <v>0</v>
      </c>
      <c r="AJ162" s="61">
        <f t="shared" si="101"/>
        <v>0</v>
      </c>
      <c r="AK162" s="61">
        <f t="shared" si="102"/>
        <v>0</v>
      </c>
      <c r="AL162" s="61">
        <f t="shared" si="103"/>
        <v>0</v>
      </c>
      <c r="AM162" s="61">
        <f t="shared" si="104"/>
        <v>0</v>
      </c>
      <c r="AN162" s="61">
        <f t="shared" si="105"/>
        <v>0</v>
      </c>
      <c r="AO162" s="61">
        <f t="shared" si="108"/>
        <v>0</v>
      </c>
      <c r="AP162" s="61">
        <f t="shared" si="109"/>
        <v>0</v>
      </c>
      <c r="AQ162" s="61"/>
    </row>
    <row r="163" spans="2:43" x14ac:dyDescent="0.25">
      <c r="B163" s="54">
        <v>0.895833333372138</v>
      </c>
      <c r="C163" s="54">
        <v>1.25000000010915</v>
      </c>
      <c r="D163" s="60"/>
      <c r="E163" s="91"/>
      <c r="G163" s="91">
        <f>SUMMARY!AK35</f>
        <v>0</v>
      </c>
      <c r="H163" s="92">
        <f t="shared" si="86"/>
        <v>0</v>
      </c>
      <c r="I163" s="180">
        <f>AP$132-AP$133</f>
        <v>0</v>
      </c>
      <c r="M163" s="61">
        <f t="shared" si="110"/>
        <v>0</v>
      </c>
      <c r="N163" s="61">
        <f t="shared" si="110"/>
        <v>0</v>
      </c>
      <c r="O163" s="61">
        <f t="shared" si="110"/>
        <v>0</v>
      </c>
      <c r="P163" s="61">
        <f t="shared" si="110"/>
        <v>0</v>
      </c>
      <c r="Q163" s="61">
        <f t="shared" si="110"/>
        <v>0</v>
      </c>
      <c r="R163" s="61">
        <f t="shared" si="110"/>
        <v>0</v>
      </c>
      <c r="S163" s="61">
        <f t="shared" si="110"/>
        <v>0</v>
      </c>
      <c r="T163" s="61">
        <f t="shared" si="110"/>
        <v>0</v>
      </c>
      <c r="U163" s="61">
        <f t="shared" si="110"/>
        <v>0</v>
      </c>
      <c r="V163" s="61">
        <f t="shared" si="110"/>
        <v>0</v>
      </c>
      <c r="W163" s="61">
        <f t="shared" si="111"/>
        <v>0</v>
      </c>
      <c r="X163" s="61">
        <f t="shared" si="111"/>
        <v>0</v>
      </c>
      <c r="Y163" s="61">
        <f t="shared" si="111"/>
        <v>0</v>
      </c>
      <c r="Z163" s="61">
        <f t="shared" si="111"/>
        <v>0</v>
      </c>
      <c r="AA163" s="61">
        <f t="shared" si="111"/>
        <v>0</v>
      </c>
      <c r="AB163" s="61">
        <f t="shared" si="111"/>
        <v>0</v>
      </c>
      <c r="AC163" s="61">
        <f t="shared" si="111"/>
        <v>0</v>
      </c>
      <c r="AD163" s="61">
        <f t="shared" si="111"/>
        <v>0</v>
      </c>
      <c r="AE163" s="61">
        <f t="shared" si="111"/>
        <v>0</v>
      </c>
      <c r="AF163" s="61">
        <f t="shared" si="93"/>
        <v>0</v>
      </c>
      <c r="AG163" s="61">
        <f t="shared" si="95"/>
        <v>0</v>
      </c>
      <c r="AH163" s="61">
        <f t="shared" si="97"/>
        <v>0</v>
      </c>
      <c r="AI163" s="61">
        <f t="shared" si="99"/>
        <v>0</v>
      </c>
      <c r="AJ163" s="61">
        <f t="shared" si="101"/>
        <v>0</v>
      </c>
      <c r="AK163" s="61">
        <f t="shared" si="102"/>
        <v>0</v>
      </c>
      <c r="AL163" s="61">
        <f t="shared" si="103"/>
        <v>0</v>
      </c>
      <c r="AM163" s="61">
        <f t="shared" si="104"/>
        <v>0</v>
      </c>
      <c r="AN163" s="61">
        <f t="shared" si="105"/>
        <v>0</v>
      </c>
      <c r="AO163" s="61">
        <f t="shared" si="108"/>
        <v>0</v>
      </c>
      <c r="AP163" s="61">
        <f t="shared" si="109"/>
        <v>0</v>
      </c>
      <c r="AQ163" s="61"/>
    </row>
    <row r="164" spans="2:43" x14ac:dyDescent="0.25">
      <c r="E164" s="91"/>
      <c r="G164" s="91"/>
      <c r="I164" s="180">
        <f>NCC!$Q$36</f>
        <v>0</v>
      </c>
    </row>
    <row r="170" spans="2:43" s="52" customFormat="1" x14ac:dyDescent="0.25">
      <c r="E170" s="53"/>
      <c r="F170" s="53"/>
      <c r="G170" s="53"/>
      <c r="H170" s="53"/>
      <c r="I170" s="53"/>
      <c r="J170" s="53"/>
      <c r="K170" s="58" t="s">
        <v>32</v>
      </c>
      <c r="L170" s="53"/>
      <c r="M170" s="84">
        <f>G175</f>
        <v>0</v>
      </c>
      <c r="N170" s="84">
        <f>M170+G176</f>
        <v>0</v>
      </c>
      <c r="O170" s="84">
        <f>N170+G177</f>
        <v>0</v>
      </c>
      <c r="P170" s="84">
        <f>+O170+G178</f>
        <v>0</v>
      </c>
      <c r="Q170" s="84">
        <f>P170+G179</f>
        <v>0</v>
      </c>
      <c r="R170" s="84">
        <f>Q170+G180</f>
        <v>0</v>
      </c>
      <c r="S170" s="84">
        <f>R170+G181</f>
        <v>0</v>
      </c>
      <c r="T170" s="84">
        <f>S170+G182</f>
        <v>0</v>
      </c>
      <c r="U170" s="84">
        <f>T170+G183-G175</f>
        <v>0</v>
      </c>
      <c r="V170" s="84">
        <f>U170+G184-G176</f>
        <v>0</v>
      </c>
      <c r="W170" s="84">
        <f>V170+G185-G177</f>
        <v>0</v>
      </c>
      <c r="X170" s="84">
        <f>W170+G186-G178</f>
        <v>0</v>
      </c>
      <c r="Y170" s="84">
        <f>X170+G187-G179</f>
        <v>0</v>
      </c>
      <c r="Z170" s="84">
        <f>Y170+G188-G180</f>
        <v>0</v>
      </c>
      <c r="AA170" s="84">
        <f>Z170+G189-G181</f>
        <v>0</v>
      </c>
      <c r="AB170" s="84">
        <f>AA170+G190-G182</f>
        <v>0</v>
      </c>
      <c r="AC170" s="84">
        <f>AB170+G191-G183</f>
        <v>0</v>
      </c>
      <c r="AD170" s="84">
        <f>AC170+G192-G184</f>
        <v>0</v>
      </c>
      <c r="AE170" s="84">
        <f>AD170+G193-G185</f>
        <v>0</v>
      </c>
      <c r="AF170" s="84">
        <f>AE170+G194-G186</f>
        <v>0</v>
      </c>
      <c r="AG170" s="84">
        <f>AF170+G195-G187</f>
        <v>0</v>
      </c>
      <c r="AH170" s="84">
        <f>AG170+G196-G188</f>
        <v>0</v>
      </c>
      <c r="AI170" s="84">
        <f>AH170+G197-G189</f>
        <v>0</v>
      </c>
      <c r="AJ170" s="84">
        <f>AI170+G198-G190</f>
        <v>0</v>
      </c>
      <c r="AK170" s="84">
        <f>AJ170+G199-G191</f>
        <v>0</v>
      </c>
      <c r="AL170" s="84">
        <f>AK170+G200-G192</f>
        <v>0</v>
      </c>
      <c r="AM170" s="84">
        <f>AL170+G201-G193</f>
        <v>0</v>
      </c>
      <c r="AN170" s="84">
        <f>AM170+G202-G194</f>
        <v>0</v>
      </c>
      <c r="AO170" s="84">
        <f>AN170+G203-G195</f>
        <v>0</v>
      </c>
      <c r="AP170" s="84">
        <f>AO170+G204-G196</f>
        <v>0</v>
      </c>
      <c r="AQ170" s="84">
        <f>SUM(M170:AP170)/8.5</f>
        <v>0</v>
      </c>
    </row>
    <row r="171" spans="2:43" x14ac:dyDescent="0.25">
      <c r="J171" s="57"/>
      <c r="K171" s="58" t="s">
        <v>31</v>
      </c>
      <c r="M171" s="84">
        <f>F175</f>
        <v>0</v>
      </c>
      <c r="N171" s="84">
        <f>M171+F176</f>
        <v>0</v>
      </c>
      <c r="O171" s="84">
        <f>N171+F177</f>
        <v>0</v>
      </c>
      <c r="P171" s="84">
        <f>O171+F178</f>
        <v>0</v>
      </c>
      <c r="Q171" s="84">
        <f>P171+F179</f>
        <v>0</v>
      </c>
      <c r="R171" s="84">
        <f>Q171+F180</f>
        <v>0</v>
      </c>
      <c r="S171" s="84">
        <f>R171+F181</f>
        <v>0</v>
      </c>
      <c r="T171" s="84">
        <f>S171+F182</f>
        <v>0</v>
      </c>
      <c r="U171" s="84">
        <f>T171+F183</f>
        <v>0</v>
      </c>
      <c r="V171" s="84">
        <f>U171</f>
        <v>0</v>
      </c>
      <c r="W171" s="84">
        <f>V171</f>
        <v>0</v>
      </c>
      <c r="X171" s="84">
        <f>W171</f>
        <v>0</v>
      </c>
      <c r="Y171" s="96"/>
      <c r="Z171" s="96"/>
      <c r="AA171" s="96"/>
      <c r="AB171" s="96"/>
      <c r="AC171" s="84">
        <f t="shared" ref="AC171:AN171" si="112">M171</f>
        <v>0</v>
      </c>
      <c r="AD171" s="84">
        <f t="shared" si="112"/>
        <v>0</v>
      </c>
      <c r="AE171" s="84">
        <f t="shared" si="112"/>
        <v>0</v>
      </c>
      <c r="AF171" s="84">
        <f t="shared" si="112"/>
        <v>0</v>
      </c>
      <c r="AG171" s="84">
        <f t="shared" si="112"/>
        <v>0</v>
      </c>
      <c r="AH171" s="84">
        <f t="shared" si="112"/>
        <v>0</v>
      </c>
      <c r="AI171" s="84">
        <f t="shared" si="112"/>
        <v>0</v>
      </c>
      <c r="AJ171" s="84">
        <f t="shared" si="112"/>
        <v>0</v>
      </c>
      <c r="AK171" s="84">
        <f t="shared" si="112"/>
        <v>0</v>
      </c>
      <c r="AL171" s="84">
        <f t="shared" si="112"/>
        <v>0</v>
      </c>
      <c r="AM171" s="84">
        <f t="shared" si="112"/>
        <v>0</v>
      </c>
      <c r="AN171" s="84">
        <f t="shared" si="112"/>
        <v>0</v>
      </c>
      <c r="AO171" s="84"/>
      <c r="AP171" s="84"/>
      <c r="AQ171" s="182"/>
    </row>
    <row r="172" spans="2:43" s="57" customFormat="1" ht="17.25" customHeight="1" x14ac:dyDescent="0.25">
      <c r="K172" s="58" t="s">
        <v>13</v>
      </c>
      <c r="M172" s="84"/>
      <c r="N172" s="84"/>
      <c r="O172" s="84"/>
      <c r="P172" s="84"/>
      <c r="Q172" s="84"/>
      <c r="R172" s="84"/>
      <c r="S172" s="84"/>
      <c r="T172" s="84"/>
      <c r="U172" s="84">
        <f>M171</f>
        <v>0</v>
      </c>
      <c r="V172" s="84">
        <f>N171</f>
        <v>0</v>
      </c>
      <c r="W172" s="84">
        <f>O171</f>
        <v>0</v>
      </c>
      <c r="X172" s="84">
        <f>P171</f>
        <v>0</v>
      </c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>
        <f>AC171</f>
        <v>0</v>
      </c>
      <c r="AL172" s="84">
        <f>AD171</f>
        <v>0</v>
      </c>
      <c r="AM172" s="84">
        <f>AE171</f>
        <v>0</v>
      </c>
      <c r="AN172" s="84">
        <f>AF171</f>
        <v>0</v>
      </c>
      <c r="AO172" s="84"/>
      <c r="AP172" s="85"/>
      <c r="AQ172" s="86"/>
    </row>
    <row r="173" spans="2:43" s="57" customFormat="1" ht="17.25" customHeight="1" x14ac:dyDescent="0.25">
      <c r="B173" s="57" t="s">
        <v>20</v>
      </c>
      <c r="E173" s="59" t="s">
        <v>8</v>
      </c>
      <c r="F173" s="59" t="s">
        <v>15</v>
      </c>
      <c r="G173" s="59" t="s">
        <v>32</v>
      </c>
      <c r="H173" s="59" t="s">
        <v>16</v>
      </c>
      <c r="J173" s="58" t="s">
        <v>9</v>
      </c>
      <c r="K173" s="58">
        <f>SUM(M173:AP173)/16</f>
        <v>0</v>
      </c>
      <c r="M173" s="87">
        <f t="shared" ref="M173:AP173" si="113">SUM(M175:M204)+M171+M170-M172</f>
        <v>0</v>
      </c>
      <c r="N173" s="87">
        <f t="shared" si="113"/>
        <v>0</v>
      </c>
      <c r="O173" s="87">
        <f t="shared" si="113"/>
        <v>0</v>
      </c>
      <c r="P173" s="87">
        <f t="shared" si="113"/>
        <v>0</v>
      </c>
      <c r="Q173" s="87">
        <f t="shared" si="113"/>
        <v>0</v>
      </c>
      <c r="R173" s="87">
        <f t="shared" si="113"/>
        <v>0</v>
      </c>
      <c r="S173" s="87">
        <f t="shared" si="113"/>
        <v>0</v>
      </c>
      <c r="T173" s="87">
        <f t="shared" si="113"/>
        <v>0</v>
      </c>
      <c r="U173" s="87">
        <f t="shared" si="113"/>
        <v>0</v>
      </c>
      <c r="V173" s="87">
        <f t="shared" si="113"/>
        <v>0</v>
      </c>
      <c r="W173" s="87">
        <f t="shared" si="113"/>
        <v>0</v>
      </c>
      <c r="X173" s="87">
        <f t="shared" si="113"/>
        <v>0</v>
      </c>
      <c r="Y173" s="87">
        <f t="shared" si="113"/>
        <v>0</v>
      </c>
      <c r="Z173" s="87">
        <f t="shared" si="113"/>
        <v>0</v>
      </c>
      <c r="AA173" s="87">
        <f t="shared" si="113"/>
        <v>0</v>
      </c>
      <c r="AB173" s="87">
        <f t="shared" si="113"/>
        <v>0</v>
      </c>
      <c r="AC173" s="87">
        <f t="shared" si="113"/>
        <v>0</v>
      </c>
      <c r="AD173" s="87">
        <f t="shared" si="113"/>
        <v>0</v>
      </c>
      <c r="AE173" s="87">
        <f t="shared" si="113"/>
        <v>0</v>
      </c>
      <c r="AF173" s="87">
        <f t="shared" si="113"/>
        <v>0</v>
      </c>
      <c r="AG173" s="87">
        <f t="shared" si="113"/>
        <v>0</v>
      </c>
      <c r="AH173" s="87">
        <f t="shared" si="113"/>
        <v>0</v>
      </c>
      <c r="AI173" s="87">
        <f t="shared" si="113"/>
        <v>0</v>
      </c>
      <c r="AJ173" s="87">
        <f t="shared" si="113"/>
        <v>0</v>
      </c>
      <c r="AK173" s="87">
        <f t="shared" si="113"/>
        <v>0</v>
      </c>
      <c r="AL173" s="87">
        <f t="shared" si="113"/>
        <v>0</v>
      </c>
      <c r="AM173" s="87">
        <f t="shared" si="113"/>
        <v>0</v>
      </c>
      <c r="AN173" s="87">
        <f t="shared" si="113"/>
        <v>0</v>
      </c>
      <c r="AO173" s="87">
        <f t="shared" si="113"/>
        <v>0</v>
      </c>
      <c r="AP173" s="87">
        <f t="shared" si="113"/>
        <v>0</v>
      </c>
      <c r="AQ173" s="87"/>
    </row>
    <row r="174" spans="2:43" s="88" customFormat="1" x14ac:dyDescent="0.25">
      <c r="E174" s="178">
        <f>SUM(E175:E204)</f>
        <v>0</v>
      </c>
      <c r="F174" s="178">
        <f>SUM(F175:F204)</f>
        <v>0</v>
      </c>
      <c r="G174" s="178">
        <f>SUM(G175:G204)</f>
        <v>0</v>
      </c>
      <c r="H174" s="178">
        <f>SUM(H175:H204)</f>
        <v>0</v>
      </c>
      <c r="I174" s="89"/>
      <c r="J174" s="89"/>
      <c r="K174" s="58" t="s">
        <v>7</v>
      </c>
      <c r="L174" s="89"/>
      <c r="M174" s="180">
        <f>SUMMARY!$I$6</f>
        <v>0</v>
      </c>
      <c r="N174" s="180">
        <f>SUMMARY!$I$7</f>
        <v>0</v>
      </c>
      <c r="O174" s="180">
        <f>SUMMARY!$I$8</f>
        <v>0</v>
      </c>
      <c r="P174" s="180">
        <f>SUMMARY!$I$9</f>
        <v>0</v>
      </c>
      <c r="Q174" s="180">
        <f>SUMMARY!$I$10</f>
        <v>0</v>
      </c>
      <c r="R174" s="180">
        <f>SUMMARY!$I$11</f>
        <v>0</v>
      </c>
      <c r="S174" s="180">
        <f>SUMMARY!$I$12</f>
        <v>0</v>
      </c>
      <c r="T174" s="180">
        <f>SUMMARY!$I$13</f>
        <v>0</v>
      </c>
      <c r="U174" s="180">
        <f>SUMMARY!$I$14</f>
        <v>0</v>
      </c>
      <c r="V174" s="180">
        <f>SUMMARY!$I$15</f>
        <v>0</v>
      </c>
      <c r="W174" s="180">
        <f>SUMMARY!$I$16</f>
        <v>0</v>
      </c>
      <c r="X174" s="180">
        <f>SUMMARY!$I$17</f>
        <v>0</v>
      </c>
      <c r="Y174" s="180">
        <f>SUMMARY!$I$18</f>
        <v>0</v>
      </c>
      <c r="Z174" s="180">
        <f>SUMMARY!$I$19</f>
        <v>0</v>
      </c>
      <c r="AA174" s="180">
        <f>SUMMARY!$I$20</f>
        <v>0</v>
      </c>
      <c r="AB174" s="180">
        <f>SUMMARY!$I$21</f>
        <v>0</v>
      </c>
      <c r="AC174" s="180">
        <f>SUMMARY!$I$22</f>
        <v>0</v>
      </c>
      <c r="AD174" s="180">
        <f>SUMMARY!$I$23</f>
        <v>0</v>
      </c>
      <c r="AE174" s="180">
        <f>SUMMARY!$I$24</f>
        <v>0</v>
      </c>
      <c r="AF174" s="180">
        <f>SUMMARY!$I$25</f>
        <v>0</v>
      </c>
      <c r="AG174" s="180">
        <f>SUMMARY!$I$26</f>
        <v>0</v>
      </c>
      <c r="AH174" s="180">
        <f>SUMMARY!$I$27</f>
        <v>0</v>
      </c>
      <c r="AI174" s="180">
        <f>SUMMARY!$I$28</f>
        <v>0</v>
      </c>
      <c r="AJ174" s="180">
        <f>SUMMARY!$I$29</f>
        <v>0</v>
      </c>
      <c r="AK174" s="180">
        <f>SUMMARY!$I$30</f>
        <v>0</v>
      </c>
      <c r="AL174" s="180">
        <f>SUMMARY!$I$31</f>
        <v>0</v>
      </c>
      <c r="AM174" s="180">
        <f>SUMMARY!$I$32</f>
        <v>0</v>
      </c>
      <c r="AN174" s="180">
        <f>SUMMARY!$I$33</f>
        <v>0</v>
      </c>
      <c r="AO174" s="180">
        <f>SUMMARY!$I$34</f>
        <v>0</v>
      </c>
      <c r="AP174" s="180">
        <f>SUMMARY!$I$35</f>
        <v>0</v>
      </c>
      <c r="AQ174" s="90"/>
    </row>
    <row r="175" spans="2:43" x14ac:dyDescent="0.25">
      <c r="B175" s="54">
        <v>0.29166666666424135</v>
      </c>
      <c r="C175" s="54">
        <v>0.645833333372138</v>
      </c>
      <c r="D175" s="60"/>
      <c r="E175" s="91">
        <f>SUMMARY!AA6</f>
        <v>0</v>
      </c>
      <c r="F175" s="91">
        <f>SUMMARY!AS6</f>
        <v>0</v>
      </c>
      <c r="G175" s="91">
        <f>SUMMARY!AL6</f>
        <v>0</v>
      </c>
      <c r="H175" s="92">
        <f t="shared" ref="H175:H204" si="114">SUM(E175:G175)</f>
        <v>0</v>
      </c>
      <c r="I175" s="180">
        <f>M$173-M$174</f>
        <v>0</v>
      </c>
      <c r="M175" s="61">
        <f t="shared" ref="M175:V176" si="115">IF(AND(M$2&gt;=$B175,M$2&lt;$C175),$E175,0)</f>
        <v>0</v>
      </c>
      <c r="N175" s="61">
        <f t="shared" si="115"/>
        <v>0</v>
      </c>
      <c r="O175" s="61">
        <f t="shared" si="115"/>
        <v>0</v>
      </c>
      <c r="P175" s="61">
        <f t="shared" si="115"/>
        <v>0</v>
      </c>
      <c r="Q175" s="61">
        <f t="shared" si="115"/>
        <v>0</v>
      </c>
      <c r="R175" s="61">
        <f t="shared" si="115"/>
        <v>0</v>
      </c>
      <c r="S175" s="61">
        <f t="shared" si="115"/>
        <v>0</v>
      </c>
      <c r="T175" s="61">
        <f t="shared" si="115"/>
        <v>0</v>
      </c>
      <c r="U175" s="61">
        <f t="shared" si="115"/>
        <v>0</v>
      </c>
      <c r="V175" s="61">
        <f t="shared" si="115"/>
        <v>0</v>
      </c>
      <c r="W175" s="61">
        <f t="shared" ref="W175:AF176" si="116">IF(AND(W$2&gt;=$B175,W$2&lt;$C175),$E175,0)</f>
        <v>0</v>
      </c>
      <c r="X175" s="61">
        <f t="shared" si="116"/>
        <v>0</v>
      </c>
      <c r="Y175" s="61">
        <f t="shared" si="116"/>
        <v>0</v>
      </c>
      <c r="Z175" s="61">
        <f t="shared" si="116"/>
        <v>0</v>
      </c>
      <c r="AA175" s="61">
        <f t="shared" si="116"/>
        <v>0</v>
      </c>
      <c r="AB175" s="61">
        <f t="shared" si="116"/>
        <v>0</v>
      </c>
      <c r="AC175" s="61">
        <f t="shared" si="116"/>
        <v>0</v>
      </c>
      <c r="AD175" s="61">
        <f t="shared" si="116"/>
        <v>0</v>
      </c>
      <c r="AE175" s="61">
        <f t="shared" si="116"/>
        <v>0</v>
      </c>
      <c r="AF175" s="61">
        <f t="shared" si="116"/>
        <v>0</v>
      </c>
      <c r="AG175" s="61">
        <f t="shared" ref="AG175:AP176" si="117">IF(AND(AG$2&gt;=$B175,AG$2&lt;$C175),$E175,0)</f>
        <v>0</v>
      </c>
      <c r="AH175" s="61">
        <f t="shared" si="117"/>
        <v>0</v>
      </c>
      <c r="AI175" s="61">
        <f t="shared" si="117"/>
        <v>0</v>
      </c>
      <c r="AJ175" s="61">
        <f t="shared" si="117"/>
        <v>0</v>
      </c>
      <c r="AK175" s="61">
        <f t="shared" si="117"/>
        <v>0</v>
      </c>
      <c r="AL175" s="61">
        <f t="shared" si="117"/>
        <v>0</v>
      </c>
      <c r="AM175" s="61">
        <f t="shared" si="117"/>
        <v>0</v>
      </c>
      <c r="AN175" s="61">
        <f t="shared" si="117"/>
        <v>0</v>
      </c>
      <c r="AO175" s="61">
        <f t="shared" si="117"/>
        <v>0</v>
      </c>
      <c r="AP175" s="61">
        <f t="shared" si="117"/>
        <v>0</v>
      </c>
      <c r="AQ175" s="61"/>
    </row>
    <row r="176" spans="2:43" x14ac:dyDescent="0.25">
      <c r="B176" s="54">
        <v>0.3125</v>
      </c>
      <c r="C176" s="54">
        <v>0.66666666670789698</v>
      </c>
      <c r="D176" s="60"/>
      <c r="E176" s="91">
        <f>SUMMARY!AA7</f>
        <v>0</v>
      </c>
      <c r="F176" s="91">
        <f>SUMMARY!AS7</f>
        <v>0</v>
      </c>
      <c r="G176" s="91">
        <f>SUMMARY!AL7</f>
        <v>0</v>
      </c>
      <c r="H176" s="92">
        <f t="shared" si="114"/>
        <v>0</v>
      </c>
      <c r="I176" s="180">
        <f>N$173-N$174</f>
        <v>0</v>
      </c>
      <c r="M176" s="61">
        <f t="shared" si="115"/>
        <v>0</v>
      </c>
      <c r="N176" s="61">
        <f t="shared" si="115"/>
        <v>0</v>
      </c>
      <c r="O176" s="61">
        <f t="shared" si="115"/>
        <v>0</v>
      </c>
      <c r="P176" s="61">
        <f t="shared" si="115"/>
        <v>0</v>
      </c>
      <c r="Q176" s="61">
        <f t="shared" si="115"/>
        <v>0</v>
      </c>
      <c r="R176" s="61">
        <f t="shared" si="115"/>
        <v>0</v>
      </c>
      <c r="S176" s="61">
        <f t="shared" si="115"/>
        <v>0</v>
      </c>
      <c r="T176" s="61">
        <f t="shared" si="115"/>
        <v>0</v>
      </c>
      <c r="U176" s="61">
        <f t="shared" si="115"/>
        <v>0</v>
      </c>
      <c r="V176" s="61">
        <f t="shared" si="115"/>
        <v>0</v>
      </c>
      <c r="W176" s="61">
        <f t="shared" si="116"/>
        <v>0</v>
      </c>
      <c r="X176" s="61">
        <f t="shared" si="116"/>
        <v>0</v>
      </c>
      <c r="Y176" s="61">
        <f t="shared" si="116"/>
        <v>0</v>
      </c>
      <c r="Z176" s="61">
        <f t="shared" si="116"/>
        <v>0</v>
      </c>
      <c r="AA176" s="61">
        <f t="shared" si="116"/>
        <v>0</v>
      </c>
      <c r="AB176" s="61">
        <f t="shared" si="116"/>
        <v>0</v>
      </c>
      <c r="AC176" s="61">
        <f t="shared" si="116"/>
        <v>0</v>
      </c>
      <c r="AD176" s="61">
        <f t="shared" si="116"/>
        <v>0</v>
      </c>
      <c r="AE176" s="61">
        <f t="shared" si="116"/>
        <v>0</v>
      </c>
      <c r="AF176" s="61">
        <f t="shared" si="116"/>
        <v>0</v>
      </c>
      <c r="AG176" s="61">
        <f t="shared" si="117"/>
        <v>0</v>
      </c>
      <c r="AH176" s="61">
        <f t="shared" si="117"/>
        <v>0</v>
      </c>
      <c r="AI176" s="61">
        <f t="shared" si="117"/>
        <v>0</v>
      </c>
      <c r="AJ176" s="61">
        <f t="shared" si="117"/>
        <v>0</v>
      </c>
      <c r="AK176" s="61">
        <f t="shared" si="117"/>
        <v>0</v>
      </c>
      <c r="AL176" s="61">
        <f t="shared" si="117"/>
        <v>0</v>
      </c>
      <c r="AM176" s="61">
        <f t="shared" si="117"/>
        <v>0</v>
      </c>
      <c r="AN176" s="61">
        <f t="shared" si="117"/>
        <v>0</v>
      </c>
      <c r="AO176" s="61">
        <f t="shared" si="117"/>
        <v>0</v>
      </c>
      <c r="AP176" s="61">
        <f t="shared" si="117"/>
        <v>0</v>
      </c>
      <c r="AQ176" s="61"/>
    </row>
    <row r="177" spans="2:43" x14ac:dyDescent="0.25">
      <c r="B177" s="54">
        <v>0.33333333333575865</v>
      </c>
      <c r="C177" s="54">
        <v>0.68750000004365597</v>
      </c>
      <c r="D177" s="60"/>
      <c r="E177" s="91">
        <f>SUMMARY!AA8</f>
        <v>0</v>
      </c>
      <c r="F177" s="91">
        <f>SUMMARY!AS8</f>
        <v>0</v>
      </c>
      <c r="G177" s="91">
        <f>SUMMARY!AL8</f>
        <v>0</v>
      </c>
      <c r="H177" s="92">
        <f t="shared" si="114"/>
        <v>0</v>
      </c>
      <c r="I177" s="180">
        <f>O$173-O$174</f>
        <v>0</v>
      </c>
      <c r="M177" s="61">
        <f t="shared" ref="M177:V186" si="118">IF(AND(M$2&gt;=$B177,M$2&lt;$C177),$E177,0)</f>
        <v>0</v>
      </c>
      <c r="N177" s="61">
        <f t="shared" si="118"/>
        <v>0</v>
      </c>
      <c r="O177" s="61">
        <f t="shared" si="118"/>
        <v>0</v>
      </c>
      <c r="P177" s="61">
        <f t="shared" si="118"/>
        <v>0</v>
      </c>
      <c r="Q177" s="61">
        <f t="shared" si="118"/>
        <v>0</v>
      </c>
      <c r="R177" s="61">
        <f t="shared" si="118"/>
        <v>0</v>
      </c>
      <c r="S177" s="61">
        <f t="shared" si="118"/>
        <v>0</v>
      </c>
      <c r="T177" s="61">
        <f t="shared" si="118"/>
        <v>0</v>
      </c>
      <c r="U177" s="61">
        <f t="shared" si="118"/>
        <v>0</v>
      </c>
      <c r="V177" s="61">
        <f t="shared" si="118"/>
        <v>0</v>
      </c>
      <c r="W177" s="61">
        <f t="shared" ref="W177:AE186" si="119">IF(AND(W$2&gt;=$B177,W$2&lt;$C177),$E177,0)</f>
        <v>0</v>
      </c>
      <c r="X177" s="61">
        <f t="shared" si="119"/>
        <v>0</v>
      </c>
      <c r="Y177" s="61">
        <f t="shared" si="119"/>
        <v>0</v>
      </c>
      <c r="Z177" s="61">
        <f t="shared" si="119"/>
        <v>0</v>
      </c>
      <c r="AA177" s="61">
        <f t="shared" si="119"/>
        <v>0</v>
      </c>
      <c r="AB177" s="61">
        <f t="shared" si="119"/>
        <v>0</v>
      </c>
      <c r="AC177" s="61">
        <f t="shared" si="119"/>
        <v>0</v>
      </c>
      <c r="AD177" s="61">
        <f t="shared" si="119"/>
        <v>0</v>
      </c>
      <c r="AE177" s="61">
        <f t="shared" si="119"/>
        <v>0</v>
      </c>
      <c r="AF177" s="61"/>
      <c r="AG177" s="61">
        <f t="shared" ref="AG177:AP177" si="120">IF(AND(AG$2&gt;=$B177,AG$2&lt;$C177),$E177,0)</f>
        <v>0</v>
      </c>
      <c r="AH177" s="61">
        <f t="shared" si="120"/>
        <v>0</v>
      </c>
      <c r="AI177" s="61">
        <f t="shared" si="120"/>
        <v>0</v>
      </c>
      <c r="AJ177" s="61">
        <f t="shared" si="120"/>
        <v>0</v>
      </c>
      <c r="AK177" s="61">
        <f t="shared" si="120"/>
        <v>0</v>
      </c>
      <c r="AL177" s="61">
        <f t="shared" si="120"/>
        <v>0</v>
      </c>
      <c r="AM177" s="61">
        <f t="shared" si="120"/>
        <v>0</v>
      </c>
      <c r="AN177" s="61">
        <f t="shared" si="120"/>
        <v>0</v>
      </c>
      <c r="AO177" s="61">
        <f t="shared" si="120"/>
        <v>0</v>
      </c>
      <c r="AP177" s="61">
        <f t="shared" si="120"/>
        <v>0</v>
      </c>
      <c r="AQ177" s="61"/>
    </row>
    <row r="178" spans="2:43" x14ac:dyDescent="0.25">
      <c r="B178" s="54">
        <v>0.35416666666424135</v>
      </c>
      <c r="C178" s="54">
        <v>0.70833333337941495</v>
      </c>
      <c r="D178" s="60"/>
      <c r="E178" s="91">
        <f>SUMMARY!AA9</f>
        <v>0</v>
      </c>
      <c r="F178" s="91">
        <f>SUMMARY!AS9</f>
        <v>0</v>
      </c>
      <c r="G178" s="91">
        <f>SUMMARY!AL9</f>
        <v>0</v>
      </c>
      <c r="H178" s="92">
        <f t="shared" si="114"/>
        <v>0</v>
      </c>
      <c r="I178" s="180">
        <f>P$173-P$174</f>
        <v>0</v>
      </c>
      <c r="M178" s="61">
        <f t="shared" si="118"/>
        <v>0</v>
      </c>
      <c r="N178" s="61">
        <f t="shared" si="118"/>
        <v>0</v>
      </c>
      <c r="O178" s="61">
        <f t="shared" si="118"/>
        <v>0</v>
      </c>
      <c r="P178" s="61">
        <f t="shared" si="118"/>
        <v>0</v>
      </c>
      <c r="Q178" s="61">
        <f t="shared" si="118"/>
        <v>0</v>
      </c>
      <c r="R178" s="61">
        <f t="shared" si="118"/>
        <v>0</v>
      </c>
      <c r="S178" s="61">
        <f t="shared" si="118"/>
        <v>0</v>
      </c>
      <c r="T178" s="61">
        <f t="shared" si="118"/>
        <v>0</v>
      </c>
      <c r="U178" s="61">
        <f t="shared" si="118"/>
        <v>0</v>
      </c>
      <c r="V178" s="61">
        <f t="shared" si="118"/>
        <v>0</v>
      </c>
      <c r="W178" s="61">
        <f t="shared" si="119"/>
        <v>0</v>
      </c>
      <c r="X178" s="61">
        <f t="shared" si="119"/>
        <v>0</v>
      </c>
      <c r="Y178" s="61">
        <f t="shared" si="119"/>
        <v>0</v>
      </c>
      <c r="Z178" s="61">
        <f t="shared" si="119"/>
        <v>0</v>
      </c>
      <c r="AA178" s="61">
        <f t="shared" si="119"/>
        <v>0</v>
      </c>
      <c r="AB178" s="61">
        <f t="shared" si="119"/>
        <v>0</v>
      </c>
      <c r="AC178" s="61">
        <f t="shared" si="119"/>
        <v>0</v>
      </c>
      <c r="AD178" s="61">
        <f t="shared" si="119"/>
        <v>0</v>
      </c>
      <c r="AE178" s="61">
        <f t="shared" si="119"/>
        <v>0</v>
      </c>
      <c r="AF178" s="61">
        <f t="shared" ref="AF178:AF204" si="121">IF(AND(AF$2&gt;=$B178,AF$2&lt;$C178),$E178,0)</f>
        <v>0</v>
      </c>
      <c r="AG178" s="61"/>
      <c r="AH178" s="61">
        <f t="shared" ref="AH178:AP178" si="122">IF(AND(AH$2&gt;=$B178,AH$2&lt;$C178),$E178,0)</f>
        <v>0</v>
      </c>
      <c r="AI178" s="61">
        <f t="shared" si="122"/>
        <v>0</v>
      </c>
      <c r="AJ178" s="61">
        <f t="shared" si="122"/>
        <v>0</v>
      </c>
      <c r="AK178" s="61">
        <f t="shared" si="122"/>
        <v>0</v>
      </c>
      <c r="AL178" s="61">
        <f t="shared" si="122"/>
        <v>0</v>
      </c>
      <c r="AM178" s="61">
        <f t="shared" si="122"/>
        <v>0</v>
      </c>
      <c r="AN178" s="61">
        <f t="shared" si="122"/>
        <v>0</v>
      </c>
      <c r="AO178" s="61">
        <f t="shared" si="122"/>
        <v>0</v>
      </c>
      <c r="AP178" s="61">
        <f t="shared" si="122"/>
        <v>0</v>
      </c>
      <c r="AQ178" s="61"/>
    </row>
    <row r="179" spans="2:43" x14ac:dyDescent="0.25">
      <c r="B179" s="54">
        <v>0.375</v>
      </c>
      <c r="C179" s="54">
        <v>0.72916666671517405</v>
      </c>
      <c r="D179" s="60"/>
      <c r="E179" s="91">
        <f>SUMMARY!AA10</f>
        <v>0</v>
      </c>
      <c r="F179" s="91">
        <f>SUMMARY!AS10</f>
        <v>0</v>
      </c>
      <c r="G179" s="91">
        <f>SUMMARY!AL10</f>
        <v>0</v>
      </c>
      <c r="H179" s="92">
        <f>SUM(E179:G179)</f>
        <v>0</v>
      </c>
      <c r="I179" s="180">
        <f>Q$173-Q$174</f>
        <v>0</v>
      </c>
      <c r="M179" s="61">
        <f t="shared" si="118"/>
        <v>0</v>
      </c>
      <c r="N179" s="61">
        <f t="shared" si="118"/>
        <v>0</v>
      </c>
      <c r="O179" s="61">
        <f t="shared" si="118"/>
        <v>0</v>
      </c>
      <c r="P179" s="61">
        <f t="shared" si="118"/>
        <v>0</v>
      </c>
      <c r="Q179" s="61">
        <f t="shared" si="118"/>
        <v>0</v>
      </c>
      <c r="R179" s="61">
        <f t="shared" si="118"/>
        <v>0</v>
      </c>
      <c r="S179" s="61">
        <f t="shared" si="118"/>
        <v>0</v>
      </c>
      <c r="T179" s="61">
        <f t="shared" si="118"/>
        <v>0</v>
      </c>
      <c r="U179" s="61">
        <f t="shared" si="118"/>
        <v>0</v>
      </c>
      <c r="V179" s="61">
        <f t="shared" si="118"/>
        <v>0</v>
      </c>
      <c r="W179" s="61">
        <f t="shared" si="119"/>
        <v>0</v>
      </c>
      <c r="X179" s="61">
        <f t="shared" si="119"/>
        <v>0</v>
      </c>
      <c r="Y179" s="61">
        <f t="shared" si="119"/>
        <v>0</v>
      </c>
      <c r="Z179" s="61">
        <f t="shared" si="119"/>
        <v>0</v>
      </c>
      <c r="AA179" s="61">
        <f t="shared" si="119"/>
        <v>0</v>
      </c>
      <c r="AB179" s="61">
        <f t="shared" si="119"/>
        <v>0</v>
      </c>
      <c r="AC179" s="61">
        <f t="shared" si="119"/>
        <v>0</v>
      </c>
      <c r="AD179" s="61">
        <f t="shared" si="119"/>
        <v>0</v>
      </c>
      <c r="AE179" s="61">
        <f t="shared" si="119"/>
        <v>0</v>
      </c>
      <c r="AF179" s="61">
        <f t="shared" si="121"/>
        <v>0</v>
      </c>
      <c r="AG179" s="61">
        <f t="shared" ref="AG179:AG204" si="123">IF(AND(AG$2&gt;=$B179,AG$2&lt;$C179),$E179,0)</f>
        <v>0</v>
      </c>
      <c r="AH179" s="61"/>
      <c r="AI179" s="61">
        <f t="shared" ref="AI179:AP179" si="124">IF(AND(AI$2&gt;=$B179,AI$2&lt;$C179),$E179,0)</f>
        <v>0</v>
      </c>
      <c r="AJ179" s="61">
        <f t="shared" si="124"/>
        <v>0</v>
      </c>
      <c r="AK179" s="61">
        <f t="shared" si="124"/>
        <v>0</v>
      </c>
      <c r="AL179" s="61">
        <f t="shared" si="124"/>
        <v>0</v>
      </c>
      <c r="AM179" s="61">
        <f t="shared" si="124"/>
        <v>0</v>
      </c>
      <c r="AN179" s="61">
        <f t="shared" si="124"/>
        <v>0</v>
      </c>
      <c r="AO179" s="61">
        <f t="shared" si="124"/>
        <v>0</v>
      </c>
      <c r="AP179" s="61">
        <f t="shared" si="124"/>
        <v>0</v>
      </c>
      <c r="AQ179" s="61"/>
    </row>
    <row r="180" spans="2:43" x14ac:dyDescent="0.25">
      <c r="B180" s="54">
        <v>0.39583333333575865</v>
      </c>
      <c r="C180" s="54">
        <v>0.75000000005093304</v>
      </c>
      <c r="D180" s="60"/>
      <c r="E180" s="91">
        <f>SUMMARY!AA11</f>
        <v>0</v>
      </c>
      <c r="F180" s="91">
        <f>SUMMARY!AS11</f>
        <v>0</v>
      </c>
      <c r="G180" s="91">
        <f>SUMMARY!AL11</f>
        <v>0</v>
      </c>
      <c r="H180" s="92">
        <f t="shared" si="114"/>
        <v>0</v>
      </c>
      <c r="I180" s="180">
        <f>R$173-R$174</f>
        <v>0</v>
      </c>
      <c r="M180" s="61">
        <f t="shared" si="118"/>
        <v>0</v>
      </c>
      <c r="N180" s="61">
        <f t="shared" si="118"/>
        <v>0</v>
      </c>
      <c r="O180" s="61">
        <f t="shared" si="118"/>
        <v>0</v>
      </c>
      <c r="P180" s="61">
        <f t="shared" si="118"/>
        <v>0</v>
      </c>
      <c r="Q180" s="61">
        <f t="shared" si="118"/>
        <v>0</v>
      </c>
      <c r="R180" s="61">
        <f t="shared" si="118"/>
        <v>0</v>
      </c>
      <c r="S180" s="61">
        <f t="shared" si="118"/>
        <v>0</v>
      </c>
      <c r="T180" s="61">
        <f t="shared" si="118"/>
        <v>0</v>
      </c>
      <c r="U180" s="61">
        <f t="shared" si="118"/>
        <v>0</v>
      </c>
      <c r="V180" s="61">
        <f t="shared" si="118"/>
        <v>0</v>
      </c>
      <c r="W180" s="61">
        <f t="shared" si="119"/>
        <v>0</v>
      </c>
      <c r="X180" s="61">
        <f t="shared" si="119"/>
        <v>0</v>
      </c>
      <c r="Y180" s="61">
        <f t="shared" si="119"/>
        <v>0</v>
      </c>
      <c r="Z180" s="61">
        <f t="shared" si="119"/>
        <v>0</v>
      </c>
      <c r="AA180" s="61">
        <f t="shared" si="119"/>
        <v>0</v>
      </c>
      <c r="AB180" s="61">
        <f t="shared" si="119"/>
        <v>0</v>
      </c>
      <c r="AC180" s="61">
        <f t="shared" si="119"/>
        <v>0</v>
      </c>
      <c r="AD180" s="61">
        <f t="shared" si="119"/>
        <v>0</v>
      </c>
      <c r="AE180" s="61">
        <f t="shared" si="119"/>
        <v>0</v>
      </c>
      <c r="AF180" s="61">
        <f t="shared" si="121"/>
        <v>0</v>
      </c>
      <c r="AG180" s="61">
        <f t="shared" si="123"/>
        <v>0</v>
      </c>
      <c r="AH180" s="61">
        <f t="shared" ref="AH180:AH204" si="125">IF(AND(AH$2&gt;=$B180,AH$2&lt;$C180),$E180,0)</f>
        <v>0</v>
      </c>
      <c r="AI180" s="61"/>
      <c r="AJ180" s="61">
        <f t="shared" ref="AJ180:AP180" si="126">IF(AND(AJ$2&gt;=$B180,AJ$2&lt;$C180),$E180,0)</f>
        <v>0</v>
      </c>
      <c r="AK180" s="61">
        <f t="shared" si="126"/>
        <v>0</v>
      </c>
      <c r="AL180" s="61">
        <f t="shared" si="126"/>
        <v>0</v>
      </c>
      <c r="AM180" s="61">
        <f t="shared" si="126"/>
        <v>0</v>
      </c>
      <c r="AN180" s="61">
        <f t="shared" si="126"/>
        <v>0</v>
      </c>
      <c r="AO180" s="61">
        <f t="shared" si="126"/>
        <v>0</v>
      </c>
      <c r="AP180" s="61">
        <f t="shared" si="126"/>
        <v>0</v>
      </c>
      <c r="AQ180" s="61"/>
    </row>
    <row r="181" spans="2:43" x14ac:dyDescent="0.25">
      <c r="B181" s="54">
        <v>0.41666666666424135</v>
      </c>
      <c r="C181" s="54">
        <v>0.77083333338669202</v>
      </c>
      <c r="D181" s="60"/>
      <c r="E181" s="91">
        <f>SUMMARY!AA12</f>
        <v>0</v>
      </c>
      <c r="F181" s="91">
        <f>SUMMARY!AS12</f>
        <v>0</v>
      </c>
      <c r="G181" s="91">
        <f>SUMMARY!AL12</f>
        <v>0</v>
      </c>
      <c r="H181" s="92">
        <f t="shared" si="114"/>
        <v>0</v>
      </c>
      <c r="I181" s="180">
        <f>S$173-S$174</f>
        <v>0</v>
      </c>
      <c r="M181" s="61">
        <f t="shared" si="118"/>
        <v>0</v>
      </c>
      <c r="N181" s="61">
        <f t="shared" si="118"/>
        <v>0</v>
      </c>
      <c r="O181" s="61">
        <f t="shared" si="118"/>
        <v>0</v>
      </c>
      <c r="P181" s="61">
        <f t="shared" si="118"/>
        <v>0</v>
      </c>
      <c r="Q181" s="61">
        <f t="shared" si="118"/>
        <v>0</v>
      </c>
      <c r="R181" s="61">
        <f t="shared" si="118"/>
        <v>0</v>
      </c>
      <c r="S181" s="61">
        <f t="shared" si="118"/>
        <v>0</v>
      </c>
      <c r="T181" s="61">
        <f t="shared" si="118"/>
        <v>0</v>
      </c>
      <c r="U181" s="61">
        <f t="shared" si="118"/>
        <v>0</v>
      </c>
      <c r="V181" s="61">
        <f t="shared" si="118"/>
        <v>0</v>
      </c>
      <c r="W181" s="61">
        <f t="shared" si="119"/>
        <v>0</v>
      </c>
      <c r="X181" s="61">
        <f t="shared" si="119"/>
        <v>0</v>
      </c>
      <c r="Y181" s="61">
        <f t="shared" si="119"/>
        <v>0</v>
      </c>
      <c r="Z181" s="61">
        <f t="shared" si="119"/>
        <v>0</v>
      </c>
      <c r="AA181" s="61">
        <f t="shared" si="119"/>
        <v>0</v>
      </c>
      <c r="AB181" s="61">
        <f t="shared" si="119"/>
        <v>0</v>
      </c>
      <c r="AC181" s="61">
        <f t="shared" si="119"/>
        <v>0</v>
      </c>
      <c r="AD181" s="61">
        <f t="shared" si="119"/>
        <v>0</v>
      </c>
      <c r="AE181" s="61">
        <f t="shared" si="119"/>
        <v>0</v>
      </c>
      <c r="AF181" s="61">
        <f t="shared" si="121"/>
        <v>0</v>
      </c>
      <c r="AG181" s="61">
        <f t="shared" si="123"/>
        <v>0</v>
      </c>
      <c r="AH181" s="61">
        <f t="shared" si="125"/>
        <v>0</v>
      </c>
      <c r="AI181" s="61">
        <f t="shared" ref="AI181:AI204" si="127">IF(AND(AI$2&gt;=$B181,AI$2&lt;$C181),$E181,0)</f>
        <v>0</v>
      </c>
      <c r="AJ181" s="61"/>
      <c r="AK181" s="61">
        <f t="shared" ref="AK181:AP181" si="128">IF(AND(AK$2&gt;=$B181,AK$2&lt;$C181),$E181,0)</f>
        <v>0</v>
      </c>
      <c r="AL181" s="61">
        <f t="shared" si="128"/>
        <v>0</v>
      </c>
      <c r="AM181" s="61">
        <f t="shared" si="128"/>
        <v>0</v>
      </c>
      <c r="AN181" s="61">
        <f t="shared" si="128"/>
        <v>0</v>
      </c>
      <c r="AO181" s="61">
        <f t="shared" si="128"/>
        <v>0</v>
      </c>
      <c r="AP181" s="61">
        <f t="shared" si="128"/>
        <v>0</v>
      </c>
      <c r="AQ181" s="61"/>
    </row>
    <row r="182" spans="2:43" x14ac:dyDescent="0.25">
      <c r="B182" s="54">
        <v>0.4375</v>
      </c>
      <c r="C182" s="54">
        <v>0.79166666672245101</v>
      </c>
      <c r="D182" s="60"/>
      <c r="E182" s="91">
        <f>SUMMARY!AA13</f>
        <v>0</v>
      </c>
      <c r="F182" s="91">
        <f>SUMMARY!AS13</f>
        <v>0</v>
      </c>
      <c r="G182" s="91">
        <f>SUMMARY!AL13</f>
        <v>0</v>
      </c>
      <c r="H182" s="92">
        <f t="shared" si="114"/>
        <v>0</v>
      </c>
      <c r="I182" s="180">
        <f>T$173-T$174</f>
        <v>0</v>
      </c>
      <c r="M182" s="61">
        <f t="shared" si="118"/>
        <v>0</v>
      </c>
      <c r="N182" s="61">
        <f t="shared" si="118"/>
        <v>0</v>
      </c>
      <c r="O182" s="61">
        <f t="shared" si="118"/>
        <v>0</v>
      </c>
      <c r="P182" s="61">
        <f t="shared" si="118"/>
        <v>0</v>
      </c>
      <c r="Q182" s="61">
        <f t="shared" si="118"/>
        <v>0</v>
      </c>
      <c r="R182" s="61">
        <f t="shared" si="118"/>
        <v>0</v>
      </c>
      <c r="S182" s="61">
        <f t="shared" si="118"/>
        <v>0</v>
      </c>
      <c r="T182" s="61">
        <f t="shared" si="118"/>
        <v>0</v>
      </c>
      <c r="U182" s="61">
        <f t="shared" si="118"/>
        <v>0</v>
      </c>
      <c r="V182" s="61">
        <f t="shared" si="118"/>
        <v>0</v>
      </c>
      <c r="W182" s="61">
        <f t="shared" si="119"/>
        <v>0</v>
      </c>
      <c r="X182" s="61">
        <f t="shared" si="119"/>
        <v>0</v>
      </c>
      <c r="Y182" s="61">
        <f t="shared" si="119"/>
        <v>0</v>
      </c>
      <c r="Z182" s="61">
        <f t="shared" si="119"/>
        <v>0</v>
      </c>
      <c r="AA182" s="61">
        <f t="shared" si="119"/>
        <v>0</v>
      </c>
      <c r="AB182" s="61">
        <f t="shared" si="119"/>
        <v>0</v>
      </c>
      <c r="AC182" s="61">
        <f t="shared" si="119"/>
        <v>0</v>
      </c>
      <c r="AD182" s="61">
        <f t="shared" si="119"/>
        <v>0</v>
      </c>
      <c r="AE182" s="61">
        <f t="shared" si="119"/>
        <v>0</v>
      </c>
      <c r="AF182" s="61">
        <f t="shared" si="121"/>
        <v>0</v>
      </c>
      <c r="AG182" s="61">
        <f t="shared" si="123"/>
        <v>0</v>
      </c>
      <c r="AH182" s="61">
        <f t="shared" si="125"/>
        <v>0</v>
      </c>
      <c r="AI182" s="61">
        <f t="shared" si="127"/>
        <v>0</v>
      </c>
      <c r="AJ182" s="61">
        <f t="shared" ref="AJ182:AJ204" si="129">IF(AND(AJ$2&gt;=$B182,AJ$2&lt;$C182),$E182,0)</f>
        <v>0</v>
      </c>
      <c r="AK182" s="61"/>
      <c r="AL182" s="61">
        <f>IF(AND(AL$2&gt;=$B182,AL$2&lt;$C182),$E182,0)</f>
        <v>0</v>
      </c>
      <c r="AM182" s="61">
        <f>IF(AND(AM$2&gt;=$B182,AM$2&lt;$C182),$E182,0)</f>
        <v>0</v>
      </c>
      <c r="AN182" s="61">
        <f>IF(AND(AN$2&gt;=$B182,AN$2&lt;$C182),$E182,0)</f>
        <v>0</v>
      </c>
      <c r="AO182" s="61">
        <f>IF(AND(AO$2&gt;=$B182,AO$2&lt;$C182),$E182,0)</f>
        <v>0</v>
      </c>
      <c r="AP182" s="61">
        <f>IF(AND(AP$2&gt;=$B182,AP$2&lt;$C182),$E182,0)</f>
        <v>0</v>
      </c>
      <c r="AQ182" s="61"/>
    </row>
    <row r="183" spans="2:43" x14ac:dyDescent="0.25">
      <c r="B183" s="54">
        <v>0.45833333333575865</v>
      </c>
      <c r="C183" s="54">
        <v>0.81250000005820999</v>
      </c>
      <c r="D183" s="60"/>
      <c r="E183" s="91">
        <f>SUMMARY!AA14</f>
        <v>0</v>
      </c>
      <c r="F183" s="91">
        <f>SUMMARY!AS14</f>
        <v>0</v>
      </c>
      <c r="G183" s="91">
        <f>SUMMARY!AL14</f>
        <v>0</v>
      </c>
      <c r="H183" s="92">
        <f t="shared" si="114"/>
        <v>0</v>
      </c>
      <c r="I183" s="180">
        <f>U$173-U$174</f>
        <v>0</v>
      </c>
      <c r="M183" s="61">
        <f t="shared" si="118"/>
        <v>0</v>
      </c>
      <c r="N183" s="61">
        <f t="shared" si="118"/>
        <v>0</v>
      </c>
      <c r="O183" s="61">
        <f t="shared" si="118"/>
        <v>0</v>
      </c>
      <c r="P183" s="61">
        <f t="shared" si="118"/>
        <v>0</v>
      </c>
      <c r="Q183" s="61">
        <f t="shared" si="118"/>
        <v>0</v>
      </c>
      <c r="R183" s="61">
        <f t="shared" si="118"/>
        <v>0</v>
      </c>
      <c r="S183" s="61">
        <f t="shared" si="118"/>
        <v>0</v>
      </c>
      <c r="T183" s="61">
        <f t="shared" si="118"/>
        <v>0</v>
      </c>
      <c r="U183" s="61">
        <f t="shared" si="118"/>
        <v>0</v>
      </c>
      <c r="V183" s="61">
        <f t="shared" si="118"/>
        <v>0</v>
      </c>
      <c r="W183" s="61">
        <f t="shared" si="119"/>
        <v>0</v>
      </c>
      <c r="X183" s="61">
        <f t="shared" si="119"/>
        <v>0</v>
      </c>
      <c r="Y183" s="61">
        <f t="shared" si="119"/>
        <v>0</v>
      </c>
      <c r="Z183" s="61">
        <f t="shared" si="119"/>
        <v>0</v>
      </c>
      <c r="AA183" s="61">
        <f t="shared" si="119"/>
        <v>0</v>
      </c>
      <c r="AB183" s="61">
        <f t="shared" si="119"/>
        <v>0</v>
      </c>
      <c r="AC183" s="61">
        <f t="shared" si="119"/>
        <v>0</v>
      </c>
      <c r="AD183" s="61">
        <f t="shared" si="119"/>
        <v>0</v>
      </c>
      <c r="AE183" s="61">
        <f t="shared" si="119"/>
        <v>0</v>
      </c>
      <c r="AF183" s="61">
        <f t="shared" si="121"/>
        <v>0</v>
      </c>
      <c r="AG183" s="61">
        <f t="shared" si="123"/>
        <v>0</v>
      </c>
      <c r="AH183" s="61">
        <f t="shared" si="125"/>
        <v>0</v>
      </c>
      <c r="AI183" s="61">
        <f t="shared" si="127"/>
        <v>0</v>
      </c>
      <c r="AJ183" s="61">
        <f t="shared" si="129"/>
        <v>0</v>
      </c>
      <c r="AK183" s="61">
        <f t="shared" ref="AK183:AK204" si="130">IF(AND(AK$2&gt;=$B183,AK$2&lt;$C183),$E183,0)</f>
        <v>0</v>
      </c>
      <c r="AL183" s="61"/>
      <c r="AM183" s="61">
        <f>IF(AND(AM$2&gt;=$B183,AM$2&lt;$C183),$E183,0)</f>
        <v>0</v>
      </c>
      <c r="AN183" s="61">
        <f>IF(AND(AN$2&gt;=$B183,AN$2&lt;$C183),$E183,0)</f>
        <v>0</v>
      </c>
      <c r="AO183" s="61">
        <f>IF(AND(AO$2&gt;=$B183,AO$2&lt;$C183),$E183,0)</f>
        <v>0</v>
      </c>
      <c r="AP183" s="61">
        <f>IF(AND(AP$2&gt;=$B183,AP$2&lt;$C183),$E183,0)</f>
        <v>0</v>
      </c>
      <c r="AQ183" s="61"/>
    </row>
    <row r="184" spans="2:43" x14ac:dyDescent="0.25">
      <c r="B184" s="54">
        <v>0.47916666666424135</v>
      </c>
      <c r="C184" s="54">
        <v>0.83333333339396898</v>
      </c>
      <c r="D184" s="60"/>
      <c r="E184" s="91">
        <f>SUMMARY!AA15</f>
        <v>0</v>
      </c>
      <c r="G184" s="91">
        <f>SUMMARY!AL15</f>
        <v>0</v>
      </c>
      <c r="H184" s="92">
        <f t="shared" si="114"/>
        <v>0</v>
      </c>
      <c r="I184" s="180">
        <f>V$173-V$174</f>
        <v>0</v>
      </c>
      <c r="M184" s="61">
        <f t="shared" si="118"/>
        <v>0</v>
      </c>
      <c r="N184" s="61">
        <f t="shared" si="118"/>
        <v>0</v>
      </c>
      <c r="O184" s="61">
        <f t="shared" si="118"/>
        <v>0</v>
      </c>
      <c r="P184" s="61">
        <f t="shared" si="118"/>
        <v>0</v>
      </c>
      <c r="Q184" s="61">
        <f t="shared" si="118"/>
        <v>0</v>
      </c>
      <c r="R184" s="61">
        <f t="shared" si="118"/>
        <v>0</v>
      </c>
      <c r="S184" s="61">
        <f t="shared" si="118"/>
        <v>0</v>
      </c>
      <c r="T184" s="61">
        <f t="shared" si="118"/>
        <v>0</v>
      </c>
      <c r="U184" s="61">
        <f t="shared" si="118"/>
        <v>0</v>
      </c>
      <c r="V184" s="61">
        <f t="shared" si="118"/>
        <v>0</v>
      </c>
      <c r="W184" s="61">
        <f t="shared" si="119"/>
        <v>0</v>
      </c>
      <c r="X184" s="61">
        <f t="shared" si="119"/>
        <v>0</v>
      </c>
      <c r="Y184" s="61">
        <f t="shared" si="119"/>
        <v>0</v>
      </c>
      <c r="Z184" s="61">
        <f t="shared" si="119"/>
        <v>0</v>
      </c>
      <c r="AA184" s="61">
        <f t="shared" si="119"/>
        <v>0</v>
      </c>
      <c r="AB184" s="61">
        <f t="shared" si="119"/>
        <v>0</v>
      </c>
      <c r="AC184" s="61">
        <f t="shared" si="119"/>
        <v>0</v>
      </c>
      <c r="AD184" s="61">
        <f t="shared" si="119"/>
        <v>0</v>
      </c>
      <c r="AE184" s="61">
        <f t="shared" si="119"/>
        <v>0</v>
      </c>
      <c r="AF184" s="61">
        <f t="shared" si="121"/>
        <v>0</v>
      </c>
      <c r="AG184" s="61">
        <f t="shared" si="123"/>
        <v>0</v>
      </c>
      <c r="AH184" s="61">
        <f t="shared" si="125"/>
        <v>0</v>
      </c>
      <c r="AI184" s="61">
        <f t="shared" si="127"/>
        <v>0</v>
      </c>
      <c r="AJ184" s="61">
        <f t="shared" si="129"/>
        <v>0</v>
      </c>
      <c r="AK184" s="61">
        <f t="shared" si="130"/>
        <v>0</v>
      </c>
      <c r="AL184" s="61">
        <f t="shared" ref="AL184:AL204" si="131">IF(AND(AL$2&gt;=$B184,AL$2&lt;$C184),$E184,0)</f>
        <v>0</v>
      </c>
      <c r="AM184" s="61"/>
      <c r="AN184" s="61">
        <f>IF(AND(AN$2&gt;=$B184,AN$2&lt;$C184),$E184,0)</f>
        <v>0</v>
      </c>
      <c r="AO184" s="61">
        <f>IF(AND(AO$2&gt;=$B184,AO$2&lt;$C184),$E184,0)</f>
        <v>0</v>
      </c>
      <c r="AP184" s="61">
        <f>IF(AND(AP$2&gt;=$B184,AP$2&lt;$C184),$E184,0)</f>
        <v>0</v>
      </c>
      <c r="AQ184" s="61"/>
    </row>
    <row r="185" spans="2:43" x14ac:dyDescent="0.25">
      <c r="B185" s="54">
        <v>0.5</v>
      </c>
      <c r="C185" s="54">
        <v>0.85416666672972796</v>
      </c>
      <c r="D185" s="60"/>
      <c r="E185" s="91">
        <f>SUMMARY!AA16</f>
        <v>0</v>
      </c>
      <c r="G185" s="91">
        <f>SUMMARY!AL16</f>
        <v>0</v>
      </c>
      <c r="H185" s="92">
        <f t="shared" si="114"/>
        <v>0</v>
      </c>
      <c r="I185" s="180">
        <f>W$173-W$174</f>
        <v>0</v>
      </c>
      <c r="M185" s="61">
        <f t="shared" si="118"/>
        <v>0</v>
      </c>
      <c r="N185" s="61">
        <f t="shared" si="118"/>
        <v>0</v>
      </c>
      <c r="O185" s="61">
        <f t="shared" si="118"/>
        <v>0</v>
      </c>
      <c r="P185" s="61">
        <f t="shared" si="118"/>
        <v>0</v>
      </c>
      <c r="Q185" s="61">
        <f t="shared" si="118"/>
        <v>0</v>
      </c>
      <c r="R185" s="61">
        <f t="shared" si="118"/>
        <v>0</v>
      </c>
      <c r="S185" s="61">
        <f t="shared" si="118"/>
        <v>0</v>
      </c>
      <c r="T185" s="61">
        <f t="shared" si="118"/>
        <v>0</v>
      </c>
      <c r="U185" s="61">
        <f t="shared" si="118"/>
        <v>0</v>
      </c>
      <c r="V185" s="61">
        <f t="shared" si="118"/>
        <v>0</v>
      </c>
      <c r="W185" s="61">
        <f t="shared" si="119"/>
        <v>0</v>
      </c>
      <c r="X185" s="61">
        <f t="shared" si="119"/>
        <v>0</v>
      </c>
      <c r="Y185" s="61">
        <f t="shared" si="119"/>
        <v>0</v>
      </c>
      <c r="Z185" s="61">
        <f t="shared" si="119"/>
        <v>0</v>
      </c>
      <c r="AA185" s="61">
        <f t="shared" si="119"/>
        <v>0</v>
      </c>
      <c r="AB185" s="61">
        <f t="shared" si="119"/>
        <v>0</v>
      </c>
      <c r="AC185" s="61">
        <f t="shared" si="119"/>
        <v>0</v>
      </c>
      <c r="AD185" s="61">
        <f t="shared" si="119"/>
        <v>0</v>
      </c>
      <c r="AE185" s="61">
        <f t="shared" si="119"/>
        <v>0</v>
      </c>
      <c r="AF185" s="61">
        <f t="shared" si="121"/>
        <v>0</v>
      </c>
      <c r="AG185" s="61">
        <f t="shared" si="123"/>
        <v>0</v>
      </c>
      <c r="AH185" s="61">
        <f t="shared" si="125"/>
        <v>0</v>
      </c>
      <c r="AI185" s="61">
        <f t="shared" si="127"/>
        <v>0</v>
      </c>
      <c r="AJ185" s="61">
        <f t="shared" si="129"/>
        <v>0</v>
      </c>
      <c r="AK185" s="61">
        <f t="shared" si="130"/>
        <v>0</v>
      </c>
      <c r="AL185" s="61">
        <f t="shared" si="131"/>
        <v>0</v>
      </c>
      <c r="AM185" s="61">
        <f t="shared" ref="AM185:AM204" si="132">IF(AND(AM$2&gt;=$B185,AM$2&lt;$C185),$E185,0)</f>
        <v>0</v>
      </c>
      <c r="AN185" s="61"/>
      <c r="AO185" s="61">
        <f>IF(AND(AO$2&gt;=$B185,AO$2&lt;$C185),$E185,0)</f>
        <v>0</v>
      </c>
      <c r="AP185" s="61">
        <f>IF(AND(AP$2&gt;=$B185,AP$2&lt;$C185),$E185,0)</f>
        <v>0</v>
      </c>
      <c r="AQ185" s="61"/>
    </row>
    <row r="186" spans="2:43" x14ac:dyDescent="0.25">
      <c r="B186" s="54">
        <v>0.52083333333575865</v>
      </c>
      <c r="C186" s="54">
        <v>0.87500000006548695</v>
      </c>
      <c r="D186" s="60"/>
      <c r="E186" s="91">
        <f>SUMMARY!AA17</f>
        <v>0</v>
      </c>
      <c r="G186" s="91">
        <f>SUMMARY!AL17</f>
        <v>0</v>
      </c>
      <c r="H186" s="92">
        <f t="shared" si="114"/>
        <v>0</v>
      </c>
      <c r="I186" s="180">
        <f>X$173-X$174</f>
        <v>0</v>
      </c>
      <c r="M186" s="61">
        <f t="shared" si="118"/>
        <v>0</v>
      </c>
      <c r="N186" s="61">
        <f t="shared" si="118"/>
        <v>0</v>
      </c>
      <c r="O186" s="61">
        <f t="shared" si="118"/>
        <v>0</v>
      </c>
      <c r="P186" s="61">
        <f t="shared" si="118"/>
        <v>0</v>
      </c>
      <c r="Q186" s="61">
        <f t="shared" si="118"/>
        <v>0</v>
      </c>
      <c r="R186" s="61">
        <f t="shared" si="118"/>
        <v>0</v>
      </c>
      <c r="S186" s="61">
        <f t="shared" si="118"/>
        <v>0</v>
      </c>
      <c r="T186" s="61">
        <f t="shared" si="118"/>
        <v>0</v>
      </c>
      <c r="U186" s="61">
        <f t="shared" si="118"/>
        <v>0</v>
      </c>
      <c r="V186" s="61">
        <f t="shared" si="118"/>
        <v>0</v>
      </c>
      <c r="W186" s="61">
        <f t="shared" si="119"/>
        <v>0</v>
      </c>
      <c r="X186" s="61">
        <f t="shared" si="119"/>
        <v>0</v>
      </c>
      <c r="Y186" s="61">
        <f t="shared" si="119"/>
        <v>0</v>
      </c>
      <c r="Z186" s="61">
        <f t="shared" si="119"/>
        <v>0</v>
      </c>
      <c r="AA186" s="61">
        <f t="shared" si="119"/>
        <v>0</v>
      </c>
      <c r="AB186" s="61">
        <f t="shared" si="119"/>
        <v>0</v>
      </c>
      <c r="AC186" s="61">
        <f t="shared" si="119"/>
        <v>0</v>
      </c>
      <c r="AD186" s="61">
        <f t="shared" si="119"/>
        <v>0</v>
      </c>
      <c r="AE186" s="61">
        <f t="shared" si="119"/>
        <v>0</v>
      </c>
      <c r="AF186" s="61">
        <f t="shared" si="121"/>
        <v>0</v>
      </c>
      <c r="AG186" s="61">
        <f t="shared" si="123"/>
        <v>0</v>
      </c>
      <c r="AH186" s="61">
        <f t="shared" si="125"/>
        <v>0</v>
      </c>
      <c r="AI186" s="61">
        <f t="shared" si="127"/>
        <v>0</v>
      </c>
      <c r="AJ186" s="61">
        <f t="shared" si="129"/>
        <v>0</v>
      </c>
      <c r="AK186" s="61">
        <f t="shared" si="130"/>
        <v>0</v>
      </c>
      <c r="AL186" s="61">
        <f t="shared" si="131"/>
        <v>0</v>
      </c>
      <c r="AM186" s="61">
        <f t="shared" si="132"/>
        <v>0</v>
      </c>
      <c r="AN186" s="61">
        <f t="shared" ref="AN186:AN204" si="133">IF(AND(AN$2&gt;=$B186,AN$2&lt;$C186),$E186,0)</f>
        <v>0</v>
      </c>
      <c r="AO186" s="61"/>
      <c r="AP186" s="61">
        <f>IF(AND(AP$2&gt;=$B186,AP$2&lt;$C186),$E186,0)</f>
        <v>0</v>
      </c>
      <c r="AQ186" s="61"/>
    </row>
    <row r="187" spans="2:43" x14ac:dyDescent="0.25">
      <c r="B187" s="54">
        <v>0.54166666666424135</v>
      </c>
      <c r="C187" s="54">
        <v>0.89583333340124605</v>
      </c>
      <c r="D187" s="60"/>
      <c r="E187" s="91">
        <f>SUMMARY!AA18</f>
        <v>0</v>
      </c>
      <c r="G187" s="91">
        <f>SUMMARY!AL18</f>
        <v>0</v>
      </c>
      <c r="H187" s="92">
        <f t="shared" si="114"/>
        <v>0</v>
      </c>
      <c r="I187" s="180">
        <f>Y$173-Y$174</f>
        <v>0</v>
      </c>
      <c r="M187" s="61">
        <f t="shared" ref="M187:V196" si="134">IF(AND(M$2&gt;=$B187,M$2&lt;$C187),$E187,0)</f>
        <v>0</v>
      </c>
      <c r="N187" s="61">
        <f t="shared" si="134"/>
        <v>0</v>
      </c>
      <c r="O187" s="61">
        <f t="shared" si="134"/>
        <v>0</v>
      </c>
      <c r="P187" s="61">
        <f t="shared" si="134"/>
        <v>0</v>
      </c>
      <c r="Q187" s="61">
        <f t="shared" si="134"/>
        <v>0</v>
      </c>
      <c r="R187" s="61">
        <f t="shared" si="134"/>
        <v>0</v>
      </c>
      <c r="S187" s="61">
        <f t="shared" si="134"/>
        <v>0</v>
      </c>
      <c r="T187" s="61">
        <f t="shared" si="134"/>
        <v>0</v>
      </c>
      <c r="U187" s="61">
        <f t="shared" si="134"/>
        <v>0</v>
      </c>
      <c r="V187" s="61">
        <f t="shared" si="134"/>
        <v>0</v>
      </c>
      <c r="W187" s="61">
        <f t="shared" ref="W187:AE196" si="135">IF(AND(W$2&gt;=$B187,W$2&lt;$C187),$E187,0)</f>
        <v>0</v>
      </c>
      <c r="X187" s="61">
        <f t="shared" si="135"/>
        <v>0</v>
      </c>
      <c r="Y187" s="61">
        <f t="shared" si="135"/>
        <v>0</v>
      </c>
      <c r="Z187" s="61">
        <f t="shared" si="135"/>
        <v>0</v>
      </c>
      <c r="AA187" s="61">
        <f t="shared" si="135"/>
        <v>0</v>
      </c>
      <c r="AB187" s="61">
        <f t="shared" si="135"/>
        <v>0</v>
      </c>
      <c r="AC187" s="61">
        <f t="shared" si="135"/>
        <v>0</v>
      </c>
      <c r="AD187" s="61">
        <f t="shared" si="135"/>
        <v>0</v>
      </c>
      <c r="AE187" s="61">
        <f t="shared" si="135"/>
        <v>0</v>
      </c>
      <c r="AF187" s="61">
        <f t="shared" si="121"/>
        <v>0</v>
      </c>
      <c r="AG187" s="61">
        <f t="shared" si="123"/>
        <v>0</v>
      </c>
      <c r="AH187" s="61">
        <f t="shared" si="125"/>
        <v>0</v>
      </c>
      <c r="AI187" s="61">
        <f t="shared" si="127"/>
        <v>0</v>
      </c>
      <c r="AJ187" s="61">
        <f t="shared" si="129"/>
        <v>0</v>
      </c>
      <c r="AK187" s="61">
        <f t="shared" si="130"/>
        <v>0</v>
      </c>
      <c r="AL187" s="61">
        <f t="shared" si="131"/>
        <v>0</v>
      </c>
      <c r="AM187" s="61">
        <f t="shared" si="132"/>
        <v>0</v>
      </c>
      <c r="AN187" s="61">
        <f t="shared" si="133"/>
        <v>0</v>
      </c>
      <c r="AO187" s="61">
        <f t="shared" ref="AO187:AO204" si="136">IF(AND(AO$2&gt;=$B187,AO$2&lt;$C187),$E187,0)</f>
        <v>0</v>
      </c>
      <c r="AP187" s="61"/>
      <c r="AQ187" s="61"/>
    </row>
    <row r="188" spans="2:43" x14ac:dyDescent="0.25">
      <c r="B188" s="54">
        <v>0.5625</v>
      </c>
      <c r="C188" s="54">
        <v>0.91666666673700503</v>
      </c>
      <c r="D188" s="60"/>
      <c r="E188" s="91">
        <f>SUMMARY!AA19</f>
        <v>0</v>
      </c>
      <c r="G188" s="91">
        <f>SUMMARY!AL19</f>
        <v>0</v>
      </c>
      <c r="H188" s="92">
        <f t="shared" si="114"/>
        <v>0</v>
      </c>
      <c r="I188" s="180">
        <f>Z$173-Z$174</f>
        <v>0</v>
      </c>
      <c r="M188" s="61">
        <f t="shared" si="134"/>
        <v>0</v>
      </c>
      <c r="N188" s="61">
        <f t="shared" si="134"/>
        <v>0</v>
      </c>
      <c r="O188" s="61">
        <f t="shared" si="134"/>
        <v>0</v>
      </c>
      <c r="P188" s="61">
        <f t="shared" si="134"/>
        <v>0</v>
      </c>
      <c r="Q188" s="61">
        <f t="shared" si="134"/>
        <v>0</v>
      </c>
      <c r="R188" s="61">
        <f t="shared" si="134"/>
        <v>0</v>
      </c>
      <c r="S188" s="61">
        <f t="shared" si="134"/>
        <v>0</v>
      </c>
      <c r="T188" s="61">
        <f t="shared" si="134"/>
        <v>0</v>
      </c>
      <c r="U188" s="61">
        <f t="shared" si="134"/>
        <v>0</v>
      </c>
      <c r="V188" s="61">
        <f t="shared" si="134"/>
        <v>0</v>
      </c>
      <c r="W188" s="61">
        <f t="shared" si="135"/>
        <v>0</v>
      </c>
      <c r="X188" s="61">
        <f t="shared" si="135"/>
        <v>0</v>
      </c>
      <c r="Y188" s="61">
        <f t="shared" si="135"/>
        <v>0</v>
      </c>
      <c r="Z188" s="61">
        <f t="shared" si="135"/>
        <v>0</v>
      </c>
      <c r="AA188" s="61">
        <f t="shared" si="135"/>
        <v>0</v>
      </c>
      <c r="AB188" s="61">
        <f t="shared" si="135"/>
        <v>0</v>
      </c>
      <c r="AC188" s="61">
        <f t="shared" si="135"/>
        <v>0</v>
      </c>
      <c r="AD188" s="61">
        <f t="shared" si="135"/>
        <v>0</v>
      </c>
      <c r="AE188" s="61">
        <f t="shared" si="135"/>
        <v>0</v>
      </c>
      <c r="AF188" s="61">
        <f t="shared" si="121"/>
        <v>0</v>
      </c>
      <c r="AG188" s="61">
        <f t="shared" si="123"/>
        <v>0</v>
      </c>
      <c r="AH188" s="61">
        <f t="shared" si="125"/>
        <v>0</v>
      </c>
      <c r="AI188" s="61">
        <f t="shared" si="127"/>
        <v>0</v>
      </c>
      <c r="AJ188" s="61">
        <f t="shared" si="129"/>
        <v>0</v>
      </c>
      <c r="AK188" s="61">
        <f t="shared" si="130"/>
        <v>0</v>
      </c>
      <c r="AL188" s="61">
        <f t="shared" si="131"/>
        <v>0</v>
      </c>
      <c r="AM188" s="61">
        <f t="shared" si="132"/>
        <v>0</v>
      </c>
      <c r="AN188" s="61">
        <f t="shared" si="133"/>
        <v>0</v>
      </c>
      <c r="AO188" s="61">
        <f t="shared" si="136"/>
        <v>0</v>
      </c>
      <c r="AP188" s="61">
        <f t="shared" ref="AP188:AP204" si="137">IF(AND(AP$2&gt;=$B188,AP$2&lt;$C188),$E188,0)</f>
        <v>0</v>
      </c>
      <c r="AQ188" s="61"/>
    </row>
    <row r="189" spans="2:43" x14ac:dyDescent="0.25">
      <c r="B189" s="54">
        <v>0.58333333333575899</v>
      </c>
      <c r="C189" s="54">
        <v>0.93750000007276402</v>
      </c>
      <c r="D189" s="60"/>
      <c r="E189" s="91"/>
      <c r="G189" s="91">
        <f>SUMMARY!AL20</f>
        <v>0</v>
      </c>
      <c r="H189" s="92">
        <f t="shared" si="114"/>
        <v>0</v>
      </c>
      <c r="I189" s="180">
        <f>AA$173-AA$174</f>
        <v>0</v>
      </c>
      <c r="M189" s="61">
        <f t="shared" si="134"/>
        <v>0</v>
      </c>
      <c r="N189" s="61">
        <f t="shared" si="134"/>
        <v>0</v>
      </c>
      <c r="O189" s="61">
        <f t="shared" si="134"/>
        <v>0</v>
      </c>
      <c r="P189" s="61">
        <f t="shared" si="134"/>
        <v>0</v>
      </c>
      <c r="Q189" s="61">
        <f t="shared" si="134"/>
        <v>0</v>
      </c>
      <c r="R189" s="61">
        <f t="shared" si="134"/>
        <v>0</v>
      </c>
      <c r="S189" s="61">
        <f t="shared" si="134"/>
        <v>0</v>
      </c>
      <c r="T189" s="61">
        <f t="shared" si="134"/>
        <v>0</v>
      </c>
      <c r="U189" s="61">
        <f t="shared" si="134"/>
        <v>0</v>
      </c>
      <c r="V189" s="61">
        <f t="shared" si="134"/>
        <v>0</v>
      </c>
      <c r="W189" s="61">
        <f t="shared" si="135"/>
        <v>0</v>
      </c>
      <c r="X189" s="61">
        <f t="shared" si="135"/>
        <v>0</v>
      </c>
      <c r="Y189" s="61">
        <f t="shared" si="135"/>
        <v>0</v>
      </c>
      <c r="Z189" s="61">
        <f t="shared" si="135"/>
        <v>0</v>
      </c>
      <c r="AA189" s="61">
        <f t="shared" si="135"/>
        <v>0</v>
      </c>
      <c r="AB189" s="61">
        <f t="shared" si="135"/>
        <v>0</v>
      </c>
      <c r="AC189" s="61">
        <f t="shared" si="135"/>
        <v>0</v>
      </c>
      <c r="AD189" s="61">
        <f t="shared" si="135"/>
        <v>0</v>
      </c>
      <c r="AE189" s="61">
        <f t="shared" si="135"/>
        <v>0</v>
      </c>
      <c r="AF189" s="61">
        <f t="shared" si="121"/>
        <v>0</v>
      </c>
      <c r="AG189" s="61">
        <f t="shared" si="123"/>
        <v>0</v>
      </c>
      <c r="AH189" s="61">
        <f t="shared" si="125"/>
        <v>0</v>
      </c>
      <c r="AI189" s="61">
        <f t="shared" si="127"/>
        <v>0</v>
      </c>
      <c r="AJ189" s="61">
        <f t="shared" si="129"/>
        <v>0</v>
      </c>
      <c r="AK189" s="61">
        <f t="shared" si="130"/>
        <v>0</v>
      </c>
      <c r="AL189" s="61">
        <f t="shared" si="131"/>
        <v>0</v>
      </c>
      <c r="AM189" s="61">
        <f t="shared" si="132"/>
        <v>0</v>
      </c>
      <c r="AN189" s="61">
        <f t="shared" si="133"/>
        <v>0</v>
      </c>
      <c r="AO189" s="61">
        <f t="shared" si="136"/>
        <v>0</v>
      </c>
      <c r="AP189" s="61">
        <f t="shared" si="137"/>
        <v>0</v>
      </c>
      <c r="AQ189" s="61"/>
    </row>
    <row r="190" spans="2:43" x14ac:dyDescent="0.25">
      <c r="B190" s="54">
        <v>0.60416666667151697</v>
      </c>
      <c r="C190" s="54">
        <v>0.958333333408523</v>
      </c>
      <c r="D190" s="60"/>
      <c r="E190" s="91"/>
      <c r="G190" s="91">
        <f>SUMMARY!AL21</f>
        <v>0</v>
      </c>
      <c r="H190" s="92">
        <f t="shared" si="114"/>
        <v>0</v>
      </c>
      <c r="I190" s="180">
        <f>AB$173-AB$174</f>
        <v>0</v>
      </c>
      <c r="M190" s="61">
        <f t="shared" si="134"/>
        <v>0</v>
      </c>
      <c r="N190" s="61">
        <f t="shared" si="134"/>
        <v>0</v>
      </c>
      <c r="O190" s="61">
        <f t="shared" si="134"/>
        <v>0</v>
      </c>
      <c r="P190" s="61">
        <f t="shared" si="134"/>
        <v>0</v>
      </c>
      <c r="Q190" s="61">
        <f t="shared" si="134"/>
        <v>0</v>
      </c>
      <c r="R190" s="61">
        <f t="shared" si="134"/>
        <v>0</v>
      </c>
      <c r="S190" s="61">
        <f t="shared" si="134"/>
        <v>0</v>
      </c>
      <c r="T190" s="61">
        <f t="shared" si="134"/>
        <v>0</v>
      </c>
      <c r="U190" s="61">
        <f t="shared" si="134"/>
        <v>0</v>
      </c>
      <c r="V190" s="61">
        <f t="shared" si="134"/>
        <v>0</v>
      </c>
      <c r="W190" s="61">
        <f t="shared" si="135"/>
        <v>0</v>
      </c>
      <c r="X190" s="61">
        <f t="shared" si="135"/>
        <v>0</v>
      </c>
      <c r="Y190" s="61">
        <f t="shared" si="135"/>
        <v>0</v>
      </c>
      <c r="Z190" s="61">
        <f t="shared" si="135"/>
        <v>0</v>
      </c>
      <c r="AA190" s="61">
        <f t="shared" si="135"/>
        <v>0</v>
      </c>
      <c r="AB190" s="61">
        <f t="shared" si="135"/>
        <v>0</v>
      </c>
      <c r="AC190" s="61">
        <f t="shared" si="135"/>
        <v>0</v>
      </c>
      <c r="AD190" s="61">
        <f t="shared" si="135"/>
        <v>0</v>
      </c>
      <c r="AE190" s="61">
        <f t="shared" si="135"/>
        <v>0</v>
      </c>
      <c r="AF190" s="61">
        <f t="shared" si="121"/>
        <v>0</v>
      </c>
      <c r="AG190" s="61">
        <f t="shared" si="123"/>
        <v>0</v>
      </c>
      <c r="AH190" s="61">
        <f t="shared" si="125"/>
        <v>0</v>
      </c>
      <c r="AI190" s="61">
        <f t="shared" si="127"/>
        <v>0</v>
      </c>
      <c r="AJ190" s="61">
        <f t="shared" si="129"/>
        <v>0</v>
      </c>
      <c r="AK190" s="61">
        <f t="shared" si="130"/>
        <v>0</v>
      </c>
      <c r="AL190" s="61">
        <f t="shared" si="131"/>
        <v>0</v>
      </c>
      <c r="AM190" s="61">
        <f t="shared" si="132"/>
        <v>0</v>
      </c>
      <c r="AN190" s="61">
        <f t="shared" si="133"/>
        <v>0</v>
      </c>
      <c r="AO190" s="61">
        <f t="shared" si="136"/>
        <v>0</v>
      </c>
      <c r="AP190" s="61">
        <f t="shared" si="137"/>
        <v>0</v>
      </c>
      <c r="AQ190" s="61"/>
    </row>
    <row r="191" spans="2:43" x14ac:dyDescent="0.25">
      <c r="B191" s="54">
        <v>0.62500000000727596</v>
      </c>
      <c r="C191" s="54">
        <v>0.97916666674428199</v>
      </c>
      <c r="D191" s="60"/>
      <c r="E191" s="91"/>
      <c r="G191" s="91">
        <f>SUMMARY!AL22</f>
        <v>0</v>
      </c>
      <c r="H191" s="92">
        <f t="shared" si="114"/>
        <v>0</v>
      </c>
      <c r="I191" s="180">
        <f>AC$173-AC$174</f>
        <v>0</v>
      </c>
      <c r="M191" s="61">
        <f t="shared" si="134"/>
        <v>0</v>
      </c>
      <c r="N191" s="61">
        <f t="shared" si="134"/>
        <v>0</v>
      </c>
      <c r="O191" s="61">
        <f t="shared" si="134"/>
        <v>0</v>
      </c>
      <c r="P191" s="61">
        <f t="shared" si="134"/>
        <v>0</v>
      </c>
      <c r="Q191" s="61">
        <f t="shared" si="134"/>
        <v>0</v>
      </c>
      <c r="R191" s="61">
        <f t="shared" si="134"/>
        <v>0</v>
      </c>
      <c r="S191" s="61">
        <f t="shared" si="134"/>
        <v>0</v>
      </c>
      <c r="T191" s="61">
        <f t="shared" si="134"/>
        <v>0</v>
      </c>
      <c r="U191" s="61">
        <f t="shared" si="134"/>
        <v>0</v>
      </c>
      <c r="V191" s="61">
        <f t="shared" si="134"/>
        <v>0</v>
      </c>
      <c r="W191" s="61">
        <f t="shared" si="135"/>
        <v>0</v>
      </c>
      <c r="X191" s="61">
        <f t="shared" si="135"/>
        <v>0</v>
      </c>
      <c r="Y191" s="61">
        <f t="shared" si="135"/>
        <v>0</v>
      </c>
      <c r="Z191" s="61">
        <f t="shared" si="135"/>
        <v>0</v>
      </c>
      <c r="AA191" s="61">
        <f t="shared" si="135"/>
        <v>0</v>
      </c>
      <c r="AB191" s="61">
        <f t="shared" si="135"/>
        <v>0</v>
      </c>
      <c r="AC191" s="61">
        <f t="shared" si="135"/>
        <v>0</v>
      </c>
      <c r="AD191" s="61">
        <f t="shared" si="135"/>
        <v>0</v>
      </c>
      <c r="AE191" s="61">
        <f t="shared" si="135"/>
        <v>0</v>
      </c>
      <c r="AF191" s="61">
        <f t="shared" si="121"/>
        <v>0</v>
      </c>
      <c r="AG191" s="61">
        <f t="shared" si="123"/>
        <v>0</v>
      </c>
      <c r="AH191" s="61">
        <f t="shared" si="125"/>
        <v>0</v>
      </c>
      <c r="AI191" s="61">
        <f t="shared" si="127"/>
        <v>0</v>
      </c>
      <c r="AJ191" s="61">
        <f t="shared" si="129"/>
        <v>0</v>
      </c>
      <c r="AK191" s="61">
        <f t="shared" si="130"/>
        <v>0</v>
      </c>
      <c r="AL191" s="61">
        <f t="shared" si="131"/>
        <v>0</v>
      </c>
      <c r="AM191" s="61">
        <f t="shared" si="132"/>
        <v>0</v>
      </c>
      <c r="AN191" s="61">
        <f t="shared" si="133"/>
        <v>0</v>
      </c>
      <c r="AO191" s="61">
        <f t="shared" si="136"/>
        <v>0</v>
      </c>
      <c r="AP191" s="61">
        <f t="shared" si="137"/>
        <v>0</v>
      </c>
      <c r="AQ191" s="61"/>
    </row>
    <row r="192" spans="2:43" x14ac:dyDescent="0.25">
      <c r="B192" s="54">
        <v>0.64583333334303406</v>
      </c>
      <c r="C192" s="54">
        <v>1.00000000008004</v>
      </c>
      <c r="D192" s="60"/>
      <c r="E192" s="91"/>
      <c r="G192" s="91">
        <f>SUMMARY!AL23</f>
        <v>0</v>
      </c>
      <c r="H192" s="92">
        <f t="shared" si="114"/>
        <v>0</v>
      </c>
      <c r="I192" s="180">
        <f>AD$173-AD$174</f>
        <v>0</v>
      </c>
      <c r="M192" s="61">
        <f t="shared" si="134"/>
        <v>0</v>
      </c>
      <c r="N192" s="61">
        <f t="shared" si="134"/>
        <v>0</v>
      </c>
      <c r="O192" s="61">
        <f t="shared" si="134"/>
        <v>0</v>
      </c>
      <c r="P192" s="61">
        <f t="shared" si="134"/>
        <v>0</v>
      </c>
      <c r="Q192" s="61">
        <f t="shared" si="134"/>
        <v>0</v>
      </c>
      <c r="R192" s="61">
        <f t="shared" si="134"/>
        <v>0</v>
      </c>
      <c r="S192" s="61">
        <f t="shared" si="134"/>
        <v>0</v>
      </c>
      <c r="T192" s="61">
        <f t="shared" si="134"/>
        <v>0</v>
      </c>
      <c r="U192" s="61">
        <f t="shared" si="134"/>
        <v>0</v>
      </c>
      <c r="V192" s="61">
        <f t="shared" si="134"/>
        <v>0</v>
      </c>
      <c r="W192" s="61">
        <f t="shared" si="135"/>
        <v>0</v>
      </c>
      <c r="X192" s="61">
        <f t="shared" si="135"/>
        <v>0</v>
      </c>
      <c r="Y192" s="61">
        <f t="shared" si="135"/>
        <v>0</v>
      </c>
      <c r="Z192" s="61">
        <f t="shared" si="135"/>
        <v>0</v>
      </c>
      <c r="AA192" s="61">
        <f t="shared" si="135"/>
        <v>0</v>
      </c>
      <c r="AB192" s="61">
        <f t="shared" si="135"/>
        <v>0</v>
      </c>
      <c r="AC192" s="61">
        <f t="shared" si="135"/>
        <v>0</v>
      </c>
      <c r="AD192" s="61">
        <f t="shared" si="135"/>
        <v>0</v>
      </c>
      <c r="AE192" s="61">
        <f t="shared" si="135"/>
        <v>0</v>
      </c>
      <c r="AF192" s="61">
        <f t="shared" si="121"/>
        <v>0</v>
      </c>
      <c r="AG192" s="61">
        <f t="shared" si="123"/>
        <v>0</v>
      </c>
      <c r="AH192" s="61">
        <f t="shared" si="125"/>
        <v>0</v>
      </c>
      <c r="AI192" s="61">
        <f t="shared" si="127"/>
        <v>0</v>
      </c>
      <c r="AJ192" s="61">
        <f t="shared" si="129"/>
        <v>0</v>
      </c>
      <c r="AK192" s="61">
        <f t="shared" si="130"/>
        <v>0</v>
      </c>
      <c r="AL192" s="61">
        <f t="shared" si="131"/>
        <v>0</v>
      </c>
      <c r="AM192" s="61">
        <f t="shared" si="132"/>
        <v>0</v>
      </c>
      <c r="AN192" s="61">
        <f t="shared" si="133"/>
        <v>0</v>
      </c>
      <c r="AO192" s="61">
        <f t="shared" si="136"/>
        <v>0</v>
      </c>
      <c r="AP192" s="61">
        <f t="shared" si="137"/>
        <v>0</v>
      </c>
      <c r="AQ192" s="61"/>
    </row>
    <row r="193" spans="2:43" x14ac:dyDescent="0.25">
      <c r="B193" s="54">
        <v>0.66666666667879304</v>
      </c>
      <c r="C193" s="54">
        <v>1.0208333334158</v>
      </c>
      <c r="D193" s="60"/>
      <c r="E193" s="91"/>
      <c r="G193" s="91">
        <f>SUMMARY!AL24</f>
        <v>0</v>
      </c>
      <c r="H193" s="92">
        <f t="shared" si="114"/>
        <v>0</v>
      </c>
      <c r="I193" s="180">
        <f>AE$173-AE$174</f>
        <v>0</v>
      </c>
      <c r="M193" s="61">
        <f t="shared" si="134"/>
        <v>0</v>
      </c>
      <c r="N193" s="61">
        <f t="shared" si="134"/>
        <v>0</v>
      </c>
      <c r="O193" s="61">
        <f t="shared" si="134"/>
        <v>0</v>
      </c>
      <c r="P193" s="61">
        <f t="shared" si="134"/>
        <v>0</v>
      </c>
      <c r="Q193" s="61">
        <f t="shared" si="134"/>
        <v>0</v>
      </c>
      <c r="R193" s="61">
        <f t="shared" si="134"/>
        <v>0</v>
      </c>
      <c r="S193" s="61">
        <f t="shared" si="134"/>
        <v>0</v>
      </c>
      <c r="T193" s="61">
        <f t="shared" si="134"/>
        <v>0</v>
      </c>
      <c r="U193" s="61">
        <f t="shared" si="134"/>
        <v>0</v>
      </c>
      <c r="V193" s="61">
        <f t="shared" si="134"/>
        <v>0</v>
      </c>
      <c r="W193" s="61">
        <f t="shared" si="135"/>
        <v>0</v>
      </c>
      <c r="X193" s="61">
        <f t="shared" si="135"/>
        <v>0</v>
      </c>
      <c r="Y193" s="61">
        <f t="shared" si="135"/>
        <v>0</v>
      </c>
      <c r="Z193" s="61">
        <f t="shared" si="135"/>
        <v>0</v>
      </c>
      <c r="AA193" s="61">
        <f t="shared" si="135"/>
        <v>0</v>
      </c>
      <c r="AB193" s="61">
        <f t="shared" si="135"/>
        <v>0</v>
      </c>
      <c r="AC193" s="61">
        <f t="shared" si="135"/>
        <v>0</v>
      </c>
      <c r="AD193" s="61">
        <f t="shared" si="135"/>
        <v>0</v>
      </c>
      <c r="AE193" s="61">
        <f t="shared" si="135"/>
        <v>0</v>
      </c>
      <c r="AF193" s="61">
        <f t="shared" si="121"/>
        <v>0</v>
      </c>
      <c r="AG193" s="61">
        <f t="shared" si="123"/>
        <v>0</v>
      </c>
      <c r="AH193" s="61">
        <f t="shared" si="125"/>
        <v>0</v>
      </c>
      <c r="AI193" s="61">
        <f t="shared" si="127"/>
        <v>0</v>
      </c>
      <c r="AJ193" s="61">
        <f t="shared" si="129"/>
        <v>0</v>
      </c>
      <c r="AK193" s="61">
        <f t="shared" si="130"/>
        <v>0</v>
      </c>
      <c r="AL193" s="61">
        <f t="shared" si="131"/>
        <v>0</v>
      </c>
      <c r="AM193" s="61">
        <f t="shared" si="132"/>
        <v>0</v>
      </c>
      <c r="AN193" s="61">
        <f t="shared" si="133"/>
        <v>0</v>
      </c>
      <c r="AO193" s="61">
        <f t="shared" si="136"/>
        <v>0</v>
      </c>
      <c r="AP193" s="61">
        <f t="shared" si="137"/>
        <v>0</v>
      </c>
      <c r="AQ193" s="61"/>
    </row>
    <row r="194" spans="2:43" x14ac:dyDescent="0.25">
      <c r="B194" s="54">
        <v>0.68750000001455203</v>
      </c>
      <c r="C194" s="54">
        <v>1.0416666667515599</v>
      </c>
      <c r="D194" s="60"/>
      <c r="E194" s="91"/>
      <c r="G194" s="91">
        <f>SUMMARY!AL25</f>
        <v>0</v>
      </c>
      <c r="H194" s="92">
        <f t="shared" si="114"/>
        <v>0</v>
      </c>
      <c r="I194" s="180">
        <f>AF$173-AF$174</f>
        <v>0</v>
      </c>
      <c r="M194" s="61">
        <f t="shared" si="134"/>
        <v>0</v>
      </c>
      <c r="N194" s="61">
        <f t="shared" si="134"/>
        <v>0</v>
      </c>
      <c r="O194" s="61">
        <f t="shared" si="134"/>
        <v>0</v>
      </c>
      <c r="P194" s="61">
        <f t="shared" si="134"/>
        <v>0</v>
      </c>
      <c r="Q194" s="61">
        <f t="shared" si="134"/>
        <v>0</v>
      </c>
      <c r="R194" s="61">
        <f t="shared" si="134"/>
        <v>0</v>
      </c>
      <c r="S194" s="61">
        <f t="shared" si="134"/>
        <v>0</v>
      </c>
      <c r="T194" s="61">
        <f t="shared" si="134"/>
        <v>0</v>
      </c>
      <c r="U194" s="61">
        <f t="shared" si="134"/>
        <v>0</v>
      </c>
      <c r="V194" s="61">
        <f t="shared" si="134"/>
        <v>0</v>
      </c>
      <c r="W194" s="61">
        <f t="shared" si="135"/>
        <v>0</v>
      </c>
      <c r="X194" s="61">
        <f t="shared" si="135"/>
        <v>0</v>
      </c>
      <c r="Y194" s="61">
        <f t="shared" si="135"/>
        <v>0</v>
      </c>
      <c r="Z194" s="61">
        <f t="shared" si="135"/>
        <v>0</v>
      </c>
      <c r="AA194" s="61">
        <f t="shared" si="135"/>
        <v>0</v>
      </c>
      <c r="AB194" s="61">
        <f t="shared" si="135"/>
        <v>0</v>
      </c>
      <c r="AC194" s="61">
        <f t="shared" si="135"/>
        <v>0</v>
      </c>
      <c r="AD194" s="61">
        <f t="shared" si="135"/>
        <v>0</v>
      </c>
      <c r="AE194" s="61">
        <f t="shared" si="135"/>
        <v>0</v>
      </c>
      <c r="AF194" s="61">
        <f t="shared" si="121"/>
        <v>0</v>
      </c>
      <c r="AG194" s="61">
        <f t="shared" si="123"/>
        <v>0</v>
      </c>
      <c r="AH194" s="61">
        <f t="shared" si="125"/>
        <v>0</v>
      </c>
      <c r="AI194" s="61">
        <f t="shared" si="127"/>
        <v>0</v>
      </c>
      <c r="AJ194" s="61">
        <f t="shared" si="129"/>
        <v>0</v>
      </c>
      <c r="AK194" s="61">
        <f t="shared" si="130"/>
        <v>0</v>
      </c>
      <c r="AL194" s="61">
        <f t="shared" si="131"/>
        <v>0</v>
      </c>
      <c r="AM194" s="61">
        <f t="shared" si="132"/>
        <v>0</v>
      </c>
      <c r="AN194" s="61">
        <f t="shared" si="133"/>
        <v>0</v>
      </c>
      <c r="AO194" s="61">
        <f t="shared" si="136"/>
        <v>0</v>
      </c>
      <c r="AP194" s="61">
        <f t="shared" si="137"/>
        <v>0</v>
      </c>
      <c r="AQ194" s="61"/>
    </row>
    <row r="195" spans="2:43" x14ac:dyDescent="0.25">
      <c r="B195" s="54">
        <v>0.70833333335031001</v>
      </c>
      <c r="C195" s="54">
        <v>1.0625000000873199</v>
      </c>
      <c r="D195" s="60"/>
      <c r="E195" s="91"/>
      <c r="G195" s="91">
        <f>SUMMARY!AL26</f>
        <v>0</v>
      </c>
      <c r="H195" s="92">
        <f t="shared" si="114"/>
        <v>0</v>
      </c>
      <c r="I195" s="180">
        <f>AG$173-AG$174</f>
        <v>0</v>
      </c>
      <c r="M195" s="61">
        <f t="shared" si="134"/>
        <v>0</v>
      </c>
      <c r="N195" s="61">
        <f t="shared" si="134"/>
        <v>0</v>
      </c>
      <c r="O195" s="61">
        <f t="shared" si="134"/>
        <v>0</v>
      </c>
      <c r="P195" s="61">
        <f t="shared" si="134"/>
        <v>0</v>
      </c>
      <c r="Q195" s="61">
        <f t="shared" si="134"/>
        <v>0</v>
      </c>
      <c r="R195" s="61">
        <f t="shared" si="134"/>
        <v>0</v>
      </c>
      <c r="S195" s="61">
        <f t="shared" si="134"/>
        <v>0</v>
      </c>
      <c r="T195" s="61">
        <f t="shared" si="134"/>
        <v>0</v>
      </c>
      <c r="U195" s="61">
        <f t="shared" si="134"/>
        <v>0</v>
      </c>
      <c r="V195" s="61">
        <f t="shared" si="134"/>
        <v>0</v>
      </c>
      <c r="W195" s="61">
        <f t="shared" si="135"/>
        <v>0</v>
      </c>
      <c r="X195" s="61">
        <f t="shared" si="135"/>
        <v>0</v>
      </c>
      <c r="Y195" s="61">
        <f t="shared" si="135"/>
        <v>0</v>
      </c>
      <c r="Z195" s="61">
        <f t="shared" si="135"/>
        <v>0</v>
      </c>
      <c r="AA195" s="61">
        <f t="shared" si="135"/>
        <v>0</v>
      </c>
      <c r="AB195" s="61">
        <f t="shared" si="135"/>
        <v>0</v>
      </c>
      <c r="AC195" s="61">
        <f t="shared" si="135"/>
        <v>0</v>
      </c>
      <c r="AD195" s="61">
        <f t="shared" si="135"/>
        <v>0</v>
      </c>
      <c r="AE195" s="61">
        <f t="shared" si="135"/>
        <v>0</v>
      </c>
      <c r="AF195" s="61">
        <f t="shared" si="121"/>
        <v>0</v>
      </c>
      <c r="AG195" s="61">
        <f t="shared" si="123"/>
        <v>0</v>
      </c>
      <c r="AH195" s="61">
        <f t="shared" si="125"/>
        <v>0</v>
      </c>
      <c r="AI195" s="61">
        <f t="shared" si="127"/>
        <v>0</v>
      </c>
      <c r="AJ195" s="61">
        <f t="shared" si="129"/>
        <v>0</v>
      </c>
      <c r="AK195" s="61">
        <f t="shared" si="130"/>
        <v>0</v>
      </c>
      <c r="AL195" s="61">
        <f t="shared" si="131"/>
        <v>0</v>
      </c>
      <c r="AM195" s="61">
        <f t="shared" si="132"/>
        <v>0</v>
      </c>
      <c r="AN195" s="61">
        <f t="shared" si="133"/>
        <v>0</v>
      </c>
      <c r="AO195" s="61">
        <f t="shared" si="136"/>
        <v>0</v>
      </c>
      <c r="AP195" s="61">
        <f t="shared" si="137"/>
        <v>0</v>
      </c>
      <c r="AQ195" s="61"/>
    </row>
    <row r="196" spans="2:43" x14ac:dyDescent="0.25">
      <c r="B196" s="54">
        <v>0.729166666686069</v>
      </c>
      <c r="C196" s="54">
        <v>1.0833333334230799</v>
      </c>
      <c r="D196" s="60"/>
      <c r="E196" s="91"/>
      <c r="G196" s="91">
        <f>SUMMARY!AL27</f>
        <v>0</v>
      </c>
      <c r="H196" s="92">
        <f t="shared" si="114"/>
        <v>0</v>
      </c>
      <c r="I196" s="180">
        <f>AH$173-AH$174</f>
        <v>0</v>
      </c>
      <c r="M196" s="61">
        <f t="shared" si="134"/>
        <v>0</v>
      </c>
      <c r="N196" s="61">
        <f t="shared" si="134"/>
        <v>0</v>
      </c>
      <c r="O196" s="61">
        <f t="shared" si="134"/>
        <v>0</v>
      </c>
      <c r="P196" s="61">
        <f t="shared" si="134"/>
        <v>0</v>
      </c>
      <c r="Q196" s="61">
        <f t="shared" si="134"/>
        <v>0</v>
      </c>
      <c r="R196" s="61">
        <f t="shared" si="134"/>
        <v>0</v>
      </c>
      <c r="S196" s="61">
        <f t="shared" si="134"/>
        <v>0</v>
      </c>
      <c r="T196" s="61">
        <f t="shared" si="134"/>
        <v>0</v>
      </c>
      <c r="U196" s="61">
        <f t="shared" si="134"/>
        <v>0</v>
      </c>
      <c r="V196" s="61">
        <f t="shared" si="134"/>
        <v>0</v>
      </c>
      <c r="W196" s="61">
        <f t="shared" si="135"/>
        <v>0</v>
      </c>
      <c r="X196" s="61">
        <f t="shared" si="135"/>
        <v>0</v>
      </c>
      <c r="Y196" s="61">
        <f t="shared" si="135"/>
        <v>0</v>
      </c>
      <c r="Z196" s="61">
        <f t="shared" si="135"/>
        <v>0</v>
      </c>
      <c r="AA196" s="61">
        <f t="shared" si="135"/>
        <v>0</v>
      </c>
      <c r="AB196" s="61">
        <f t="shared" si="135"/>
        <v>0</v>
      </c>
      <c r="AC196" s="61">
        <f t="shared" si="135"/>
        <v>0</v>
      </c>
      <c r="AD196" s="61">
        <f t="shared" si="135"/>
        <v>0</v>
      </c>
      <c r="AE196" s="61">
        <f t="shared" si="135"/>
        <v>0</v>
      </c>
      <c r="AF196" s="61">
        <f t="shared" si="121"/>
        <v>0</v>
      </c>
      <c r="AG196" s="61">
        <f t="shared" si="123"/>
        <v>0</v>
      </c>
      <c r="AH196" s="61">
        <f t="shared" si="125"/>
        <v>0</v>
      </c>
      <c r="AI196" s="61">
        <f t="shared" si="127"/>
        <v>0</v>
      </c>
      <c r="AJ196" s="61">
        <f t="shared" si="129"/>
        <v>0</v>
      </c>
      <c r="AK196" s="61">
        <f t="shared" si="130"/>
        <v>0</v>
      </c>
      <c r="AL196" s="61">
        <f t="shared" si="131"/>
        <v>0</v>
      </c>
      <c r="AM196" s="61">
        <f t="shared" si="132"/>
        <v>0</v>
      </c>
      <c r="AN196" s="61">
        <f t="shared" si="133"/>
        <v>0</v>
      </c>
      <c r="AO196" s="61">
        <f t="shared" si="136"/>
        <v>0</v>
      </c>
      <c r="AP196" s="61">
        <f t="shared" si="137"/>
        <v>0</v>
      </c>
      <c r="AQ196" s="61"/>
    </row>
    <row r="197" spans="2:43" x14ac:dyDescent="0.25">
      <c r="B197" s="54">
        <v>0.75000000002182798</v>
      </c>
      <c r="C197" s="54">
        <v>1.1041666667588399</v>
      </c>
      <c r="D197" s="60"/>
      <c r="E197" s="91"/>
      <c r="G197" s="91">
        <f>SUMMARY!AL28</f>
        <v>0</v>
      </c>
      <c r="H197" s="92">
        <f t="shared" si="114"/>
        <v>0</v>
      </c>
      <c r="I197" s="180">
        <f>AI$173-AI$174</f>
        <v>0</v>
      </c>
      <c r="M197" s="61">
        <f t="shared" ref="M197:V204" si="138">IF(AND(M$2&gt;=$B197,M$2&lt;$C197),$E197,0)</f>
        <v>0</v>
      </c>
      <c r="N197" s="61">
        <f t="shared" si="138"/>
        <v>0</v>
      </c>
      <c r="O197" s="61">
        <f t="shared" si="138"/>
        <v>0</v>
      </c>
      <c r="P197" s="61">
        <f t="shared" si="138"/>
        <v>0</v>
      </c>
      <c r="Q197" s="61">
        <f t="shared" si="138"/>
        <v>0</v>
      </c>
      <c r="R197" s="61">
        <f t="shared" si="138"/>
        <v>0</v>
      </c>
      <c r="S197" s="61">
        <f t="shared" si="138"/>
        <v>0</v>
      </c>
      <c r="T197" s="61">
        <f t="shared" si="138"/>
        <v>0</v>
      </c>
      <c r="U197" s="61">
        <f t="shared" si="138"/>
        <v>0</v>
      </c>
      <c r="V197" s="61">
        <f t="shared" si="138"/>
        <v>0</v>
      </c>
      <c r="W197" s="61">
        <f t="shared" ref="W197:AE204" si="139">IF(AND(W$2&gt;=$B197,W$2&lt;$C197),$E197,0)</f>
        <v>0</v>
      </c>
      <c r="X197" s="61">
        <f t="shared" si="139"/>
        <v>0</v>
      </c>
      <c r="Y197" s="61">
        <f t="shared" si="139"/>
        <v>0</v>
      </c>
      <c r="Z197" s="61">
        <f t="shared" si="139"/>
        <v>0</v>
      </c>
      <c r="AA197" s="61">
        <f t="shared" si="139"/>
        <v>0</v>
      </c>
      <c r="AB197" s="61">
        <f t="shared" si="139"/>
        <v>0</v>
      </c>
      <c r="AC197" s="61">
        <f t="shared" si="139"/>
        <v>0</v>
      </c>
      <c r="AD197" s="61">
        <f t="shared" si="139"/>
        <v>0</v>
      </c>
      <c r="AE197" s="61">
        <f t="shared" si="139"/>
        <v>0</v>
      </c>
      <c r="AF197" s="61">
        <f t="shared" si="121"/>
        <v>0</v>
      </c>
      <c r="AG197" s="61">
        <f t="shared" si="123"/>
        <v>0</v>
      </c>
      <c r="AH197" s="61">
        <f t="shared" si="125"/>
        <v>0</v>
      </c>
      <c r="AI197" s="61">
        <f t="shared" si="127"/>
        <v>0</v>
      </c>
      <c r="AJ197" s="61">
        <f t="shared" si="129"/>
        <v>0</v>
      </c>
      <c r="AK197" s="61">
        <f t="shared" si="130"/>
        <v>0</v>
      </c>
      <c r="AL197" s="61">
        <f t="shared" si="131"/>
        <v>0</v>
      </c>
      <c r="AM197" s="61">
        <f t="shared" si="132"/>
        <v>0</v>
      </c>
      <c r="AN197" s="61">
        <f t="shared" si="133"/>
        <v>0</v>
      </c>
      <c r="AO197" s="61">
        <f t="shared" si="136"/>
        <v>0</v>
      </c>
      <c r="AP197" s="61">
        <f t="shared" si="137"/>
        <v>0</v>
      </c>
      <c r="AQ197" s="61"/>
    </row>
    <row r="198" spans="2:43" x14ac:dyDescent="0.25">
      <c r="B198" s="54">
        <v>0.77083333335758597</v>
      </c>
      <c r="C198" s="54">
        <v>1.1250000000945899</v>
      </c>
      <c r="D198" s="60"/>
      <c r="E198" s="91"/>
      <c r="G198" s="91">
        <f>SUMMARY!AL29</f>
        <v>0</v>
      </c>
      <c r="H198" s="92">
        <f t="shared" si="114"/>
        <v>0</v>
      </c>
      <c r="I198" s="180">
        <f>AJ$173-AJ$174</f>
        <v>0</v>
      </c>
      <c r="M198" s="61">
        <f t="shared" si="138"/>
        <v>0</v>
      </c>
      <c r="N198" s="61">
        <f t="shared" si="138"/>
        <v>0</v>
      </c>
      <c r="O198" s="61">
        <f t="shared" si="138"/>
        <v>0</v>
      </c>
      <c r="P198" s="61">
        <f t="shared" si="138"/>
        <v>0</v>
      </c>
      <c r="Q198" s="61">
        <f t="shared" si="138"/>
        <v>0</v>
      </c>
      <c r="R198" s="61">
        <f t="shared" si="138"/>
        <v>0</v>
      </c>
      <c r="S198" s="61">
        <f t="shared" si="138"/>
        <v>0</v>
      </c>
      <c r="T198" s="61">
        <f t="shared" si="138"/>
        <v>0</v>
      </c>
      <c r="U198" s="61">
        <f t="shared" si="138"/>
        <v>0</v>
      </c>
      <c r="V198" s="61">
        <f t="shared" si="138"/>
        <v>0</v>
      </c>
      <c r="W198" s="61">
        <f t="shared" si="139"/>
        <v>0</v>
      </c>
      <c r="X198" s="61">
        <f t="shared" si="139"/>
        <v>0</v>
      </c>
      <c r="Y198" s="61">
        <f t="shared" si="139"/>
        <v>0</v>
      </c>
      <c r="Z198" s="61">
        <f t="shared" si="139"/>
        <v>0</v>
      </c>
      <c r="AA198" s="61">
        <f t="shared" si="139"/>
        <v>0</v>
      </c>
      <c r="AB198" s="61">
        <f t="shared" si="139"/>
        <v>0</v>
      </c>
      <c r="AC198" s="61">
        <f t="shared" si="139"/>
        <v>0</v>
      </c>
      <c r="AD198" s="61">
        <f t="shared" si="139"/>
        <v>0</v>
      </c>
      <c r="AE198" s="61">
        <f t="shared" si="139"/>
        <v>0</v>
      </c>
      <c r="AF198" s="61">
        <f t="shared" si="121"/>
        <v>0</v>
      </c>
      <c r="AG198" s="61">
        <f t="shared" si="123"/>
        <v>0</v>
      </c>
      <c r="AH198" s="61">
        <f t="shared" si="125"/>
        <v>0</v>
      </c>
      <c r="AI198" s="61">
        <f t="shared" si="127"/>
        <v>0</v>
      </c>
      <c r="AJ198" s="61">
        <f t="shared" si="129"/>
        <v>0</v>
      </c>
      <c r="AK198" s="61">
        <f t="shared" si="130"/>
        <v>0</v>
      </c>
      <c r="AL198" s="61">
        <f t="shared" si="131"/>
        <v>0</v>
      </c>
      <c r="AM198" s="61">
        <f t="shared" si="132"/>
        <v>0</v>
      </c>
      <c r="AN198" s="61">
        <f t="shared" si="133"/>
        <v>0</v>
      </c>
      <c r="AO198" s="61">
        <f t="shared" si="136"/>
        <v>0</v>
      </c>
      <c r="AP198" s="61">
        <f t="shared" si="137"/>
        <v>0</v>
      </c>
      <c r="AQ198" s="61"/>
    </row>
    <row r="199" spans="2:43" x14ac:dyDescent="0.25">
      <c r="B199" s="54">
        <v>0.79166666669334496</v>
      </c>
      <c r="C199" s="54">
        <v>1.1458333334303501</v>
      </c>
      <c r="D199" s="60"/>
      <c r="E199" s="91"/>
      <c r="G199" s="91">
        <f>SUMMARY!AL30</f>
        <v>0</v>
      </c>
      <c r="H199" s="92">
        <f t="shared" si="114"/>
        <v>0</v>
      </c>
      <c r="I199" s="180">
        <f>AK$173-AK$174</f>
        <v>0</v>
      </c>
      <c r="M199" s="61">
        <f t="shared" si="138"/>
        <v>0</v>
      </c>
      <c r="N199" s="61">
        <f t="shared" si="138"/>
        <v>0</v>
      </c>
      <c r="O199" s="61">
        <f t="shared" si="138"/>
        <v>0</v>
      </c>
      <c r="P199" s="61">
        <f t="shared" si="138"/>
        <v>0</v>
      </c>
      <c r="Q199" s="61">
        <f t="shared" si="138"/>
        <v>0</v>
      </c>
      <c r="R199" s="61">
        <f t="shared" si="138"/>
        <v>0</v>
      </c>
      <c r="S199" s="61">
        <f t="shared" si="138"/>
        <v>0</v>
      </c>
      <c r="T199" s="61">
        <f t="shared" si="138"/>
        <v>0</v>
      </c>
      <c r="U199" s="61">
        <f t="shared" si="138"/>
        <v>0</v>
      </c>
      <c r="V199" s="61">
        <f t="shared" si="138"/>
        <v>0</v>
      </c>
      <c r="W199" s="61">
        <f t="shared" si="139"/>
        <v>0</v>
      </c>
      <c r="X199" s="61">
        <f t="shared" si="139"/>
        <v>0</v>
      </c>
      <c r="Y199" s="61">
        <f t="shared" si="139"/>
        <v>0</v>
      </c>
      <c r="Z199" s="61">
        <f t="shared" si="139"/>
        <v>0</v>
      </c>
      <c r="AA199" s="61">
        <f t="shared" si="139"/>
        <v>0</v>
      </c>
      <c r="AB199" s="61">
        <f t="shared" si="139"/>
        <v>0</v>
      </c>
      <c r="AC199" s="61">
        <f t="shared" si="139"/>
        <v>0</v>
      </c>
      <c r="AD199" s="61">
        <f t="shared" si="139"/>
        <v>0</v>
      </c>
      <c r="AE199" s="61">
        <f t="shared" si="139"/>
        <v>0</v>
      </c>
      <c r="AF199" s="61">
        <f t="shared" si="121"/>
        <v>0</v>
      </c>
      <c r="AG199" s="61">
        <f t="shared" si="123"/>
        <v>0</v>
      </c>
      <c r="AH199" s="61">
        <f t="shared" si="125"/>
        <v>0</v>
      </c>
      <c r="AI199" s="61">
        <f t="shared" si="127"/>
        <v>0</v>
      </c>
      <c r="AJ199" s="61">
        <f t="shared" si="129"/>
        <v>0</v>
      </c>
      <c r="AK199" s="61">
        <f t="shared" si="130"/>
        <v>0</v>
      </c>
      <c r="AL199" s="61">
        <f t="shared" si="131"/>
        <v>0</v>
      </c>
      <c r="AM199" s="61">
        <f t="shared" si="132"/>
        <v>0</v>
      </c>
      <c r="AN199" s="61">
        <f t="shared" si="133"/>
        <v>0</v>
      </c>
      <c r="AO199" s="61">
        <f t="shared" si="136"/>
        <v>0</v>
      </c>
      <c r="AP199" s="61">
        <f t="shared" si="137"/>
        <v>0</v>
      </c>
      <c r="AQ199" s="61"/>
    </row>
    <row r="200" spans="2:43" x14ac:dyDescent="0.25">
      <c r="B200" s="54">
        <v>0.81250000002910305</v>
      </c>
      <c r="C200" s="54">
        <v>1.1666666667661101</v>
      </c>
      <c r="D200" s="60"/>
      <c r="E200" s="91"/>
      <c r="G200" s="91">
        <f>SUMMARY!AL31</f>
        <v>0</v>
      </c>
      <c r="H200" s="92">
        <f t="shared" si="114"/>
        <v>0</v>
      </c>
      <c r="I200" s="180">
        <f>AL$173-AL$174</f>
        <v>0</v>
      </c>
      <c r="M200" s="61">
        <f t="shared" si="138"/>
        <v>0</v>
      </c>
      <c r="N200" s="61">
        <f t="shared" si="138"/>
        <v>0</v>
      </c>
      <c r="O200" s="61">
        <f t="shared" si="138"/>
        <v>0</v>
      </c>
      <c r="P200" s="61">
        <f t="shared" si="138"/>
        <v>0</v>
      </c>
      <c r="Q200" s="61">
        <f t="shared" si="138"/>
        <v>0</v>
      </c>
      <c r="R200" s="61">
        <f t="shared" si="138"/>
        <v>0</v>
      </c>
      <c r="S200" s="61">
        <f t="shared" si="138"/>
        <v>0</v>
      </c>
      <c r="T200" s="61">
        <f t="shared" si="138"/>
        <v>0</v>
      </c>
      <c r="U200" s="61">
        <f t="shared" si="138"/>
        <v>0</v>
      </c>
      <c r="V200" s="61">
        <f t="shared" si="138"/>
        <v>0</v>
      </c>
      <c r="W200" s="61">
        <f t="shared" si="139"/>
        <v>0</v>
      </c>
      <c r="X200" s="61">
        <f t="shared" si="139"/>
        <v>0</v>
      </c>
      <c r="Y200" s="61">
        <f t="shared" si="139"/>
        <v>0</v>
      </c>
      <c r="Z200" s="61">
        <f t="shared" si="139"/>
        <v>0</v>
      </c>
      <c r="AA200" s="61">
        <f t="shared" si="139"/>
        <v>0</v>
      </c>
      <c r="AB200" s="61">
        <f t="shared" si="139"/>
        <v>0</v>
      </c>
      <c r="AC200" s="61">
        <f t="shared" si="139"/>
        <v>0</v>
      </c>
      <c r="AD200" s="61">
        <f t="shared" si="139"/>
        <v>0</v>
      </c>
      <c r="AE200" s="61">
        <f t="shared" si="139"/>
        <v>0</v>
      </c>
      <c r="AF200" s="61">
        <f t="shared" si="121"/>
        <v>0</v>
      </c>
      <c r="AG200" s="61">
        <f t="shared" si="123"/>
        <v>0</v>
      </c>
      <c r="AH200" s="61">
        <f t="shared" si="125"/>
        <v>0</v>
      </c>
      <c r="AI200" s="61">
        <f t="shared" si="127"/>
        <v>0</v>
      </c>
      <c r="AJ200" s="61">
        <f t="shared" si="129"/>
        <v>0</v>
      </c>
      <c r="AK200" s="61">
        <f t="shared" si="130"/>
        <v>0</v>
      </c>
      <c r="AL200" s="61">
        <f t="shared" si="131"/>
        <v>0</v>
      </c>
      <c r="AM200" s="61">
        <f t="shared" si="132"/>
        <v>0</v>
      </c>
      <c r="AN200" s="61">
        <f t="shared" si="133"/>
        <v>0</v>
      </c>
      <c r="AO200" s="61">
        <f t="shared" si="136"/>
        <v>0</v>
      </c>
      <c r="AP200" s="61">
        <f t="shared" si="137"/>
        <v>0</v>
      </c>
      <c r="AQ200" s="61"/>
    </row>
    <row r="201" spans="2:43" x14ac:dyDescent="0.25">
      <c r="B201" s="54">
        <v>0.83333333336486204</v>
      </c>
      <c r="C201" s="54">
        <v>1.1875000001018701</v>
      </c>
      <c r="D201" s="60"/>
      <c r="E201" s="91"/>
      <c r="G201" s="91">
        <f>SUMMARY!AL32</f>
        <v>0</v>
      </c>
      <c r="H201" s="92">
        <f t="shared" si="114"/>
        <v>0</v>
      </c>
      <c r="I201" s="180">
        <f>AM$173-AM$174</f>
        <v>0</v>
      </c>
      <c r="M201" s="61">
        <f t="shared" si="138"/>
        <v>0</v>
      </c>
      <c r="N201" s="61">
        <f t="shared" si="138"/>
        <v>0</v>
      </c>
      <c r="O201" s="61">
        <f t="shared" si="138"/>
        <v>0</v>
      </c>
      <c r="P201" s="61">
        <f t="shared" si="138"/>
        <v>0</v>
      </c>
      <c r="Q201" s="61">
        <f t="shared" si="138"/>
        <v>0</v>
      </c>
      <c r="R201" s="61">
        <f t="shared" si="138"/>
        <v>0</v>
      </c>
      <c r="S201" s="61">
        <f t="shared" si="138"/>
        <v>0</v>
      </c>
      <c r="T201" s="61">
        <f t="shared" si="138"/>
        <v>0</v>
      </c>
      <c r="U201" s="61">
        <f t="shared" si="138"/>
        <v>0</v>
      </c>
      <c r="V201" s="61">
        <f t="shared" si="138"/>
        <v>0</v>
      </c>
      <c r="W201" s="61">
        <f t="shared" si="139"/>
        <v>0</v>
      </c>
      <c r="X201" s="61">
        <f t="shared" si="139"/>
        <v>0</v>
      </c>
      <c r="Y201" s="61">
        <f t="shared" si="139"/>
        <v>0</v>
      </c>
      <c r="Z201" s="61">
        <f t="shared" si="139"/>
        <v>0</v>
      </c>
      <c r="AA201" s="61">
        <f t="shared" si="139"/>
        <v>0</v>
      </c>
      <c r="AB201" s="61">
        <f t="shared" si="139"/>
        <v>0</v>
      </c>
      <c r="AC201" s="61">
        <f t="shared" si="139"/>
        <v>0</v>
      </c>
      <c r="AD201" s="61">
        <f t="shared" si="139"/>
        <v>0</v>
      </c>
      <c r="AE201" s="61">
        <f t="shared" si="139"/>
        <v>0</v>
      </c>
      <c r="AF201" s="61">
        <f t="shared" si="121"/>
        <v>0</v>
      </c>
      <c r="AG201" s="61">
        <f t="shared" si="123"/>
        <v>0</v>
      </c>
      <c r="AH201" s="61">
        <f t="shared" si="125"/>
        <v>0</v>
      </c>
      <c r="AI201" s="61">
        <f t="shared" si="127"/>
        <v>0</v>
      </c>
      <c r="AJ201" s="61">
        <f t="shared" si="129"/>
        <v>0</v>
      </c>
      <c r="AK201" s="61">
        <f t="shared" si="130"/>
        <v>0</v>
      </c>
      <c r="AL201" s="61">
        <f t="shared" si="131"/>
        <v>0</v>
      </c>
      <c r="AM201" s="61">
        <f t="shared" si="132"/>
        <v>0</v>
      </c>
      <c r="AN201" s="61">
        <f t="shared" si="133"/>
        <v>0</v>
      </c>
      <c r="AO201" s="61">
        <f t="shared" si="136"/>
        <v>0</v>
      </c>
      <c r="AP201" s="61">
        <f t="shared" si="137"/>
        <v>0</v>
      </c>
      <c r="AQ201" s="61"/>
    </row>
    <row r="202" spans="2:43" x14ac:dyDescent="0.25">
      <c r="B202" s="54">
        <v>0.85416666670062102</v>
      </c>
      <c r="C202" s="54">
        <v>1.2083333334376301</v>
      </c>
      <c r="D202" s="60"/>
      <c r="E202" s="91"/>
      <c r="G202" s="91">
        <f>SUMMARY!AL33</f>
        <v>0</v>
      </c>
      <c r="H202" s="92">
        <f t="shared" si="114"/>
        <v>0</v>
      </c>
      <c r="I202" s="180">
        <f>AN$173-AN$174</f>
        <v>0</v>
      </c>
      <c r="M202" s="61">
        <f t="shared" si="138"/>
        <v>0</v>
      </c>
      <c r="N202" s="61">
        <f t="shared" si="138"/>
        <v>0</v>
      </c>
      <c r="O202" s="61">
        <f t="shared" si="138"/>
        <v>0</v>
      </c>
      <c r="P202" s="61">
        <f t="shared" si="138"/>
        <v>0</v>
      </c>
      <c r="Q202" s="61">
        <f t="shared" si="138"/>
        <v>0</v>
      </c>
      <c r="R202" s="61">
        <f t="shared" si="138"/>
        <v>0</v>
      </c>
      <c r="S202" s="61">
        <f t="shared" si="138"/>
        <v>0</v>
      </c>
      <c r="T202" s="61">
        <f t="shared" si="138"/>
        <v>0</v>
      </c>
      <c r="U202" s="61">
        <f t="shared" si="138"/>
        <v>0</v>
      </c>
      <c r="V202" s="61">
        <f t="shared" si="138"/>
        <v>0</v>
      </c>
      <c r="W202" s="61">
        <f t="shared" si="139"/>
        <v>0</v>
      </c>
      <c r="X202" s="61">
        <f t="shared" si="139"/>
        <v>0</v>
      </c>
      <c r="Y202" s="61">
        <f t="shared" si="139"/>
        <v>0</v>
      </c>
      <c r="Z202" s="61">
        <f t="shared" si="139"/>
        <v>0</v>
      </c>
      <c r="AA202" s="61">
        <f t="shared" si="139"/>
        <v>0</v>
      </c>
      <c r="AB202" s="61">
        <f t="shared" si="139"/>
        <v>0</v>
      </c>
      <c r="AC202" s="61">
        <f t="shared" si="139"/>
        <v>0</v>
      </c>
      <c r="AD202" s="61">
        <f t="shared" si="139"/>
        <v>0</v>
      </c>
      <c r="AE202" s="61">
        <f t="shared" si="139"/>
        <v>0</v>
      </c>
      <c r="AF202" s="61">
        <f t="shared" si="121"/>
        <v>0</v>
      </c>
      <c r="AG202" s="61">
        <f t="shared" si="123"/>
        <v>0</v>
      </c>
      <c r="AH202" s="61">
        <f t="shared" si="125"/>
        <v>0</v>
      </c>
      <c r="AI202" s="61">
        <f t="shared" si="127"/>
        <v>0</v>
      </c>
      <c r="AJ202" s="61">
        <f t="shared" si="129"/>
        <v>0</v>
      </c>
      <c r="AK202" s="61">
        <f t="shared" si="130"/>
        <v>0</v>
      </c>
      <c r="AL202" s="61">
        <f t="shared" si="131"/>
        <v>0</v>
      </c>
      <c r="AM202" s="61">
        <f t="shared" si="132"/>
        <v>0</v>
      </c>
      <c r="AN202" s="61">
        <f t="shared" si="133"/>
        <v>0</v>
      </c>
      <c r="AO202" s="61">
        <f t="shared" si="136"/>
        <v>0</v>
      </c>
      <c r="AP202" s="61">
        <f t="shared" si="137"/>
        <v>0</v>
      </c>
      <c r="AQ202" s="61"/>
    </row>
    <row r="203" spans="2:43" x14ac:dyDescent="0.25">
      <c r="B203" s="54">
        <v>0.87500000003637901</v>
      </c>
      <c r="C203" s="54">
        <v>1.22916666677339</v>
      </c>
      <c r="D203" s="60"/>
      <c r="E203" s="91"/>
      <c r="G203" s="91">
        <f>SUMMARY!AL34</f>
        <v>0</v>
      </c>
      <c r="H203" s="92">
        <f t="shared" si="114"/>
        <v>0</v>
      </c>
      <c r="I203" s="180">
        <f>AO$173-AO$174</f>
        <v>0</v>
      </c>
      <c r="M203" s="61">
        <f t="shared" si="138"/>
        <v>0</v>
      </c>
      <c r="N203" s="61">
        <f t="shared" si="138"/>
        <v>0</v>
      </c>
      <c r="O203" s="61">
        <f t="shared" si="138"/>
        <v>0</v>
      </c>
      <c r="P203" s="61">
        <f t="shared" si="138"/>
        <v>0</v>
      </c>
      <c r="Q203" s="61">
        <f t="shared" si="138"/>
        <v>0</v>
      </c>
      <c r="R203" s="61">
        <f t="shared" si="138"/>
        <v>0</v>
      </c>
      <c r="S203" s="61">
        <f t="shared" si="138"/>
        <v>0</v>
      </c>
      <c r="T203" s="61">
        <f t="shared" si="138"/>
        <v>0</v>
      </c>
      <c r="U203" s="61">
        <f t="shared" si="138"/>
        <v>0</v>
      </c>
      <c r="V203" s="61">
        <f t="shared" si="138"/>
        <v>0</v>
      </c>
      <c r="W203" s="61">
        <f t="shared" si="139"/>
        <v>0</v>
      </c>
      <c r="X203" s="61">
        <f t="shared" si="139"/>
        <v>0</v>
      </c>
      <c r="Y203" s="61">
        <f t="shared" si="139"/>
        <v>0</v>
      </c>
      <c r="Z203" s="61">
        <f t="shared" si="139"/>
        <v>0</v>
      </c>
      <c r="AA203" s="61">
        <f t="shared" si="139"/>
        <v>0</v>
      </c>
      <c r="AB203" s="61">
        <f t="shared" si="139"/>
        <v>0</v>
      </c>
      <c r="AC203" s="61">
        <f t="shared" si="139"/>
        <v>0</v>
      </c>
      <c r="AD203" s="61">
        <f t="shared" si="139"/>
        <v>0</v>
      </c>
      <c r="AE203" s="61">
        <f t="shared" si="139"/>
        <v>0</v>
      </c>
      <c r="AF203" s="61">
        <f t="shared" si="121"/>
        <v>0</v>
      </c>
      <c r="AG203" s="61">
        <f t="shared" si="123"/>
        <v>0</v>
      </c>
      <c r="AH203" s="61">
        <f t="shared" si="125"/>
        <v>0</v>
      </c>
      <c r="AI203" s="61">
        <f t="shared" si="127"/>
        <v>0</v>
      </c>
      <c r="AJ203" s="61">
        <f t="shared" si="129"/>
        <v>0</v>
      </c>
      <c r="AK203" s="61">
        <f t="shared" si="130"/>
        <v>0</v>
      </c>
      <c r="AL203" s="61">
        <f t="shared" si="131"/>
        <v>0</v>
      </c>
      <c r="AM203" s="61">
        <f t="shared" si="132"/>
        <v>0</v>
      </c>
      <c r="AN203" s="61">
        <f t="shared" si="133"/>
        <v>0</v>
      </c>
      <c r="AO203" s="61">
        <f t="shared" si="136"/>
        <v>0</v>
      </c>
      <c r="AP203" s="61">
        <f t="shared" si="137"/>
        <v>0</v>
      </c>
      <c r="AQ203" s="61"/>
    </row>
    <row r="204" spans="2:43" x14ac:dyDescent="0.25">
      <c r="B204" s="54">
        <v>0.895833333372138</v>
      </c>
      <c r="C204" s="54">
        <v>1.25000000010915</v>
      </c>
      <c r="D204" s="60"/>
      <c r="E204" s="91"/>
      <c r="G204" s="91">
        <f>SUMMARY!AL35</f>
        <v>0</v>
      </c>
      <c r="H204" s="92">
        <f t="shared" si="114"/>
        <v>0</v>
      </c>
      <c r="I204" s="180">
        <f>AP$173-AP$174</f>
        <v>0</v>
      </c>
      <c r="M204" s="61">
        <f t="shared" si="138"/>
        <v>0</v>
      </c>
      <c r="N204" s="61">
        <f t="shared" si="138"/>
        <v>0</v>
      </c>
      <c r="O204" s="61">
        <f t="shared" si="138"/>
        <v>0</v>
      </c>
      <c r="P204" s="61">
        <f t="shared" si="138"/>
        <v>0</v>
      </c>
      <c r="Q204" s="61">
        <f t="shared" si="138"/>
        <v>0</v>
      </c>
      <c r="R204" s="61">
        <f t="shared" si="138"/>
        <v>0</v>
      </c>
      <c r="S204" s="61">
        <f t="shared" si="138"/>
        <v>0</v>
      </c>
      <c r="T204" s="61">
        <f t="shared" si="138"/>
        <v>0</v>
      </c>
      <c r="U204" s="61">
        <f t="shared" si="138"/>
        <v>0</v>
      </c>
      <c r="V204" s="61">
        <f t="shared" si="138"/>
        <v>0</v>
      </c>
      <c r="W204" s="61">
        <f t="shared" si="139"/>
        <v>0</v>
      </c>
      <c r="X204" s="61">
        <f t="shared" si="139"/>
        <v>0</v>
      </c>
      <c r="Y204" s="61">
        <f t="shared" si="139"/>
        <v>0</v>
      </c>
      <c r="Z204" s="61">
        <f t="shared" si="139"/>
        <v>0</v>
      </c>
      <c r="AA204" s="61">
        <f t="shared" si="139"/>
        <v>0</v>
      </c>
      <c r="AB204" s="61">
        <f t="shared" si="139"/>
        <v>0</v>
      </c>
      <c r="AC204" s="61">
        <f t="shared" si="139"/>
        <v>0</v>
      </c>
      <c r="AD204" s="61">
        <f t="shared" si="139"/>
        <v>0</v>
      </c>
      <c r="AE204" s="61">
        <f t="shared" si="139"/>
        <v>0</v>
      </c>
      <c r="AF204" s="61">
        <f t="shared" si="121"/>
        <v>0</v>
      </c>
      <c r="AG204" s="61">
        <f t="shared" si="123"/>
        <v>0</v>
      </c>
      <c r="AH204" s="61">
        <f t="shared" si="125"/>
        <v>0</v>
      </c>
      <c r="AI204" s="61">
        <f t="shared" si="127"/>
        <v>0</v>
      </c>
      <c r="AJ204" s="61">
        <f t="shared" si="129"/>
        <v>0</v>
      </c>
      <c r="AK204" s="61">
        <f t="shared" si="130"/>
        <v>0</v>
      </c>
      <c r="AL204" s="61">
        <f t="shared" si="131"/>
        <v>0</v>
      </c>
      <c r="AM204" s="61">
        <f t="shared" si="132"/>
        <v>0</v>
      </c>
      <c r="AN204" s="61">
        <f t="shared" si="133"/>
        <v>0</v>
      </c>
      <c r="AO204" s="61">
        <f t="shared" si="136"/>
        <v>0</v>
      </c>
      <c r="AP204" s="61">
        <f t="shared" si="137"/>
        <v>0</v>
      </c>
      <c r="AQ204" s="61"/>
    </row>
    <row r="205" spans="2:43" x14ac:dyDescent="0.25">
      <c r="E205" s="91"/>
      <c r="G205" s="91"/>
      <c r="I205" s="180">
        <f>NCC!$R$36</f>
        <v>0</v>
      </c>
    </row>
    <row r="211" spans="2:43" s="52" customFormat="1" x14ac:dyDescent="0.25">
      <c r="E211" s="53"/>
      <c r="F211" s="53"/>
      <c r="G211" s="53"/>
      <c r="H211" s="53"/>
      <c r="I211" s="53"/>
      <c r="J211" s="53"/>
      <c r="K211" s="58" t="s">
        <v>32</v>
      </c>
      <c r="L211" s="53"/>
      <c r="M211" s="84">
        <f>G216</f>
        <v>0</v>
      </c>
      <c r="N211" s="84">
        <f>M211+G217</f>
        <v>0</v>
      </c>
      <c r="O211" s="84">
        <f>N211+G218</f>
        <v>0</v>
      </c>
      <c r="P211" s="84">
        <f>+O211+G219</f>
        <v>0</v>
      </c>
      <c r="Q211" s="84">
        <f>P211+G220</f>
        <v>0</v>
      </c>
      <c r="R211" s="84">
        <f>Q211+G221</f>
        <v>0</v>
      </c>
      <c r="S211" s="84">
        <f>R211+G222</f>
        <v>0</v>
      </c>
      <c r="T211" s="84">
        <f>S211+G223</f>
        <v>0</v>
      </c>
      <c r="U211" s="84">
        <f>T211+G224-G216</f>
        <v>0</v>
      </c>
      <c r="V211" s="84">
        <f>U211+G225-G217</f>
        <v>0</v>
      </c>
      <c r="W211" s="84">
        <f>V211+G226-G218</f>
        <v>0</v>
      </c>
      <c r="X211" s="84">
        <f>W211+G227-G219</f>
        <v>0</v>
      </c>
      <c r="Y211" s="84">
        <f>X211+G228-G220</f>
        <v>0</v>
      </c>
      <c r="Z211" s="84">
        <f>Y211+G229-G221</f>
        <v>0</v>
      </c>
      <c r="AA211" s="84">
        <f>Z211+G230-G222</f>
        <v>0</v>
      </c>
      <c r="AB211" s="84">
        <f>AA211+G231-G223</f>
        <v>0</v>
      </c>
      <c r="AC211" s="84">
        <f>AB211+G232-G224</f>
        <v>0</v>
      </c>
      <c r="AD211" s="84">
        <f>AC211+G233-G225</f>
        <v>0</v>
      </c>
      <c r="AE211" s="84">
        <f>AD211+G234-G226</f>
        <v>0</v>
      </c>
      <c r="AF211" s="84">
        <f>AE211+G235-G227</f>
        <v>0</v>
      </c>
      <c r="AG211" s="84">
        <f>AF211+G236-G228</f>
        <v>0</v>
      </c>
      <c r="AH211" s="84">
        <f>AG211+G237-G229</f>
        <v>0</v>
      </c>
      <c r="AI211" s="84">
        <f>AH211+G238-G230</f>
        <v>0</v>
      </c>
      <c r="AJ211" s="84">
        <f>AI211+G239-G231</f>
        <v>0</v>
      </c>
      <c r="AK211" s="84">
        <f>AJ211+G240-G232</f>
        <v>0</v>
      </c>
      <c r="AL211" s="84">
        <f>AK211+G241-G233</f>
        <v>0</v>
      </c>
      <c r="AM211" s="84">
        <f>AL211+G242-G234</f>
        <v>0</v>
      </c>
      <c r="AN211" s="84">
        <f>AM211+G243-G235</f>
        <v>0</v>
      </c>
      <c r="AO211" s="84">
        <f>AN211+G244-G236</f>
        <v>0</v>
      </c>
      <c r="AP211" s="84">
        <f>AO211+G245-G237</f>
        <v>0</v>
      </c>
      <c r="AQ211" s="84">
        <f>SUM(M211:AP211)/8.5</f>
        <v>0</v>
      </c>
    </row>
    <row r="212" spans="2:43" x14ac:dyDescent="0.25">
      <c r="J212" s="57"/>
      <c r="K212" s="58" t="s">
        <v>31</v>
      </c>
      <c r="M212" s="84">
        <f>F216</f>
        <v>0</v>
      </c>
      <c r="N212" s="84">
        <f>M212+F217</f>
        <v>0</v>
      </c>
      <c r="O212" s="84">
        <f>N212+F218</f>
        <v>0</v>
      </c>
      <c r="P212" s="84">
        <f>+O212+F219</f>
        <v>0</v>
      </c>
      <c r="Q212" s="84">
        <f>P212+F220</f>
        <v>0</v>
      </c>
      <c r="R212" s="84">
        <f>Q212+F221</f>
        <v>0</v>
      </c>
      <c r="S212" s="84">
        <f>R212+F222</f>
        <v>0</v>
      </c>
      <c r="T212" s="84">
        <f>S212+F223</f>
        <v>0</v>
      </c>
      <c r="U212" s="84">
        <f>T212+F224</f>
        <v>0</v>
      </c>
      <c r="V212" s="84">
        <f>U212+F225</f>
        <v>0</v>
      </c>
      <c r="W212" s="84">
        <f>V212+F226</f>
        <v>0</v>
      </c>
      <c r="X212" s="84">
        <f>W212+F227</f>
        <v>0</v>
      </c>
      <c r="Y212" s="84">
        <f>X212+F228-F216</f>
        <v>0</v>
      </c>
      <c r="Z212" s="84">
        <f>Y212+F229-F217</f>
        <v>0</v>
      </c>
      <c r="AA212" s="84">
        <f>Z212+F230-F218</f>
        <v>0</v>
      </c>
      <c r="AB212" s="84">
        <f>AA212+F231-F219</f>
        <v>0</v>
      </c>
      <c r="AC212" s="84">
        <f>AB212+F232-F220</f>
        <v>0</v>
      </c>
      <c r="AD212" s="84">
        <f>AC212+F233-F221</f>
        <v>0</v>
      </c>
      <c r="AE212" s="84">
        <f>AD212+F234-F222</f>
        <v>0</v>
      </c>
      <c r="AF212" s="84">
        <f>AE212+F235-F223</f>
        <v>0</v>
      </c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2:43" s="57" customFormat="1" ht="17.25" customHeight="1" x14ac:dyDescent="0.25">
      <c r="K213" s="58" t="s">
        <v>13</v>
      </c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5"/>
      <c r="AQ213" s="86"/>
    </row>
    <row r="214" spans="2:43" s="57" customFormat="1" ht="17.25" customHeight="1" x14ac:dyDescent="0.25">
      <c r="B214" s="57" t="s">
        <v>11</v>
      </c>
      <c r="E214" s="59" t="s">
        <v>8</v>
      </c>
      <c r="F214" s="59" t="s">
        <v>15</v>
      </c>
      <c r="G214" s="59" t="s">
        <v>32</v>
      </c>
      <c r="H214" s="59" t="s">
        <v>16</v>
      </c>
      <c r="J214" s="58" t="s">
        <v>9</v>
      </c>
      <c r="K214" s="58">
        <f>SUM(M214:AP214)/16</f>
        <v>0</v>
      </c>
      <c r="M214" s="87">
        <f t="shared" ref="M214:AP214" si="140">SUM(M216:M245)+M212+M211-M213</f>
        <v>0</v>
      </c>
      <c r="N214" s="87">
        <f t="shared" si="140"/>
        <v>0</v>
      </c>
      <c r="O214" s="87">
        <f t="shared" si="140"/>
        <v>0</v>
      </c>
      <c r="P214" s="87">
        <f t="shared" si="140"/>
        <v>0</v>
      </c>
      <c r="Q214" s="87">
        <f t="shared" si="140"/>
        <v>0</v>
      </c>
      <c r="R214" s="87">
        <f t="shared" si="140"/>
        <v>0</v>
      </c>
      <c r="S214" s="87">
        <f t="shared" si="140"/>
        <v>0</v>
      </c>
      <c r="T214" s="87">
        <f t="shared" si="140"/>
        <v>0</v>
      </c>
      <c r="U214" s="87">
        <f t="shared" si="140"/>
        <v>0</v>
      </c>
      <c r="V214" s="87">
        <f t="shared" si="140"/>
        <v>0</v>
      </c>
      <c r="W214" s="87">
        <f t="shared" si="140"/>
        <v>0</v>
      </c>
      <c r="X214" s="87">
        <f t="shared" si="140"/>
        <v>0</v>
      </c>
      <c r="Y214" s="87">
        <f t="shared" si="140"/>
        <v>0</v>
      </c>
      <c r="Z214" s="87">
        <f t="shared" si="140"/>
        <v>0</v>
      </c>
      <c r="AA214" s="87">
        <f t="shared" si="140"/>
        <v>0</v>
      </c>
      <c r="AB214" s="87">
        <f t="shared" si="140"/>
        <v>0</v>
      </c>
      <c r="AC214" s="87">
        <f t="shared" si="140"/>
        <v>0</v>
      </c>
      <c r="AD214" s="87">
        <f t="shared" si="140"/>
        <v>0</v>
      </c>
      <c r="AE214" s="87">
        <f t="shared" si="140"/>
        <v>0</v>
      </c>
      <c r="AF214" s="87">
        <f t="shared" si="140"/>
        <v>0</v>
      </c>
      <c r="AG214" s="87">
        <f t="shared" si="140"/>
        <v>0</v>
      </c>
      <c r="AH214" s="87">
        <f t="shared" si="140"/>
        <v>0</v>
      </c>
      <c r="AI214" s="87">
        <f t="shared" si="140"/>
        <v>0</v>
      </c>
      <c r="AJ214" s="87">
        <f t="shared" si="140"/>
        <v>0</v>
      </c>
      <c r="AK214" s="87">
        <f t="shared" si="140"/>
        <v>0</v>
      </c>
      <c r="AL214" s="87">
        <f t="shared" si="140"/>
        <v>0</v>
      </c>
      <c r="AM214" s="87">
        <f t="shared" si="140"/>
        <v>0</v>
      </c>
      <c r="AN214" s="87">
        <f t="shared" si="140"/>
        <v>0</v>
      </c>
      <c r="AO214" s="87">
        <f t="shared" si="140"/>
        <v>0</v>
      </c>
      <c r="AP214" s="87">
        <f t="shared" si="140"/>
        <v>0</v>
      </c>
      <c r="AQ214" s="87"/>
    </row>
    <row r="215" spans="2:43" s="88" customFormat="1" x14ac:dyDescent="0.25">
      <c r="E215" s="178">
        <f>SUM(E216:E245)</f>
        <v>0</v>
      </c>
      <c r="F215" s="178">
        <f>SUM(F216:F245)</f>
        <v>0</v>
      </c>
      <c r="G215" s="178">
        <f>SUM(G216:G245)</f>
        <v>0</v>
      </c>
      <c r="H215" s="178">
        <f>SUM(H216:H245)</f>
        <v>0</v>
      </c>
      <c r="I215" s="89"/>
      <c r="J215" s="89"/>
      <c r="K215" s="58" t="s">
        <v>7</v>
      </c>
      <c r="L215" s="89"/>
      <c r="M215" s="180">
        <f>SUMMARY!$J$6</f>
        <v>0</v>
      </c>
      <c r="N215" s="180">
        <f>SUMMARY!$J$7</f>
        <v>0</v>
      </c>
      <c r="O215" s="180">
        <f>SUMMARY!$J$8</f>
        <v>0</v>
      </c>
      <c r="P215" s="180">
        <f>SUMMARY!$J$9</f>
        <v>0</v>
      </c>
      <c r="Q215" s="180">
        <f>SUMMARY!$J$10</f>
        <v>0</v>
      </c>
      <c r="R215" s="180">
        <f>SUMMARY!$J$11</f>
        <v>0</v>
      </c>
      <c r="S215" s="180">
        <f>SUMMARY!$J$12</f>
        <v>0</v>
      </c>
      <c r="T215" s="180">
        <f>SUMMARY!$J$13</f>
        <v>0</v>
      </c>
      <c r="U215" s="180">
        <f>SUMMARY!$J$14</f>
        <v>0</v>
      </c>
      <c r="V215" s="180">
        <f>SUMMARY!$J$15</f>
        <v>0</v>
      </c>
      <c r="W215" s="180">
        <f>SUMMARY!$J$16</f>
        <v>0</v>
      </c>
      <c r="X215" s="180">
        <f>SUMMARY!$J$17</f>
        <v>0</v>
      </c>
      <c r="Y215" s="180">
        <f>SUMMARY!$J$18</f>
        <v>0</v>
      </c>
      <c r="Z215" s="180">
        <f>SUMMARY!$J$19</f>
        <v>0</v>
      </c>
      <c r="AA215" s="180">
        <f>SUMMARY!$J$20</f>
        <v>0</v>
      </c>
      <c r="AB215" s="180">
        <f>SUMMARY!$J$21</f>
        <v>0</v>
      </c>
      <c r="AC215" s="180">
        <f>SUMMARY!$J$22</f>
        <v>0</v>
      </c>
      <c r="AD215" s="180">
        <f>SUMMARY!$J$23</f>
        <v>0</v>
      </c>
      <c r="AE215" s="180">
        <f>SUMMARY!$J$24</f>
        <v>0</v>
      </c>
      <c r="AF215" s="180">
        <f>SUMMARY!$J$25</f>
        <v>0</v>
      </c>
      <c r="AG215" s="180">
        <f>SUMMARY!$J$26</f>
        <v>0</v>
      </c>
      <c r="AH215" s="180">
        <f>SUMMARY!$J$27</f>
        <v>0</v>
      </c>
      <c r="AI215" s="180">
        <f>SUMMARY!$J$28</f>
        <v>0</v>
      </c>
      <c r="AJ215" s="180">
        <f>SUMMARY!$J$29</f>
        <v>0</v>
      </c>
      <c r="AK215" s="180">
        <f>SUMMARY!$J$30</f>
        <v>0</v>
      </c>
      <c r="AL215" s="180">
        <f>SUMMARY!$J$31</f>
        <v>0</v>
      </c>
      <c r="AM215" s="180">
        <f>SUMMARY!$J$32</f>
        <v>0</v>
      </c>
      <c r="AN215" s="180">
        <f>SUMMARY!$J$33</f>
        <v>0</v>
      </c>
      <c r="AO215" s="180">
        <f>SUMMARY!$J$34</f>
        <v>0</v>
      </c>
      <c r="AP215" s="180">
        <f>SUMMARY!$J$35</f>
        <v>0</v>
      </c>
      <c r="AQ215" s="90"/>
    </row>
    <row r="216" spans="2:43" x14ac:dyDescent="0.25">
      <c r="B216" s="54">
        <v>0.29166666666424135</v>
      </c>
      <c r="C216" s="54">
        <v>0.645833333372138</v>
      </c>
      <c r="D216" s="60"/>
      <c r="E216" s="91"/>
      <c r="F216" s="91"/>
      <c r="G216" s="91"/>
      <c r="H216" s="92">
        <f t="shared" ref="H216:H245" si="141">SUM(E216:G216)</f>
        <v>0</v>
      </c>
      <c r="I216" s="180">
        <f>M$214-M$215</f>
        <v>0</v>
      </c>
      <c r="M216" s="61">
        <f t="shared" ref="M216:V217" si="142">IF(AND(M$2&gt;=$B216,M$2&lt;$C216),$E216,0)</f>
        <v>0</v>
      </c>
      <c r="N216" s="61">
        <f t="shared" si="142"/>
        <v>0</v>
      </c>
      <c r="O216" s="61">
        <f t="shared" si="142"/>
        <v>0</v>
      </c>
      <c r="P216" s="61">
        <f t="shared" si="142"/>
        <v>0</v>
      </c>
      <c r="Q216" s="61">
        <f t="shared" si="142"/>
        <v>0</v>
      </c>
      <c r="R216" s="61">
        <f t="shared" si="142"/>
        <v>0</v>
      </c>
      <c r="S216" s="61">
        <f t="shared" si="142"/>
        <v>0</v>
      </c>
      <c r="T216" s="61">
        <f t="shared" si="142"/>
        <v>0</v>
      </c>
      <c r="U216" s="61">
        <f t="shared" si="142"/>
        <v>0</v>
      </c>
      <c r="V216" s="61">
        <f t="shared" si="142"/>
        <v>0</v>
      </c>
      <c r="W216" s="61">
        <f t="shared" ref="W216:AF217" si="143">IF(AND(W$2&gt;=$B216,W$2&lt;$C216),$E216,0)</f>
        <v>0</v>
      </c>
      <c r="X216" s="61">
        <f t="shared" si="143"/>
        <v>0</v>
      </c>
      <c r="Y216" s="61">
        <f t="shared" si="143"/>
        <v>0</v>
      </c>
      <c r="Z216" s="61">
        <f t="shared" si="143"/>
        <v>0</v>
      </c>
      <c r="AA216" s="61">
        <f t="shared" si="143"/>
        <v>0</v>
      </c>
      <c r="AB216" s="61">
        <f t="shared" si="143"/>
        <v>0</v>
      </c>
      <c r="AC216" s="61">
        <f t="shared" si="143"/>
        <v>0</v>
      </c>
      <c r="AD216" s="61">
        <f t="shared" si="143"/>
        <v>0</v>
      </c>
      <c r="AE216" s="61">
        <f t="shared" si="143"/>
        <v>0</v>
      </c>
      <c r="AF216" s="61">
        <f t="shared" si="143"/>
        <v>0</v>
      </c>
      <c r="AG216" s="61">
        <f t="shared" ref="AG216:AP217" si="144">IF(AND(AG$2&gt;=$B216,AG$2&lt;$C216),$E216,0)</f>
        <v>0</v>
      </c>
      <c r="AH216" s="61">
        <f t="shared" si="144"/>
        <v>0</v>
      </c>
      <c r="AI216" s="61">
        <f t="shared" si="144"/>
        <v>0</v>
      </c>
      <c r="AJ216" s="61">
        <f t="shared" si="144"/>
        <v>0</v>
      </c>
      <c r="AK216" s="61">
        <f t="shared" si="144"/>
        <v>0</v>
      </c>
      <c r="AL216" s="61">
        <f t="shared" si="144"/>
        <v>0</v>
      </c>
      <c r="AM216" s="61">
        <f t="shared" si="144"/>
        <v>0</v>
      </c>
      <c r="AN216" s="61">
        <f t="shared" si="144"/>
        <v>0</v>
      </c>
      <c r="AO216" s="61">
        <f t="shared" si="144"/>
        <v>0</v>
      </c>
      <c r="AP216" s="61">
        <f t="shared" si="144"/>
        <v>0</v>
      </c>
      <c r="AQ216" s="61"/>
    </row>
    <row r="217" spans="2:43" x14ac:dyDescent="0.25">
      <c r="B217" s="54">
        <v>0.3125</v>
      </c>
      <c r="C217" s="54">
        <v>0.66666666670789698</v>
      </c>
      <c r="D217" s="60"/>
      <c r="E217" s="91"/>
      <c r="F217" s="91"/>
      <c r="G217" s="91"/>
      <c r="H217" s="92">
        <f t="shared" si="141"/>
        <v>0</v>
      </c>
      <c r="I217" s="180">
        <f>N$214-N$215</f>
        <v>0</v>
      </c>
      <c r="M217" s="61">
        <f t="shared" si="142"/>
        <v>0</v>
      </c>
      <c r="N217" s="61">
        <f t="shared" si="142"/>
        <v>0</v>
      </c>
      <c r="O217" s="61">
        <f t="shared" si="142"/>
        <v>0</v>
      </c>
      <c r="P217" s="61">
        <f t="shared" si="142"/>
        <v>0</v>
      </c>
      <c r="Q217" s="61">
        <f t="shared" si="142"/>
        <v>0</v>
      </c>
      <c r="R217" s="61">
        <f t="shared" si="142"/>
        <v>0</v>
      </c>
      <c r="S217" s="61">
        <f t="shared" si="142"/>
        <v>0</v>
      </c>
      <c r="T217" s="61">
        <f t="shared" si="142"/>
        <v>0</v>
      </c>
      <c r="U217" s="61">
        <f t="shared" si="142"/>
        <v>0</v>
      </c>
      <c r="V217" s="61">
        <f t="shared" si="142"/>
        <v>0</v>
      </c>
      <c r="W217" s="61">
        <f t="shared" si="143"/>
        <v>0</v>
      </c>
      <c r="X217" s="61">
        <f t="shared" si="143"/>
        <v>0</v>
      </c>
      <c r="Y217" s="61">
        <f t="shared" si="143"/>
        <v>0</v>
      </c>
      <c r="Z217" s="61">
        <f t="shared" si="143"/>
        <v>0</v>
      </c>
      <c r="AA217" s="61">
        <f t="shared" si="143"/>
        <v>0</v>
      </c>
      <c r="AB217" s="61">
        <f t="shared" si="143"/>
        <v>0</v>
      </c>
      <c r="AC217" s="61">
        <f t="shared" si="143"/>
        <v>0</v>
      </c>
      <c r="AD217" s="61">
        <f t="shared" si="143"/>
        <v>0</v>
      </c>
      <c r="AE217" s="61">
        <f t="shared" si="143"/>
        <v>0</v>
      </c>
      <c r="AF217" s="61">
        <f t="shared" si="143"/>
        <v>0</v>
      </c>
      <c r="AG217" s="61">
        <f t="shared" si="144"/>
        <v>0</v>
      </c>
      <c r="AH217" s="61">
        <f t="shared" si="144"/>
        <v>0</v>
      </c>
      <c r="AI217" s="61">
        <f t="shared" si="144"/>
        <v>0</v>
      </c>
      <c r="AJ217" s="61">
        <f t="shared" si="144"/>
        <v>0</v>
      </c>
      <c r="AK217" s="61">
        <f t="shared" si="144"/>
        <v>0</v>
      </c>
      <c r="AL217" s="61">
        <f t="shared" si="144"/>
        <v>0</v>
      </c>
      <c r="AM217" s="61">
        <f t="shared" si="144"/>
        <v>0</v>
      </c>
      <c r="AN217" s="61">
        <f t="shared" si="144"/>
        <v>0</v>
      </c>
      <c r="AO217" s="61">
        <f t="shared" si="144"/>
        <v>0</v>
      </c>
      <c r="AP217" s="61">
        <f t="shared" si="144"/>
        <v>0</v>
      </c>
      <c r="AQ217" s="61"/>
    </row>
    <row r="218" spans="2:43" x14ac:dyDescent="0.25">
      <c r="B218" s="54">
        <v>0.33333333333575865</v>
      </c>
      <c r="C218" s="54">
        <v>0.68750000004365597</v>
      </c>
      <c r="D218" s="60"/>
      <c r="E218" s="91">
        <f>SUMMARY!AB8</f>
        <v>0</v>
      </c>
      <c r="F218" s="91">
        <f>SUMMARY!$AT$8</f>
        <v>0</v>
      </c>
      <c r="G218" s="91">
        <f>SUMMARY!$AM$8</f>
        <v>0</v>
      </c>
      <c r="H218" s="92">
        <f t="shared" si="141"/>
        <v>0</v>
      </c>
      <c r="I218" s="180">
        <f>O$214-O$215</f>
        <v>0</v>
      </c>
      <c r="M218" s="61">
        <f t="shared" ref="M218:V227" si="145">IF(AND(M$2&gt;=$B218,M$2&lt;$C218),$E218,0)</f>
        <v>0</v>
      </c>
      <c r="N218" s="61">
        <f t="shared" si="145"/>
        <v>0</v>
      </c>
      <c r="O218" s="61">
        <f t="shared" si="145"/>
        <v>0</v>
      </c>
      <c r="P218" s="61">
        <f t="shared" si="145"/>
        <v>0</v>
      </c>
      <c r="Q218" s="61">
        <f t="shared" si="145"/>
        <v>0</v>
      </c>
      <c r="R218" s="61">
        <f t="shared" si="145"/>
        <v>0</v>
      </c>
      <c r="S218" s="61">
        <f t="shared" si="145"/>
        <v>0</v>
      </c>
      <c r="T218" s="61">
        <f t="shared" si="145"/>
        <v>0</v>
      </c>
      <c r="U218" s="61">
        <f t="shared" si="145"/>
        <v>0</v>
      </c>
      <c r="V218" s="61">
        <f t="shared" si="145"/>
        <v>0</v>
      </c>
      <c r="W218" s="61">
        <f t="shared" ref="W218:AE227" si="146">IF(AND(W$2&gt;=$B218,W$2&lt;$C218),$E218,0)</f>
        <v>0</v>
      </c>
      <c r="X218" s="61">
        <f t="shared" si="146"/>
        <v>0</v>
      </c>
      <c r="Y218" s="61">
        <f t="shared" si="146"/>
        <v>0</v>
      </c>
      <c r="Z218" s="61">
        <f t="shared" si="146"/>
        <v>0</v>
      </c>
      <c r="AA218" s="61">
        <f t="shared" si="146"/>
        <v>0</v>
      </c>
      <c r="AB218" s="61">
        <f t="shared" si="146"/>
        <v>0</v>
      </c>
      <c r="AC218" s="61">
        <f t="shared" si="146"/>
        <v>0</v>
      </c>
      <c r="AD218" s="61">
        <f t="shared" si="146"/>
        <v>0</v>
      </c>
      <c r="AE218" s="61">
        <f t="shared" si="146"/>
        <v>0</v>
      </c>
      <c r="AF218" s="61"/>
      <c r="AG218" s="61">
        <f t="shared" ref="AG218:AP218" si="147">IF(AND(AG$2&gt;=$B218,AG$2&lt;$C218),$E218,0)</f>
        <v>0</v>
      </c>
      <c r="AH218" s="61">
        <f t="shared" si="147"/>
        <v>0</v>
      </c>
      <c r="AI218" s="61">
        <f t="shared" si="147"/>
        <v>0</v>
      </c>
      <c r="AJ218" s="61">
        <f t="shared" si="147"/>
        <v>0</v>
      </c>
      <c r="AK218" s="61">
        <f t="shared" si="147"/>
        <v>0</v>
      </c>
      <c r="AL218" s="61">
        <f t="shared" si="147"/>
        <v>0</v>
      </c>
      <c r="AM218" s="61">
        <f t="shared" si="147"/>
        <v>0</v>
      </c>
      <c r="AN218" s="61">
        <f t="shared" si="147"/>
        <v>0</v>
      </c>
      <c r="AO218" s="61">
        <f t="shared" si="147"/>
        <v>0</v>
      </c>
      <c r="AP218" s="61">
        <f t="shared" si="147"/>
        <v>0</v>
      </c>
      <c r="AQ218" s="61"/>
    </row>
    <row r="219" spans="2:43" x14ac:dyDescent="0.25">
      <c r="B219" s="54">
        <v>0.35416666666424135</v>
      </c>
      <c r="C219" s="54">
        <v>0.70833333337941495</v>
      </c>
      <c r="D219" s="60"/>
      <c r="E219" s="91">
        <f>SUMMARY!AB9</f>
        <v>0</v>
      </c>
      <c r="F219" s="91">
        <f>SUMMARY!$AT$9</f>
        <v>0</v>
      </c>
      <c r="G219" s="91">
        <f>SUMMARY!$AM$9</f>
        <v>0</v>
      </c>
      <c r="H219" s="92">
        <f t="shared" si="141"/>
        <v>0</v>
      </c>
      <c r="I219" s="180">
        <f>P$214-P$215</f>
        <v>0</v>
      </c>
      <c r="M219" s="61">
        <f t="shared" si="145"/>
        <v>0</v>
      </c>
      <c r="N219" s="61">
        <f t="shared" si="145"/>
        <v>0</v>
      </c>
      <c r="O219" s="61">
        <f t="shared" si="145"/>
        <v>0</v>
      </c>
      <c r="P219" s="61">
        <f t="shared" si="145"/>
        <v>0</v>
      </c>
      <c r="Q219" s="61">
        <f t="shared" si="145"/>
        <v>0</v>
      </c>
      <c r="R219" s="61">
        <f t="shared" si="145"/>
        <v>0</v>
      </c>
      <c r="S219" s="61">
        <f t="shared" si="145"/>
        <v>0</v>
      </c>
      <c r="T219" s="61">
        <f t="shared" si="145"/>
        <v>0</v>
      </c>
      <c r="U219" s="61">
        <f t="shared" si="145"/>
        <v>0</v>
      </c>
      <c r="V219" s="61">
        <f t="shared" si="145"/>
        <v>0</v>
      </c>
      <c r="W219" s="61">
        <f t="shared" si="146"/>
        <v>0</v>
      </c>
      <c r="X219" s="61">
        <f t="shared" si="146"/>
        <v>0</v>
      </c>
      <c r="Y219" s="61">
        <f t="shared" si="146"/>
        <v>0</v>
      </c>
      <c r="Z219" s="61">
        <f t="shared" si="146"/>
        <v>0</v>
      </c>
      <c r="AA219" s="61">
        <f t="shared" si="146"/>
        <v>0</v>
      </c>
      <c r="AB219" s="61">
        <f t="shared" si="146"/>
        <v>0</v>
      </c>
      <c r="AC219" s="61">
        <f t="shared" si="146"/>
        <v>0</v>
      </c>
      <c r="AD219" s="61">
        <f t="shared" si="146"/>
        <v>0</v>
      </c>
      <c r="AE219" s="61">
        <f t="shared" si="146"/>
        <v>0</v>
      </c>
      <c r="AF219" s="61">
        <f t="shared" ref="AF219:AF245" si="148">IF(AND(AF$2&gt;=$B219,AF$2&lt;$C219),$E219,0)</f>
        <v>0</v>
      </c>
      <c r="AG219" s="61"/>
      <c r="AH219" s="61">
        <f t="shared" ref="AH219:AP228" si="149">IF(AND(AH$2&gt;=$B219,AH$2&lt;$C219),$E219,0)</f>
        <v>0</v>
      </c>
      <c r="AI219" s="61">
        <f t="shared" si="149"/>
        <v>0</v>
      </c>
      <c r="AJ219" s="61">
        <f t="shared" si="149"/>
        <v>0</v>
      </c>
      <c r="AK219" s="61">
        <f t="shared" si="149"/>
        <v>0</v>
      </c>
      <c r="AL219" s="61">
        <f t="shared" si="149"/>
        <v>0</v>
      </c>
      <c r="AM219" s="61">
        <f t="shared" si="149"/>
        <v>0</v>
      </c>
      <c r="AN219" s="61">
        <f t="shared" si="149"/>
        <v>0</v>
      </c>
      <c r="AO219" s="61">
        <f t="shared" si="149"/>
        <v>0</v>
      </c>
      <c r="AP219" s="61">
        <f t="shared" si="149"/>
        <v>0</v>
      </c>
      <c r="AQ219" s="61"/>
    </row>
    <row r="220" spans="2:43" x14ac:dyDescent="0.25">
      <c r="B220" s="54">
        <v>0.375</v>
      </c>
      <c r="C220" s="54">
        <v>0.72916666671517405</v>
      </c>
      <c r="D220" s="60"/>
      <c r="E220" s="91"/>
      <c r="F220" s="91">
        <f>SUMMARY!$AT$10</f>
        <v>0</v>
      </c>
      <c r="G220" s="91">
        <f>SUMMARY!$AM$10</f>
        <v>0</v>
      </c>
      <c r="H220" s="92">
        <f>SUM(E220:G220)</f>
        <v>0</v>
      </c>
      <c r="I220" s="180">
        <f>Q$214-Q$215</f>
        <v>0</v>
      </c>
      <c r="M220" s="61">
        <f t="shared" si="145"/>
        <v>0</v>
      </c>
      <c r="N220" s="61">
        <f t="shared" si="145"/>
        <v>0</v>
      </c>
      <c r="O220" s="61">
        <f t="shared" si="145"/>
        <v>0</v>
      </c>
      <c r="P220" s="61">
        <f t="shared" si="145"/>
        <v>0</v>
      </c>
      <c r="Q220" s="61">
        <f t="shared" si="145"/>
        <v>0</v>
      </c>
      <c r="R220" s="61">
        <f t="shared" si="145"/>
        <v>0</v>
      </c>
      <c r="S220" s="61">
        <f t="shared" si="145"/>
        <v>0</v>
      </c>
      <c r="T220" s="61">
        <f t="shared" si="145"/>
        <v>0</v>
      </c>
      <c r="U220" s="61">
        <f t="shared" si="145"/>
        <v>0</v>
      </c>
      <c r="V220" s="61">
        <f t="shared" si="145"/>
        <v>0</v>
      </c>
      <c r="W220" s="61">
        <f t="shared" si="146"/>
        <v>0</v>
      </c>
      <c r="X220" s="61">
        <f t="shared" si="146"/>
        <v>0</v>
      </c>
      <c r="Y220" s="61">
        <f t="shared" si="146"/>
        <v>0</v>
      </c>
      <c r="Z220" s="61">
        <f t="shared" si="146"/>
        <v>0</v>
      </c>
      <c r="AA220" s="61">
        <f t="shared" si="146"/>
        <v>0</v>
      </c>
      <c r="AB220" s="61">
        <f t="shared" si="146"/>
        <v>0</v>
      </c>
      <c r="AC220" s="61">
        <f t="shared" si="146"/>
        <v>0</v>
      </c>
      <c r="AD220" s="61">
        <f t="shared" si="146"/>
        <v>0</v>
      </c>
      <c r="AE220" s="61">
        <f t="shared" si="146"/>
        <v>0</v>
      </c>
      <c r="AF220" s="61">
        <f t="shared" si="148"/>
        <v>0</v>
      </c>
      <c r="AG220" s="61">
        <f t="shared" ref="AG220:AG245" si="150">IF(AND(AG$2&gt;=$B220,AG$2&lt;$C220),$E220,0)</f>
        <v>0</v>
      </c>
      <c r="AH220" s="61">
        <f t="shared" si="149"/>
        <v>0</v>
      </c>
      <c r="AI220" s="61">
        <f t="shared" si="149"/>
        <v>0</v>
      </c>
      <c r="AJ220" s="61">
        <f t="shared" si="149"/>
        <v>0</v>
      </c>
      <c r="AK220" s="61">
        <f t="shared" si="149"/>
        <v>0</v>
      </c>
      <c r="AL220" s="61">
        <f t="shared" si="149"/>
        <v>0</v>
      </c>
      <c r="AM220" s="61">
        <f t="shared" si="149"/>
        <v>0</v>
      </c>
      <c r="AN220" s="61">
        <f t="shared" si="149"/>
        <v>0</v>
      </c>
      <c r="AO220" s="61">
        <f t="shared" si="149"/>
        <v>0</v>
      </c>
      <c r="AP220" s="61">
        <f t="shared" si="149"/>
        <v>0</v>
      </c>
      <c r="AQ220" s="61"/>
    </row>
    <row r="221" spans="2:43" x14ac:dyDescent="0.25">
      <c r="B221" s="54">
        <v>0.39583333333575865</v>
      </c>
      <c r="C221" s="54">
        <v>0.75000000005093304</v>
      </c>
      <c r="D221" s="60"/>
      <c r="E221" s="91"/>
      <c r="F221" s="91">
        <f>SUMMARY!$AT$11</f>
        <v>0</v>
      </c>
      <c r="G221" s="91">
        <f>SUMMARY!$AM$11</f>
        <v>0</v>
      </c>
      <c r="H221" s="92">
        <f t="shared" si="141"/>
        <v>0</v>
      </c>
      <c r="I221" s="180">
        <f>R$214-R$215</f>
        <v>0</v>
      </c>
      <c r="M221" s="61">
        <f t="shared" si="145"/>
        <v>0</v>
      </c>
      <c r="N221" s="61">
        <f t="shared" si="145"/>
        <v>0</v>
      </c>
      <c r="O221" s="61">
        <f t="shared" si="145"/>
        <v>0</v>
      </c>
      <c r="P221" s="61">
        <f t="shared" si="145"/>
        <v>0</v>
      </c>
      <c r="Q221" s="61">
        <f t="shared" si="145"/>
        <v>0</v>
      </c>
      <c r="R221" s="61">
        <f t="shared" si="145"/>
        <v>0</v>
      </c>
      <c r="S221" s="61">
        <f t="shared" si="145"/>
        <v>0</v>
      </c>
      <c r="T221" s="61">
        <f t="shared" si="145"/>
        <v>0</v>
      </c>
      <c r="U221" s="61">
        <f t="shared" si="145"/>
        <v>0</v>
      </c>
      <c r="V221" s="61">
        <f t="shared" si="145"/>
        <v>0</v>
      </c>
      <c r="W221" s="61">
        <f t="shared" si="146"/>
        <v>0</v>
      </c>
      <c r="X221" s="61">
        <f t="shared" si="146"/>
        <v>0</v>
      </c>
      <c r="Y221" s="61">
        <f t="shared" si="146"/>
        <v>0</v>
      </c>
      <c r="Z221" s="61">
        <f t="shared" si="146"/>
        <v>0</v>
      </c>
      <c r="AA221" s="61">
        <f t="shared" si="146"/>
        <v>0</v>
      </c>
      <c r="AB221" s="61">
        <f t="shared" si="146"/>
        <v>0</v>
      </c>
      <c r="AC221" s="61">
        <f t="shared" si="146"/>
        <v>0</v>
      </c>
      <c r="AD221" s="61">
        <f t="shared" si="146"/>
        <v>0</v>
      </c>
      <c r="AE221" s="61">
        <f t="shared" si="146"/>
        <v>0</v>
      </c>
      <c r="AF221" s="61">
        <f t="shared" si="148"/>
        <v>0</v>
      </c>
      <c r="AG221" s="61">
        <f t="shared" si="150"/>
        <v>0</v>
      </c>
      <c r="AH221" s="61">
        <f t="shared" si="149"/>
        <v>0</v>
      </c>
      <c r="AI221" s="61">
        <f t="shared" si="149"/>
        <v>0</v>
      </c>
      <c r="AJ221" s="61">
        <f t="shared" si="149"/>
        <v>0</v>
      </c>
      <c r="AK221" s="61">
        <f t="shared" si="149"/>
        <v>0</v>
      </c>
      <c r="AL221" s="61">
        <f t="shared" si="149"/>
        <v>0</v>
      </c>
      <c r="AM221" s="61">
        <f t="shared" si="149"/>
        <v>0</v>
      </c>
      <c r="AN221" s="61">
        <f t="shared" si="149"/>
        <v>0</v>
      </c>
      <c r="AO221" s="61">
        <f t="shared" si="149"/>
        <v>0</v>
      </c>
      <c r="AP221" s="61">
        <f t="shared" si="149"/>
        <v>0</v>
      </c>
      <c r="AQ221" s="61"/>
    </row>
    <row r="222" spans="2:43" x14ac:dyDescent="0.25">
      <c r="B222" s="54">
        <v>0.41666666666424135</v>
      </c>
      <c r="C222" s="54">
        <v>0.77083333338669202</v>
      </c>
      <c r="D222" s="60"/>
      <c r="E222" s="91"/>
      <c r="F222" s="91">
        <f>SUMMARY!$AT$12</f>
        <v>0</v>
      </c>
      <c r="G222" s="91">
        <f>SUMMARY!$AM$12</f>
        <v>0</v>
      </c>
      <c r="H222" s="92">
        <f t="shared" si="141"/>
        <v>0</v>
      </c>
      <c r="I222" s="180">
        <f>S$214-S$215</f>
        <v>0</v>
      </c>
      <c r="M222" s="61">
        <f t="shared" si="145"/>
        <v>0</v>
      </c>
      <c r="N222" s="61">
        <f t="shared" si="145"/>
        <v>0</v>
      </c>
      <c r="O222" s="61">
        <f t="shared" si="145"/>
        <v>0</v>
      </c>
      <c r="P222" s="61">
        <f t="shared" si="145"/>
        <v>0</v>
      </c>
      <c r="Q222" s="61">
        <f t="shared" si="145"/>
        <v>0</v>
      </c>
      <c r="R222" s="61">
        <f t="shared" si="145"/>
        <v>0</v>
      </c>
      <c r="S222" s="61">
        <f t="shared" si="145"/>
        <v>0</v>
      </c>
      <c r="T222" s="61">
        <f t="shared" si="145"/>
        <v>0</v>
      </c>
      <c r="U222" s="61">
        <f t="shared" si="145"/>
        <v>0</v>
      </c>
      <c r="V222" s="61">
        <f t="shared" si="145"/>
        <v>0</v>
      </c>
      <c r="W222" s="61">
        <f t="shared" si="146"/>
        <v>0</v>
      </c>
      <c r="X222" s="61">
        <f t="shared" si="146"/>
        <v>0</v>
      </c>
      <c r="Y222" s="61">
        <f t="shared" si="146"/>
        <v>0</v>
      </c>
      <c r="Z222" s="61">
        <f t="shared" si="146"/>
        <v>0</v>
      </c>
      <c r="AA222" s="61">
        <f t="shared" si="146"/>
        <v>0</v>
      </c>
      <c r="AB222" s="61">
        <f t="shared" si="146"/>
        <v>0</v>
      </c>
      <c r="AC222" s="61">
        <f t="shared" si="146"/>
        <v>0</v>
      </c>
      <c r="AD222" s="61">
        <f t="shared" si="146"/>
        <v>0</v>
      </c>
      <c r="AE222" s="61">
        <f t="shared" si="146"/>
        <v>0</v>
      </c>
      <c r="AF222" s="61">
        <f t="shared" si="148"/>
        <v>0</v>
      </c>
      <c r="AG222" s="61">
        <f t="shared" si="150"/>
        <v>0</v>
      </c>
      <c r="AH222" s="61">
        <f t="shared" si="149"/>
        <v>0</v>
      </c>
      <c r="AI222" s="61">
        <f t="shared" si="149"/>
        <v>0</v>
      </c>
      <c r="AJ222" s="61">
        <f t="shared" si="149"/>
        <v>0</v>
      </c>
      <c r="AK222" s="61">
        <f t="shared" si="149"/>
        <v>0</v>
      </c>
      <c r="AL222" s="61">
        <f t="shared" si="149"/>
        <v>0</v>
      </c>
      <c r="AM222" s="61">
        <f t="shared" si="149"/>
        <v>0</v>
      </c>
      <c r="AN222" s="61">
        <f t="shared" si="149"/>
        <v>0</v>
      </c>
      <c r="AO222" s="61">
        <f t="shared" si="149"/>
        <v>0</v>
      </c>
      <c r="AP222" s="61">
        <f t="shared" si="149"/>
        <v>0</v>
      </c>
      <c r="AQ222" s="61"/>
    </row>
    <row r="223" spans="2:43" x14ac:dyDescent="0.25">
      <c r="B223" s="54">
        <v>0.4375</v>
      </c>
      <c r="C223" s="54">
        <v>0.79166666672245101</v>
      </c>
      <c r="D223" s="60"/>
      <c r="E223" s="91"/>
      <c r="F223" s="91">
        <f>SUMMARY!$AT$13</f>
        <v>0</v>
      </c>
      <c r="G223" s="91">
        <f>SUMMARY!$AM$13</f>
        <v>0</v>
      </c>
      <c r="H223" s="92">
        <f t="shared" si="141"/>
        <v>0</v>
      </c>
      <c r="I223" s="180">
        <f>T$214-T$215</f>
        <v>0</v>
      </c>
      <c r="M223" s="61">
        <f t="shared" si="145"/>
        <v>0</v>
      </c>
      <c r="N223" s="61">
        <f t="shared" si="145"/>
        <v>0</v>
      </c>
      <c r="O223" s="61">
        <f t="shared" si="145"/>
        <v>0</v>
      </c>
      <c r="P223" s="61">
        <f t="shared" si="145"/>
        <v>0</v>
      </c>
      <c r="Q223" s="61">
        <f t="shared" si="145"/>
        <v>0</v>
      </c>
      <c r="R223" s="61">
        <f t="shared" si="145"/>
        <v>0</v>
      </c>
      <c r="S223" s="61">
        <f t="shared" si="145"/>
        <v>0</v>
      </c>
      <c r="T223" s="61">
        <f t="shared" si="145"/>
        <v>0</v>
      </c>
      <c r="U223" s="61">
        <f t="shared" si="145"/>
        <v>0</v>
      </c>
      <c r="V223" s="61">
        <f t="shared" si="145"/>
        <v>0</v>
      </c>
      <c r="W223" s="61">
        <f t="shared" si="146"/>
        <v>0</v>
      </c>
      <c r="X223" s="61">
        <f t="shared" si="146"/>
        <v>0</v>
      </c>
      <c r="Y223" s="61">
        <f t="shared" si="146"/>
        <v>0</v>
      </c>
      <c r="Z223" s="61">
        <f t="shared" si="146"/>
        <v>0</v>
      </c>
      <c r="AA223" s="61">
        <f t="shared" si="146"/>
        <v>0</v>
      </c>
      <c r="AB223" s="61">
        <f t="shared" si="146"/>
        <v>0</v>
      </c>
      <c r="AC223" s="61">
        <f t="shared" si="146"/>
        <v>0</v>
      </c>
      <c r="AD223" s="61">
        <f t="shared" si="146"/>
        <v>0</v>
      </c>
      <c r="AE223" s="61">
        <f t="shared" si="146"/>
        <v>0</v>
      </c>
      <c r="AF223" s="61">
        <f t="shared" si="148"/>
        <v>0</v>
      </c>
      <c r="AG223" s="61">
        <f t="shared" si="150"/>
        <v>0</v>
      </c>
      <c r="AH223" s="61">
        <f t="shared" si="149"/>
        <v>0</v>
      </c>
      <c r="AI223" s="61">
        <f t="shared" si="149"/>
        <v>0</v>
      </c>
      <c r="AJ223" s="61">
        <f t="shared" si="149"/>
        <v>0</v>
      </c>
      <c r="AK223" s="61">
        <f t="shared" si="149"/>
        <v>0</v>
      </c>
      <c r="AL223" s="61">
        <f t="shared" si="149"/>
        <v>0</v>
      </c>
      <c r="AM223" s="61">
        <f t="shared" si="149"/>
        <v>0</v>
      </c>
      <c r="AN223" s="61">
        <f t="shared" si="149"/>
        <v>0</v>
      </c>
      <c r="AO223" s="61">
        <f t="shared" si="149"/>
        <v>0</v>
      </c>
      <c r="AP223" s="61">
        <f t="shared" si="149"/>
        <v>0</v>
      </c>
      <c r="AQ223" s="61"/>
    </row>
    <row r="224" spans="2:43" x14ac:dyDescent="0.25">
      <c r="B224" s="54">
        <v>0.45833333333575865</v>
      </c>
      <c r="C224" s="54">
        <v>0.81250000005820999</v>
      </c>
      <c r="D224" s="60"/>
      <c r="E224" s="91"/>
      <c r="F224" s="91">
        <f>SUMMARY!$AT$14</f>
        <v>0</v>
      </c>
      <c r="G224" s="91">
        <f>SUMMARY!$AM$14</f>
        <v>0</v>
      </c>
      <c r="H224" s="92">
        <f t="shared" si="141"/>
        <v>0</v>
      </c>
      <c r="I224" s="180">
        <f>U$214-U$215</f>
        <v>0</v>
      </c>
      <c r="M224" s="61">
        <f t="shared" si="145"/>
        <v>0</v>
      </c>
      <c r="N224" s="61">
        <f t="shared" si="145"/>
        <v>0</v>
      </c>
      <c r="O224" s="61">
        <f t="shared" si="145"/>
        <v>0</v>
      </c>
      <c r="P224" s="61">
        <f t="shared" si="145"/>
        <v>0</v>
      </c>
      <c r="Q224" s="61">
        <f t="shared" si="145"/>
        <v>0</v>
      </c>
      <c r="R224" s="61">
        <f t="shared" si="145"/>
        <v>0</v>
      </c>
      <c r="S224" s="61">
        <f t="shared" si="145"/>
        <v>0</v>
      </c>
      <c r="T224" s="61">
        <f t="shared" si="145"/>
        <v>0</v>
      </c>
      <c r="U224" s="61">
        <f t="shared" si="145"/>
        <v>0</v>
      </c>
      <c r="V224" s="61">
        <f t="shared" si="145"/>
        <v>0</v>
      </c>
      <c r="W224" s="61">
        <f t="shared" si="146"/>
        <v>0</v>
      </c>
      <c r="X224" s="61">
        <f t="shared" si="146"/>
        <v>0</v>
      </c>
      <c r="Y224" s="61">
        <f t="shared" si="146"/>
        <v>0</v>
      </c>
      <c r="Z224" s="61">
        <f t="shared" si="146"/>
        <v>0</v>
      </c>
      <c r="AA224" s="61">
        <f t="shared" si="146"/>
        <v>0</v>
      </c>
      <c r="AB224" s="61">
        <f t="shared" si="146"/>
        <v>0</v>
      </c>
      <c r="AC224" s="61">
        <f t="shared" si="146"/>
        <v>0</v>
      </c>
      <c r="AD224" s="61">
        <f t="shared" si="146"/>
        <v>0</v>
      </c>
      <c r="AE224" s="61">
        <f t="shared" si="146"/>
        <v>0</v>
      </c>
      <c r="AF224" s="61">
        <f t="shared" si="148"/>
        <v>0</v>
      </c>
      <c r="AG224" s="61">
        <f t="shared" si="150"/>
        <v>0</v>
      </c>
      <c r="AH224" s="61">
        <f t="shared" si="149"/>
        <v>0</v>
      </c>
      <c r="AI224" s="61">
        <f t="shared" si="149"/>
        <v>0</v>
      </c>
      <c r="AJ224" s="61">
        <f t="shared" si="149"/>
        <v>0</v>
      </c>
      <c r="AK224" s="61">
        <f t="shared" si="149"/>
        <v>0</v>
      </c>
      <c r="AL224" s="61">
        <f t="shared" si="149"/>
        <v>0</v>
      </c>
      <c r="AM224" s="61">
        <f t="shared" si="149"/>
        <v>0</v>
      </c>
      <c r="AN224" s="61">
        <f t="shared" si="149"/>
        <v>0</v>
      </c>
      <c r="AO224" s="61">
        <f t="shared" si="149"/>
        <v>0</v>
      </c>
      <c r="AP224" s="61">
        <f t="shared" si="149"/>
        <v>0</v>
      </c>
      <c r="AQ224" s="61"/>
    </row>
    <row r="225" spans="2:43" x14ac:dyDescent="0.25">
      <c r="B225" s="54">
        <v>0.47916666666424135</v>
      </c>
      <c r="C225" s="54">
        <v>0.83333333339396898</v>
      </c>
      <c r="D225" s="60"/>
      <c r="E225" s="91"/>
      <c r="F225" s="91"/>
      <c r="G225" s="91">
        <f>SUMMARY!$AM$15</f>
        <v>0</v>
      </c>
      <c r="H225" s="92">
        <f t="shared" si="141"/>
        <v>0</v>
      </c>
      <c r="I225" s="180">
        <f>V$214-V$215</f>
        <v>0</v>
      </c>
      <c r="M225" s="61">
        <f t="shared" si="145"/>
        <v>0</v>
      </c>
      <c r="N225" s="61">
        <f t="shared" si="145"/>
        <v>0</v>
      </c>
      <c r="O225" s="61">
        <f t="shared" si="145"/>
        <v>0</v>
      </c>
      <c r="P225" s="61">
        <f t="shared" si="145"/>
        <v>0</v>
      </c>
      <c r="Q225" s="61">
        <f t="shared" si="145"/>
        <v>0</v>
      </c>
      <c r="R225" s="61">
        <f t="shared" si="145"/>
        <v>0</v>
      </c>
      <c r="S225" s="61">
        <f t="shared" si="145"/>
        <v>0</v>
      </c>
      <c r="T225" s="61">
        <f t="shared" si="145"/>
        <v>0</v>
      </c>
      <c r="U225" s="61">
        <f t="shared" si="145"/>
        <v>0</v>
      </c>
      <c r="V225" s="61">
        <f t="shared" si="145"/>
        <v>0</v>
      </c>
      <c r="W225" s="61">
        <f t="shared" si="146"/>
        <v>0</v>
      </c>
      <c r="X225" s="61">
        <f t="shared" si="146"/>
        <v>0</v>
      </c>
      <c r="Y225" s="61">
        <f t="shared" si="146"/>
        <v>0</v>
      </c>
      <c r="Z225" s="61">
        <f t="shared" si="146"/>
        <v>0</v>
      </c>
      <c r="AA225" s="61">
        <f t="shared" si="146"/>
        <v>0</v>
      </c>
      <c r="AB225" s="61">
        <f t="shared" si="146"/>
        <v>0</v>
      </c>
      <c r="AC225" s="61">
        <f t="shared" si="146"/>
        <v>0</v>
      </c>
      <c r="AD225" s="61">
        <f t="shared" si="146"/>
        <v>0</v>
      </c>
      <c r="AE225" s="61">
        <f t="shared" si="146"/>
        <v>0</v>
      </c>
      <c r="AF225" s="61">
        <f t="shared" si="148"/>
        <v>0</v>
      </c>
      <c r="AG225" s="61">
        <f t="shared" si="150"/>
        <v>0</v>
      </c>
      <c r="AH225" s="61">
        <f t="shared" si="149"/>
        <v>0</v>
      </c>
      <c r="AI225" s="61">
        <f t="shared" si="149"/>
        <v>0</v>
      </c>
      <c r="AJ225" s="61">
        <f t="shared" si="149"/>
        <v>0</v>
      </c>
      <c r="AK225" s="61">
        <f t="shared" si="149"/>
        <v>0</v>
      </c>
      <c r="AL225" s="61">
        <f t="shared" si="149"/>
        <v>0</v>
      </c>
      <c r="AM225" s="61">
        <f t="shared" si="149"/>
        <v>0</v>
      </c>
      <c r="AN225" s="61">
        <f t="shared" si="149"/>
        <v>0</v>
      </c>
      <c r="AO225" s="61">
        <f t="shared" si="149"/>
        <v>0</v>
      </c>
      <c r="AP225" s="61">
        <f t="shared" si="149"/>
        <v>0</v>
      </c>
      <c r="AQ225" s="61"/>
    </row>
    <row r="226" spans="2:43" x14ac:dyDescent="0.25">
      <c r="B226" s="54">
        <v>0.5</v>
      </c>
      <c r="C226" s="54">
        <v>0.85416666672972796</v>
      </c>
      <c r="D226" s="60"/>
      <c r="E226" s="91"/>
      <c r="F226" s="91"/>
      <c r="G226" s="91">
        <f>SUMMARY!$AM$16</f>
        <v>0</v>
      </c>
      <c r="H226" s="92">
        <f t="shared" si="141"/>
        <v>0</v>
      </c>
      <c r="I226" s="180">
        <f>W$214-W$215</f>
        <v>0</v>
      </c>
      <c r="M226" s="61">
        <f t="shared" si="145"/>
        <v>0</v>
      </c>
      <c r="N226" s="61">
        <f t="shared" si="145"/>
        <v>0</v>
      </c>
      <c r="O226" s="61">
        <f t="shared" si="145"/>
        <v>0</v>
      </c>
      <c r="P226" s="61">
        <f t="shared" si="145"/>
        <v>0</v>
      </c>
      <c r="Q226" s="61">
        <f t="shared" si="145"/>
        <v>0</v>
      </c>
      <c r="R226" s="61">
        <f t="shared" si="145"/>
        <v>0</v>
      </c>
      <c r="S226" s="61">
        <f t="shared" si="145"/>
        <v>0</v>
      </c>
      <c r="T226" s="61">
        <f t="shared" si="145"/>
        <v>0</v>
      </c>
      <c r="U226" s="61">
        <f t="shared" si="145"/>
        <v>0</v>
      </c>
      <c r="V226" s="61">
        <f t="shared" si="145"/>
        <v>0</v>
      </c>
      <c r="W226" s="61">
        <f t="shared" si="146"/>
        <v>0</v>
      </c>
      <c r="X226" s="61">
        <f t="shared" si="146"/>
        <v>0</v>
      </c>
      <c r="Y226" s="61">
        <f t="shared" si="146"/>
        <v>0</v>
      </c>
      <c r="Z226" s="61">
        <f t="shared" si="146"/>
        <v>0</v>
      </c>
      <c r="AA226" s="61">
        <f t="shared" si="146"/>
        <v>0</v>
      </c>
      <c r="AB226" s="61">
        <f t="shared" si="146"/>
        <v>0</v>
      </c>
      <c r="AC226" s="61">
        <f t="shared" si="146"/>
        <v>0</v>
      </c>
      <c r="AD226" s="61">
        <f t="shared" si="146"/>
        <v>0</v>
      </c>
      <c r="AE226" s="61">
        <f t="shared" si="146"/>
        <v>0</v>
      </c>
      <c r="AF226" s="61">
        <f t="shared" si="148"/>
        <v>0</v>
      </c>
      <c r="AG226" s="61">
        <f t="shared" si="150"/>
        <v>0</v>
      </c>
      <c r="AH226" s="61">
        <f t="shared" si="149"/>
        <v>0</v>
      </c>
      <c r="AI226" s="61">
        <f t="shared" si="149"/>
        <v>0</v>
      </c>
      <c r="AJ226" s="61">
        <f t="shared" si="149"/>
        <v>0</v>
      </c>
      <c r="AK226" s="61">
        <f t="shared" si="149"/>
        <v>0</v>
      </c>
      <c r="AL226" s="61">
        <f t="shared" si="149"/>
        <v>0</v>
      </c>
      <c r="AM226" s="61">
        <f t="shared" si="149"/>
        <v>0</v>
      </c>
      <c r="AN226" s="61">
        <f t="shared" si="149"/>
        <v>0</v>
      </c>
      <c r="AO226" s="61">
        <f t="shared" si="149"/>
        <v>0</v>
      </c>
      <c r="AP226" s="61">
        <f t="shared" si="149"/>
        <v>0</v>
      </c>
      <c r="AQ226" s="61"/>
    </row>
    <row r="227" spans="2:43" x14ac:dyDescent="0.25">
      <c r="B227" s="54">
        <v>0.52083333333575865</v>
      </c>
      <c r="C227" s="54">
        <v>0.87500000006548695</v>
      </c>
      <c r="D227" s="60"/>
      <c r="E227" s="91"/>
      <c r="F227" s="91"/>
      <c r="G227" s="91">
        <f>SUMMARY!$AM$17</f>
        <v>0</v>
      </c>
      <c r="H227" s="92">
        <f t="shared" si="141"/>
        <v>0</v>
      </c>
      <c r="I227" s="180">
        <f>X$214-X$215</f>
        <v>0</v>
      </c>
      <c r="M227" s="61">
        <f t="shared" si="145"/>
        <v>0</v>
      </c>
      <c r="N227" s="61">
        <f t="shared" si="145"/>
        <v>0</v>
      </c>
      <c r="O227" s="61">
        <f t="shared" si="145"/>
        <v>0</v>
      </c>
      <c r="P227" s="61">
        <f t="shared" si="145"/>
        <v>0</v>
      </c>
      <c r="Q227" s="61">
        <f t="shared" si="145"/>
        <v>0</v>
      </c>
      <c r="R227" s="61">
        <f t="shared" si="145"/>
        <v>0</v>
      </c>
      <c r="S227" s="61">
        <f t="shared" si="145"/>
        <v>0</v>
      </c>
      <c r="T227" s="61">
        <f t="shared" si="145"/>
        <v>0</v>
      </c>
      <c r="U227" s="61">
        <f t="shared" si="145"/>
        <v>0</v>
      </c>
      <c r="V227" s="61">
        <f t="shared" si="145"/>
        <v>0</v>
      </c>
      <c r="W227" s="61">
        <f t="shared" si="146"/>
        <v>0</v>
      </c>
      <c r="X227" s="61">
        <f t="shared" si="146"/>
        <v>0</v>
      </c>
      <c r="Y227" s="61">
        <f t="shared" si="146"/>
        <v>0</v>
      </c>
      <c r="Z227" s="61">
        <f t="shared" si="146"/>
        <v>0</v>
      </c>
      <c r="AA227" s="61">
        <f t="shared" si="146"/>
        <v>0</v>
      </c>
      <c r="AB227" s="61">
        <f t="shared" si="146"/>
        <v>0</v>
      </c>
      <c r="AC227" s="61">
        <f t="shared" si="146"/>
        <v>0</v>
      </c>
      <c r="AD227" s="61">
        <f t="shared" si="146"/>
        <v>0</v>
      </c>
      <c r="AE227" s="61">
        <f t="shared" si="146"/>
        <v>0</v>
      </c>
      <c r="AF227" s="61">
        <f t="shared" si="148"/>
        <v>0</v>
      </c>
      <c r="AG227" s="61">
        <f t="shared" si="150"/>
        <v>0</v>
      </c>
      <c r="AH227" s="61">
        <f t="shared" si="149"/>
        <v>0</v>
      </c>
      <c r="AI227" s="61">
        <f t="shared" si="149"/>
        <v>0</v>
      </c>
      <c r="AJ227" s="61">
        <f t="shared" si="149"/>
        <v>0</v>
      </c>
      <c r="AK227" s="61">
        <f t="shared" si="149"/>
        <v>0</v>
      </c>
      <c r="AL227" s="61">
        <f t="shared" si="149"/>
        <v>0</v>
      </c>
      <c r="AM227" s="61">
        <f t="shared" si="149"/>
        <v>0</v>
      </c>
      <c r="AN227" s="61">
        <f t="shared" si="149"/>
        <v>0</v>
      </c>
      <c r="AO227" s="61">
        <f t="shared" si="149"/>
        <v>0</v>
      </c>
      <c r="AP227" s="61">
        <f t="shared" si="149"/>
        <v>0</v>
      </c>
      <c r="AQ227" s="61"/>
    </row>
    <row r="228" spans="2:43" x14ac:dyDescent="0.25">
      <c r="B228" s="54">
        <v>0.54166666666424135</v>
      </c>
      <c r="C228" s="54">
        <v>0.89583333340124605</v>
      </c>
      <c r="D228" s="60"/>
      <c r="E228" s="91"/>
      <c r="F228" s="91"/>
      <c r="G228" s="91">
        <f>SUMMARY!$AM$18</f>
        <v>0</v>
      </c>
      <c r="H228" s="92">
        <f t="shared" si="141"/>
        <v>0</v>
      </c>
      <c r="I228" s="180">
        <f>Y$214-Y$215</f>
        <v>0</v>
      </c>
      <c r="M228" s="61">
        <f t="shared" ref="M228:V237" si="151">IF(AND(M$2&gt;=$B228,M$2&lt;$C228),$E228,0)</f>
        <v>0</v>
      </c>
      <c r="N228" s="61">
        <f t="shared" si="151"/>
        <v>0</v>
      </c>
      <c r="O228" s="61">
        <f t="shared" si="151"/>
        <v>0</v>
      </c>
      <c r="P228" s="61">
        <f t="shared" si="151"/>
        <v>0</v>
      </c>
      <c r="Q228" s="61">
        <f t="shared" si="151"/>
        <v>0</v>
      </c>
      <c r="R228" s="61">
        <f t="shared" si="151"/>
        <v>0</v>
      </c>
      <c r="S228" s="61">
        <f t="shared" si="151"/>
        <v>0</v>
      </c>
      <c r="T228" s="61">
        <f t="shared" si="151"/>
        <v>0</v>
      </c>
      <c r="U228" s="61">
        <f t="shared" si="151"/>
        <v>0</v>
      </c>
      <c r="V228" s="61">
        <f t="shared" si="151"/>
        <v>0</v>
      </c>
      <c r="W228" s="61">
        <f t="shared" ref="W228:AE237" si="152">IF(AND(W$2&gt;=$B228,W$2&lt;$C228),$E228,0)</f>
        <v>0</v>
      </c>
      <c r="X228" s="61">
        <f t="shared" si="152"/>
        <v>0</v>
      </c>
      <c r="Y228" s="61">
        <f t="shared" si="152"/>
        <v>0</v>
      </c>
      <c r="Z228" s="61">
        <f t="shared" si="152"/>
        <v>0</v>
      </c>
      <c r="AA228" s="61">
        <f t="shared" si="152"/>
        <v>0</v>
      </c>
      <c r="AB228" s="61">
        <f t="shared" si="152"/>
        <v>0</v>
      </c>
      <c r="AC228" s="61">
        <f t="shared" si="152"/>
        <v>0</v>
      </c>
      <c r="AD228" s="61">
        <f t="shared" si="152"/>
        <v>0</v>
      </c>
      <c r="AE228" s="61">
        <f t="shared" si="152"/>
        <v>0</v>
      </c>
      <c r="AF228" s="61">
        <f t="shared" si="148"/>
        <v>0</v>
      </c>
      <c r="AG228" s="61">
        <f t="shared" si="150"/>
        <v>0</v>
      </c>
      <c r="AH228" s="61">
        <f t="shared" si="149"/>
        <v>0</v>
      </c>
      <c r="AI228" s="61">
        <f t="shared" si="149"/>
        <v>0</v>
      </c>
      <c r="AJ228" s="61">
        <f t="shared" si="149"/>
        <v>0</v>
      </c>
      <c r="AK228" s="61">
        <f t="shared" si="149"/>
        <v>0</v>
      </c>
      <c r="AL228" s="61">
        <f t="shared" si="149"/>
        <v>0</v>
      </c>
      <c r="AM228" s="61">
        <f t="shared" si="149"/>
        <v>0</v>
      </c>
      <c r="AN228" s="61">
        <f t="shared" si="149"/>
        <v>0</v>
      </c>
      <c r="AO228" s="61">
        <f t="shared" si="149"/>
        <v>0</v>
      </c>
      <c r="AP228" s="61">
        <f t="shared" si="149"/>
        <v>0</v>
      </c>
      <c r="AQ228" s="61"/>
    </row>
    <row r="229" spans="2:43" x14ac:dyDescent="0.25">
      <c r="B229" s="54">
        <v>0.5625</v>
      </c>
      <c r="C229" s="54">
        <v>0.91666666673700503</v>
      </c>
      <c r="D229" s="60"/>
      <c r="E229" s="91"/>
      <c r="F229" s="91"/>
      <c r="G229" s="91"/>
      <c r="H229" s="92">
        <f t="shared" si="141"/>
        <v>0</v>
      </c>
      <c r="I229" s="180">
        <f>Z$214-Z$215</f>
        <v>0</v>
      </c>
      <c r="M229" s="61">
        <f t="shared" si="151"/>
        <v>0</v>
      </c>
      <c r="N229" s="61">
        <f t="shared" si="151"/>
        <v>0</v>
      </c>
      <c r="O229" s="61">
        <f t="shared" si="151"/>
        <v>0</v>
      </c>
      <c r="P229" s="61">
        <f t="shared" si="151"/>
        <v>0</v>
      </c>
      <c r="Q229" s="61">
        <f t="shared" si="151"/>
        <v>0</v>
      </c>
      <c r="R229" s="61">
        <f t="shared" si="151"/>
        <v>0</v>
      </c>
      <c r="S229" s="61">
        <f t="shared" si="151"/>
        <v>0</v>
      </c>
      <c r="T229" s="61">
        <f t="shared" si="151"/>
        <v>0</v>
      </c>
      <c r="U229" s="61">
        <f t="shared" si="151"/>
        <v>0</v>
      </c>
      <c r="V229" s="61">
        <f t="shared" si="151"/>
        <v>0</v>
      </c>
      <c r="W229" s="61">
        <f t="shared" si="152"/>
        <v>0</v>
      </c>
      <c r="X229" s="61">
        <f t="shared" si="152"/>
        <v>0</v>
      </c>
      <c r="Y229" s="61">
        <f t="shared" si="152"/>
        <v>0</v>
      </c>
      <c r="Z229" s="61">
        <f t="shared" si="152"/>
        <v>0</v>
      </c>
      <c r="AA229" s="61">
        <f t="shared" si="152"/>
        <v>0</v>
      </c>
      <c r="AB229" s="61">
        <f t="shared" si="152"/>
        <v>0</v>
      </c>
      <c r="AC229" s="61">
        <f t="shared" si="152"/>
        <v>0</v>
      </c>
      <c r="AD229" s="61">
        <f t="shared" si="152"/>
        <v>0</v>
      </c>
      <c r="AE229" s="61">
        <f t="shared" si="152"/>
        <v>0</v>
      </c>
      <c r="AF229" s="61">
        <f t="shared" si="148"/>
        <v>0</v>
      </c>
      <c r="AG229" s="61">
        <f t="shared" si="150"/>
        <v>0</v>
      </c>
      <c r="AH229" s="61">
        <f t="shared" ref="AH229:AP238" si="153">IF(AND(AH$2&gt;=$B229,AH$2&lt;$C229),$E229,0)</f>
        <v>0</v>
      </c>
      <c r="AI229" s="61">
        <f t="shared" si="153"/>
        <v>0</v>
      </c>
      <c r="AJ229" s="61">
        <f t="shared" si="153"/>
        <v>0</v>
      </c>
      <c r="AK229" s="61">
        <f t="shared" si="153"/>
        <v>0</v>
      </c>
      <c r="AL229" s="61">
        <f t="shared" si="153"/>
        <v>0</v>
      </c>
      <c r="AM229" s="61">
        <f t="shared" si="153"/>
        <v>0</v>
      </c>
      <c r="AN229" s="61">
        <f t="shared" si="153"/>
        <v>0</v>
      </c>
      <c r="AO229" s="61">
        <f t="shared" si="153"/>
        <v>0</v>
      </c>
      <c r="AP229" s="61">
        <f t="shared" si="153"/>
        <v>0</v>
      </c>
      <c r="AQ229" s="61"/>
    </row>
    <row r="230" spans="2:43" x14ac:dyDescent="0.25">
      <c r="B230" s="54">
        <v>0.58333333333575899</v>
      </c>
      <c r="C230" s="54">
        <v>0.93750000007276402</v>
      </c>
      <c r="D230" s="60"/>
      <c r="E230" s="91"/>
      <c r="F230" s="91"/>
      <c r="G230" s="91"/>
      <c r="H230" s="92">
        <f t="shared" si="141"/>
        <v>0</v>
      </c>
      <c r="I230" s="180">
        <f>AA$214-AA$215</f>
        <v>0</v>
      </c>
      <c r="M230" s="61">
        <f t="shared" si="151"/>
        <v>0</v>
      </c>
      <c r="N230" s="61">
        <f t="shared" si="151"/>
        <v>0</v>
      </c>
      <c r="O230" s="61">
        <f t="shared" si="151"/>
        <v>0</v>
      </c>
      <c r="P230" s="61">
        <f t="shared" si="151"/>
        <v>0</v>
      </c>
      <c r="Q230" s="61">
        <f t="shared" si="151"/>
        <v>0</v>
      </c>
      <c r="R230" s="61">
        <f t="shared" si="151"/>
        <v>0</v>
      </c>
      <c r="S230" s="61">
        <f t="shared" si="151"/>
        <v>0</v>
      </c>
      <c r="T230" s="61">
        <f t="shared" si="151"/>
        <v>0</v>
      </c>
      <c r="U230" s="61">
        <f t="shared" si="151"/>
        <v>0</v>
      </c>
      <c r="V230" s="61">
        <f t="shared" si="151"/>
        <v>0</v>
      </c>
      <c r="W230" s="61">
        <f t="shared" si="152"/>
        <v>0</v>
      </c>
      <c r="X230" s="61">
        <f t="shared" si="152"/>
        <v>0</v>
      </c>
      <c r="Y230" s="61">
        <f t="shared" si="152"/>
        <v>0</v>
      </c>
      <c r="Z230" s="61">
        <f t="shared" si="152"/>
        <v>0</v>
      </c>
      <c r="AA230" s="61">
        <f t="shared" si="152"/>
        <v>0</v>
      </c>
      <c r="AB230" s="61">
        <f t="shared" si="152"/>
        <v>0</v>
      </c>
      <c r="AC230" s="61">
        <f t="shared" si="152"/>
        <v>0</v>
      </c>
      <c r="AD230" s="61">
        <f t="shared" si="152"/>
        <v>0</v>
      </c>
      <c r="AE230" s="61">
        <f t="shared" si="152"/>
        <v>0</v>
      </c>
      <c r="AF230" s="61">
        <f t="shared" si="148"/>
        <v>0</v>
      </c>
      <c r="AG230" s="61">
        <f t="shared" si="150"/>
        <v>0</v>
      </c>
      <c r="AH230" s="61">
        <f t="shared" si="153"/>
        <v>0</v>
      </c>
      <c r="AI230" s="61">
        <f t="shared" si="153"/>
        <v>0</v>
      </c>
      <c r="AJ230" s="61">
        <f t="shared" si="153"/>
        <v>0</v>
      </c>
      <c r="AK230" s="61">
        <f t="shared" si="153"/>
        <v>0</v>
      </c>
      <c r="AL230" s="61">
        <f t="shared" si="153"/>
        <v>0</v>
      </c>
      <c r="AM230" s="61">
        <f t="shared" si="153"/>
        <v>0</v>
      </c>
      <c r="AN230" s="61">
        <f t="shared" si="153"/>
        <v>0</v>
      </c>
      <c r="AO230" s="61">
        <f t="shared" si="153"/>
        <v>0</v>
      </c>
      <c r="AP230" s="61">
        <f t="shared" si="153"/>
        <v>0</v>
      </c>
      <c r="AQ230" s="61"/>
    </row>
    <row r="231" spans="2:43" x14ac:dyDescent="0.25">
      <c r="B231" s="54">
        <v>0.60416666667151697</v>
      </c>
      <c r="C231" s="54">
        <v>0.958333333408523</v>
      </c>
      <c r="D231" s="60"/>
      <c r="E231" s="91"/>
      <c r="F231" s="91"/>
      <c r="G231" s="91"/>
      <c r="H231" s="92">
        <f t="shared" si="141"/>
        <v>0</v>
      </c>
      <c r="I231" s="180">
        <f>AB$214-AB$215</f>
        <v>0</v>
      </c>
      <c r="M231" s="61">
        <f t="shared" si="151"/>
        <v>0</v>
      </c>
      <c r="N231" s="61">
        <f t="shared" si="151"/>
        <v>0</v>
      </c>
      <c r="O231" s="61">
        <f t="shared" si="151"/>
        <v>0</v>
      </c>
      <c r="P231" s="61">
        <f t="shared" si="151"/>
        <v>0</v>
      </c>
      <c r="Q231" s="61">
        <f t="shared" si="151"/>
        <v>0</v>
      </c>
      <c r="R231" s="61">
        <f t="shared" si="151"/>
        <v>0</v>
      </c>
      <c r="S231" s="61">
        <f t="shared" si="151"/>
        <v>0</v>
      </c>
      <c r="T231" s="61">
        <f t="shared" si="151"/>
        <v>0</v>
      </c>
      <c r="U231" s="61">
        <f t="shared" si="151"/>
        <v>0</v>
      </c>
      <c r="V231" s="61">
        <f t="shared" si="151"/>
        <v>0</v>
      </c>
      <c r="W231" s="61">
        <f t="shared" si="152"/>
        <v>0</v>
      </c>
      <c r="X231" s="61">
        <f t="shared" si="152"/>
        <v>0</v>
      </c>
      <c r="Y231" s="61">
        <f t="shared" si="152"/>
        <v>0</v>
      </c>
      <c r="Z231" s="61">
        <f t="shared" si="152"/>
        <v>0</v>
      </c>
      <c r="AA231" s="61">
        <f t="shared" si="152"/>
        <v>0</v>
      </c>
      <c r="AB231" s="61">
        <f t="shared" si="152"/>
        <v>0</v>
      </c>
      <c r="AC231" s="61">
        <f t="shared" si="152"/>
        <v>0</v>
      </c>
      <c r="AD231" s="61">
        <f t="shared" si="152"/>
        <v>0</v>
      </c>
      <c r="AE231" s="61">
        <f t="shared" si="152"/>
        <v>0</v>
      </c>
      <c r="AF231" s="61">
        <f t="shared" si="148"/>
        <v>0</v>
      </c>
      <c r="AG231" s="61">
        <f t="shared" si="150"/>
        <v>0</v>
      </c>
      <c r="AH231" s="61">
        <f t="shared" si="153"/>
        <v>0</v>
      </c>
      <c r="AI231" s="61">
        <f t="shared" si="153"/>
        <v>0</v>
      </c>
      <c r="AJ231" s="61">
        <f t="shared" si="153"/>
        <v>0</v>
      </c>
      <c r="AK231" s="61">
        <f t="shared" si="153"/>
        <v>0</v>
      </c>
      <c r="AL231" s="61">
        <f t="shared" si="153"/>
        <v>0</v>
      </c>
      <c r="AM231" s="61">
        <f t="shared" si="153"/>
        <v>0</v>
      </c>
      <c r="AN231" s="61">
        <f t="shared" si="153"/>
        <v>0</v>
      </c>
      <c r="AO231" s="61">
        <f t="shared" si="153"/>
        <v>0</v>
      </c>
      <c r="AP231" s="61">
        <f t="shared" si="153"/>
        <v>0</v>
      </c>
      <c r="AQ231" s="61"/>
    </row>
    <row r="232" spans="2:43" x14ac:dyDescent="0.25">
      <c r="B232" s="54">
        <v>0.62500000000727596</v>
      </c>
      <c r="C232" s="54">
        <v>0.97916666674428199</v>
      </c>
      <c r="D232" s="60"/>
      <c r="E232" s="91"/>
      <c r="F232" s="91"/>
      <c r="G232" s="91"/>
      <c r="H232" s="92">
        <f t="shared" si="141"/>
        <v>0</v>
      </c>
      <c r="I232" s="180">
        <f>AC$214-AC$215</f>
        <v>0</v>
      </c>
      <c r="M232" s="61">
        <f t="shared" si="151"/>
        <v>0</v>
      </c>
      <c r="N232" s="61">
        <f t="shared" si="151"/>
        <v>0</v>
      </c>
      <c r="O232" s="61">
        <f t="shared" si="151"/>
        <v>0</v>
      </c>
      <c r="P232" s="61">
        <f t="shared" si="151"/>
        <v>0</v>
      </c>
      <c r="Q232" s="61">
        <f t="shared" si="151"/>
        <v>0</v>
      </c>
      <c r="R232" s="61">
        <f t="shared" si="151"/>
        <v>0</v>
      </c>
      <c r="S232" s="61">
        <f t="shared" si="151"/>
        <v>0</v>
      </c>
      <c r="T232" s="61">
        <f t="shared" si="151"/>
        <v>0</v>
      </c>
      <c r="U232" s="61">
        <f t="shared" si="151"/>
        <v>0</v>
      </c>
      <c r="V232" s="61">
        <f t="shared" si="151"/>
        <v>0</v>
      </c>
      <c r="W232" s="61">
        <f t="shared" si="152"/>
        <v>0</v>
      </c>
      <c r="X232" s="61">
        <f t="shared" si="152"/>
        <v>0</v>
      </c>
      <c r="Y232" s="61">
        <f t="shared" si="152"/>
        <v>0</v>
      </c>
      <c r="Z232" s="61">
        <f t="shared" si="152"/>
        <v>0</v>
      </c>
      <c r="AA232" s="61">
        <f t="shared" si="152"/>
        <v>0</v>
      </c>
      <c r="AB232" s="61">
        <f t="shared" si="152"/>
        <v>0</v>
      </c>
      <c r="AC232" s="61">
        <f t="shared" si="152"/>
        <v>0</v>
      </c>
      <c r="AD232" s="61">
        <f t="shared" si="152"/>
        <v>0</v>
      </c>
      <c r="AE232" s="61">
        <f t="shared" si="152"/>
        <v>0</v>
      </c>
      <c r="AF232" s="61">
        <f t="shared" si="148"/>
        <v>0</v>
      </c>
      <c r="AG232" s="61">
        <f t="shared" si="150"/>
        <v>0</v>
      </c>
      <c r="AH232" s="61">
        <f t="shared" si="153"/>
        <v>0</v>
      </c>
      <c r="AI232" s="61">
        <f t="shared" si="153"/>
        <v>0</v>
      </c>
      <c r="AJ232" s="61">
        <f t="shared" si="153"/>
        <v>0</v>
      </c>
      <c r="AK232" s="61">
        <f t="shared" si="153"/>
        <v>0</v>
      </c>
      <c r="AL232" s="61">
        <f t="shared" si="153"/>
        <v>0</v>
      </c>
      <c r="AM232" s="61">
        <f t="shared" si="153"/>
        <v>0</v>
      </c>
      <c r="AN232" s="61">
        <f t="shared" si="153"/>
        <v>0</v>
      </c>
      <c r="AO232" s="61">
        <f t="shared" si="153"/>
        <v>0</v>
      </c>
      <c r="AP232" s="61">
        <f t="shared" si="153"/>
        <v>0</v>
      </c>
      <c r="AQ232" s="61"/>
    </row>
    <row r="233" spans="2:43" x14ac:dyDescent="0.25">
      <c r="B233" s="54">
        <v>0.64583333334303406</v>
      </c>
      <c r="C233" s="54">
        <v>1.00000000008004</v>
      </c>
      <c r="D233" s="60"/>
      <c r="E233" s="91"/>
      <c r="F233" s="91"/>
      <c r="G233" s="91"/>
      <c r="H233" s="92">
        <f t="shared" si="141"/>
        <v>0</v>
      </c>
      <c r="I233" s="180">
        <f>AD$214-AD$215</f>
        <v>0</v>
      </c>
      <c r="M233" s="61">
        <f t="shared" si="151"/>
        <v>0</v>
      </c>
      <c r="N233" s="61">
        <f t="shared" si="151"/>
        <v>0</v>
      </c>
      <c r="O233" s="61">
        <f t="shared" si="151"/>
        <v>0</v>
      </c>
      <c r="P233" s="61">
        <f t="shared" si="151"/>
        <v>0</v>
      </c>
      <c r="Q233" s="61">
        <f t="shared" si="151"/>
        <v>0</v>
      </c>
      <c r="R233" s="61">
        <f t="shared" si="151"/>
        <v>0</v>
      </c>
      <c r="S233" s="61">
        <f t="shared" si="151"/>
        <v>0</v>
      </c>
      <c r="T233" s="61">
        <f t="shared" si="151"/>
        <v>0</v>
      </c>
      <c r="U233" s="61">
        <f t="shared" si="151"/>
        <v>0</v>
      </c>
      <c r="V233" s="61">
        <f t="shared" si="151"/>
        <v>0</v>
      </c>
      <c r="W233" s="61">
        <f t="shared" si="152"/>
        <v>0</v>
      </c>
      <c r="X233" s="61">
        <f t="shared" si="152"/>
        <v>0</v>
      </c>
      <c r="Y233" s="61">
        <f t="shared" si="152"/>
        <v>0</v>
      </c>
      <c r="Z233" s="61">
        <f t="shared" si="152"/>
        <v>0</v>
      </c>
      <c r="AA233" s="61">
        <f t="shared" si="152"/>
        <v>0</v>
      </c>
      <c r="AB233" s="61">
        <f t="shared" si="152"/>
        <v>0</v>
      </c>
      <c r="AC233" s="61">
        <f t="shared" si="152"/>
        <v>0</v>
      </c>
      <c r="AD233" s="61">
        <f t="shared" si="152"/>
        <v>0</v>
      </c>
      <c r="AE233" s="61">
        <f t="shared" si="152"/>
        <v>0</v>
      </c>
      <c r="AF233" s="61">
        <f t="shared" si="148"/>
        <v>0</v>
      </c>
      <c r="AG233" s="61">
        <f t="shared" si="150"/>
        <v>0</v>
      </c>
      <c r="AH233" s="61">
        <f t="shared" si="153"/>
        <v>0</v>
      </c>
      <c r="AI233" s="61">
        <f t="shared" si="153"/>
        <v>0</v>
      </c>
      <c r="AJ233" s="61">
        <f t="shared" si="153"/>
        <v>0</v>
      </c>
      <c r="AK233" s="61">
        <f t="shared" si="153"/>
        <v>0</v>
      </c>
      <c r="AL233" s="61">
        <f t="shared" si="153"/>
        <v>0</v>
      </c>
      <c r="AM233" s="61">
        <f t="shared" si="153"/>
        <v>0</v>
      </c>
      <c r="AN233" s="61">
        <f t="shared" si="153"/>
        <v>0</v>
      </c>
      <c r="AO233" s="61">
        <f t="shared" si="153"/>
        <v>0</v>
      </c>
      <c r="AP233" s="61">
        <f t="shared" si="153"/>
        <v>0</v>
      </c>
      <c r="AQ233" s="61"/>
    </row>
    <row r="234" spans="2:43" x14ac:dyDescent="0.25">
      <c r="B234" s="54">
        <v>0.66666666667879304</v>
      </c>
      <c r="C234" s="54">
        <v>1.0208333334158</v>
      </c>
      <c r="D234" s="60"/>
      <c r="E234" s="91"/>
      <c r="F234" s="91"/>
      <c r="G234" s="91"/>
      <c r="H234" s="92">
        <f t="shared" si="141"/>
        <v>0</v>
      </c>
      <c r="I234" s="180">
        <f>AE$214-AE$215</f>
        <v>0</v>
      </c>
      <c r="M234" s="61">
        <f t="shared" si="151"/>
        <v>0</v>
      </c>
      <c r="N234" s="61">
        <f t="shared" si="151"/>
        <v>0</v>
      </c>
      <c r="O234" s="61">
        <f t="shared" si="151"/>
        <v>0</v>
      </c>
      <c r="P234" s="61">
        <f t="shared" si="151"/>
        <v>0</v>
      </c>
      <c r="Q234" s="61">
        <f t="shared" si="151"/>
        <v>0</v>
      </c>
      <c r="R234" s="61">
        <f t="shared" si="151"/>
        <v>0</v>
      </c>
      <c r="S234" s="61">
        <f t="shared" si="151"/>
        <v>0</v>
      </c>
      <c r="T234" s="61">
        <f t="shared" si="151"/>
        <v>0</v>
      </c>
      <c r="U234" s="61">
        <f t="shared" si="151"/>
        <v>0</v>
      </c>
      <c r="V234" s="61">
        <f t="shared" si="151"/>
        <v>0</v>
      </c>
      <c r="W234" s="61">
        <f t="shared" si="152"/>
        <v>0</v>
      </c>
      <c r="X234" s="61">
        <f t="shared" si="152"/>
        <v>0</v>
      </c>
      <c r="Y234" s="61">
        <f t="shared" si="152"/>
        <v>0</v>
      </c>
      <c r="Z234" s="61">
        <f t="shared" si="152"/>
        <v>0</v>
      </c>
      <c r="AA234" s="61">
        <f t="shared" si="152"/>
        <v>0</v>
      </c>
      <c r="AB234" s="61">
        <f t="shared" si="152"/>
        <v>0</v>
      </c>
      <c r="AC234" s="61">
        <f t="shared" si="152"/>
        <v>0</v>
      </c>
      <c r="AD234" s="61">
        <f t="shared" si="152"/>
        <v>0</v>
      </c>
      <c r="AE234" s="61">
        <f t="shared" si="152"/>
        <v>0</v>
      </c>
      <c r="AF234" s="61">
        <f t="shared" si="148"/>
        <v>0</v>
      </c>
      <c r="AG234" s="61">
        <f t="shared" si="150"/>
        <v>0</v>
      </c>
      <c r="AH234" s="61">
        <f t="shared" si="153"/>
        <v>0</v>
      </c>
      <c r="AI234" s="61">
        <f t="shared" si="153"/>
        <v>0</v>
      </c>
      <c r="AJ234" s="61">
        <f t="shared" si="153"/>
        <v>0</v>
      </c>
      <c r="AK234" s="61">
        <f t="shared" si="153"/>
        <v>0</v>
      </c>
      <c r="AL234" s="61">
        <f t="shared" si="153"/>
        <v>0</v>
      </c>
      <c r="AM234" s="61">
        <f t="shared" si="153"/>
        <v>0</v>
      </c>
      <c r="AN234" s="61">
        <f t="shared" si="153"/>
        <v>0</v>
      </c>
      <c r="AO234" s="61">
        <f t="shared" si="153"/>
        <v>0</v>
      </c>
      <c r="AP234" s="61">
        <f t="shared" si="153"/>
        <v>0</v>
      </c>
      <c r="AQ234" s="61"/>
    </row>
    <row r="235" spans="2:43" x14ac:dyDescent="0.25">
      <c r="B235" s="54">
        <v>0.68750000001455203</v>
      </c>
      <c r="C235" s="54">
        <v>1.0416666667515599</v>
      </c>
      <c r="D235" s="60"/>
      <c r="E235" s="91"/>
      <c r="F235" s="91"/>
      <c r="G235" s="91"/>
      <c r="H235" s="92">
        <f t="shared" si="141"/>
        <v>0</v>
      </c>
      <c r="I235" s="180">
        <f>AF$214-AF$215</f>
        <v>0</v>
      </c>
      <c r="M235" s="61">
        <f t="shared" si="151"/>
        <v>0</v>
      </c>
      <c r="N235" s="61">
        <f t="shared" si="151"/>
        <v>0</v>
      </c>
      <c r="O235" s="61">
        <f t="shared" si="151"/>
        <v>0</v>
      </c>
      <c r="P235" s="61">
        <f t="shared" si="151"/>
        <v>0</v>
      </c>
      <c r="Q235" s="61">
        <f t="shared" si="151"/>
        <v>0</v>
      </c>
      <c r="R235" s="61">
        <f t="shared" si="151"/>
        <v>0</v>
      </c>
      <c r="S235" s="61">
        <f t="shared" si="151"/>
        <v>0</v>
      </c>
      <c r="T235" s="61">
        <f t="shared" si="151"/>
        <v>0</v>
      </c>
      <c r="U235" s="61">
        <f t="shared" si="151"/>
        <v>0</v>
      </c>
      <c r="V235" s="61">
        <f t="shared" si="151"/>
        <v>0</v>
      </c>
      <c r="W235" s="61">
        <f t="shared" si="152"/>
        <v>0</v>
      </c>
      <c r="X235" s="61">
        <f t="shared" si="152"/>
        <v>0</v>
      </c>
      <c r="Y235" s="61">
        <f t="shared" si="152"/>
        <v>0</v>
      </c>
      <c r="Z235" s="61">
        <f t="shared" si="152"/>
        <v>0</v>
      </c>
      <c r="AA235" s="61">
        <f t="shared" si="152"/>
        <v>0</v>
      </c>
      <c r="AB235" s="61">
        <f t="shared" si="152"/>
        <v>0</v>
      </c>
      <c r="AC235" s="61">
        <f t="shared" si="152"/>
        <v>0</v>
      </c>
      <c r="AD235" s="61">
        <f t="shared" si="152"/>
        <v>0</v>
      </c>
      <c r="AE235" s="61">
        <f t="shared" si="152"/>
        <v>0</v>
      </c>
      <c r="AF235" s="61">
        <f t="shared" si="148"/>
        <v>0</v>
      </c>
      <c r="AG235" s="61">
        <f t="shared" si="150"/>
        <v>0</v>
      </c>
      <c r="AH235" s="61">
        <f t="shared" si="153"/>
        <v>0</v>
      </c>
      <c r="AI235" s="61">
        <f t="shared" si="153"/>
        <v>0</v>
      </c>
      <c r="AJ235" s="61">
        <f t="shared" si="153"/>
        <v>0</v>
      </c>
      <c r="AK235" s="61">
        <f t="shared" si="153"/>
        <v>0</v>
      </c>
      <c r="AL235" s="61">
        <f t="shared" si="153"/>
        <v>0</v>
      </c>
      <c r="AM235" s="61">
        <f t="shared" si="153"/>
        <v>0</v>
      </c>
      <c r="AN235" s="61">
        <f t="shared" si="153"/>
        <v>0</v>
      </c>
      <c r="AO235" s="61">
        <f t="shared" si="153"/>
        <v>0</v>
      </c>
      <c r="AP235" s="61">
        <f t="shared" si="153"/>
        <v>0</v>
      </c>
      <c r="AQ235" s="61"/>
    </row>
    <row r="236" spans="2:43" x14ac:dyDescent="0.25">
      <c r="B236" s="54">
        <v>0.70833333335031001</v>
      </c>
      <c r="C236" s="54">
        <v>1.0625000000873199</v>
      </c>
      <c r="D236" s="60"/>
      <c r="E236" s="91"/>
      <c r="F236" s="91"/>
      <c r="G236" s="91"/>
      <c r="H236" s="92">
        <f t="shared" si="141"/>
        <v>0</v>
      </c>
      <c r="I236" s="180">
        <f>AG$214-AG$215</f>
        <v>0</v>
      </c>
      <c r="M236" s="61">
        <f t="shared" si="151"/>
        <v>0</v>
      </c>
      <c r="N236" s="61">
        <f t="shared" si="151"/>
        <v>0</v>
      </c>
      <c r="O236" s="61">
        <f t="shared" si="151"/>
        <v>0</v>
      </c>
      <c r="P236" s="61">
        <f t="shared" si="151"/>
        <v>0</v>
      </c>
      <c r="Q236" s="61">
        <f t="shared" si="151"/>
        <v>0</v>
      </c>
      <c r="R236" s="61">
        <f t="shared" si="151"/>
        <v>0</v>
      </c>
      <c r="S236" s="61">
        <f t="shared" si="151"/>
        <v>0</v>
      </c>
      <c r="T236" s="61">
        <f t="shared" si="151"/>
        <v>0</v>
      </c>
      <c r="U236" s="61">
        <f t="shared" si="151"/>
        <v>0</v>
      </c>
      <c r="V236" s="61">
        <f t="shared" si="151"/>
        <v>0</v>
      </c>
      <c r="W236" s="61">
        <f t="shared" si="152"/>
        <v>0</v>
      </c>
      <c r="X236" s="61">
        <f t="shared" si="152"/>
        <v>0</v>
      </c>
      <c r="Y236" s="61">
        <f t="shared" si="152"/>
        <v>0</v>
      </c>
      <c r="Z236" s="61">
        <f t="shared" si="152"/>
        <v>0</v>
      </c>
      <c r="AA236" s="61">
        <f t="shared" si="152"/>
        <v>0</v>
      </c>
      <c r="AB236" s="61">
        <f t="shared" si="152"/>
        <v>0</v>
      </c>
      <c r="AC236" s="61">
        <f t="shared" si="152"/>
        <v>0</v>
      </c>
      <c r="AD236" s="61">
        <f t="shared" si="152"/>
        <v>0</v>
      </c>
      <c r="AE236" s="61">
        <f t="shared" si="152"/>
        <v>0</v>
      </c>
      <c r="AF236" s="61">
        <f t="shared" si="148"/>
        <v>0</v>
      </c>
      <c r="AG236" s="61">
        <f t="shared" si="150"/>
        <v>0</v>
      </c>
      <c r="AH236" s="61">
        <f t="shared" si="153"/>
        <v>0</v>
      </c>
      <c r="AI236" s="61">
        <f t="shared" si="153"/>
        <v>0</v>
      </c>
      <c r="AJ236" s="61">
        <f t="shared" si="153"/>
        <v>0</v>
      </c>
      <c r="AK236" s="61">
        <f t="shared" si="153"/>
        <v>0</v>
      </c>
      <c r="AL236" s="61">
        <f t="shared" si="153"/>
        <v>0</v>
      </c>
      <c r="AM236" s="61">
        <f t="shared" si="153"/>
        <v>0</v>
      </c>
      <c r="AN236" s="61">
        <f t="shared" si="153"/>
        <v>0</v>
      </c>
      <c r="AO236" s="61">
        <f t="shared" si="153"/>
        <v>0</v>
      </c>
      <c r="AP236" s="61">
        <f t="shared" si="153"/>
        <v>0</v>
      </c>
      <c r="AQ236" s="61"/>
    </row>
    <row r="237" spans="2:43" x14ac:dyDescent="0.25">
      <c r="B237" s="54">
        <v>0.729166666686069</v>
      </c>
      <c r="C237" s="54">
        <v>1.0833333334230799</v>
      </c>
      <c r="D237" s="60"/>
      <c r="E237" s="91"/>
      <c r="F237" s="91"/>
      <c r="G237" s="91"/>
      <c r="H237" s="92">
        <f t="shared" si="141"/>
        <v>0</v>
      </c>
      <c r="I237" s="180">
        <f>AH$214-AH$215</f>
        <v>0</v>
      </c>
      <c r="M237" s="61">
        <f t="shared" si="151"/>
        <v>0</v>
      </c>
      <c r="N237" s="61">
        <f t="shared" si="151"/>
        <v>0</v>
      </c>
      <c r="O237" s="61">
        <f t="shared" si="151"/>
        <v>0</v>
      </c>
      <c r="P237" s="61">
        <f t="shared" si="151"/>
        <v>0</v>
      </c>
      <c r="Q237" s="61">
        <f t="shared" si="151"/>
        <v>0</v>
      </c>
      <c r="R237" s="61">
        <f t="shared" si="151"/>
        <v>0</v>
      </c>
      <c r="S237" s="61">
        <f t="shared" si="151"/>
        <v>0</v>
      </c>
      <c r="T237" s="61">
        <f t="shared" si="151"/>
        <v>0</v>
      </c>
      <c r="U237" s="61">
        <f t="shared" si="151"/>
        <v>0</v>
      </c>
      <c r="V237" s="61">
        <f t="shared" si="151"/>
        <v>0</v>
      </c>
      <c r="W237" s="61">
        <f t="shared" si="152"/>
        <v>0</v>
      </c>
      <c r="X237" s="61">
        <f t="shared" si="152"/>
        <v>0</v>
      </c>
      <c r="Y237" s="61">
        <f t="shared" si="152"/>
        <v>0</v>
      </c>
      <c r="Z237" s="61">
        <f t="shared" si="152"/>
        <v>0</v>
      </c>
      <c r="AA237" s="61">
        <f t="shared" si="152"/>
        <v>0</v>
      </c>
      <c r="AB237" s="61">
        <f t="shared" si="152"/>
        <v>0</v>
      </c>
      <c r="AC237" s="61">
        <f t="shared" si="152"/>
        <v>0</v>
      </c>
      <c r="AD237" s="61">
        <f t="shared" si="152"/>
        <v>0</v>
      </c>
      <c r="AE237" s="61">
        <f t="shared" si="152"/>
        <v>0</v>
      </c>
      <c r="AF237" s="61">
        <f t="shared" si="148"/>
        <v>0</v>
      </c>
      <c r="AG237" s="61">
        <f t="shared" si="150"/>
        <v>0</v>
      </c>
      <c r="AH237" s="61">
        <f t="shared" si="153"/>
        <v>0</v>
      </c>
      <c r="AI237" s="61">
        <f t="shared" si="153"/>
        <v>0</v>
      </c>
      <c r="AJ237" s="61">
        <f t="shared" si="153"/>
        <v>0</v>
      </c>
      <c r="AK237" s="61">
        <f t="shared" si="153"/>
        <v>0</v>
      </c>
      <c r="AL237" s="61">
        <f t="shared" si="153"/>
        <v>0</v>
      </c>
      <c r="AM237" s="61">
        <f t="shared" si="153"/>
        <v>0</v>
      </c>
      <c r="AN237" s="61">
        <f t="shared" si="153"/>
        <v>0</v>
      </c>
      <c r="AO237" s="61">
        <f t="shared" si="153"/>
        <v>0</v>
      </c>
      <c r="AP237" s="61">
        <f t="shared" si="153"/>
        <v>0</v>
      </c>
      <c r="AQ237" s="61"/>
    </row>
    <row r="238" spans="2:43" x14ac:dyDescent="0.25">
      <c r="B238" s="54">
        <v>0.75000000002182798</v>
      </c>
      <c r="C238" s="54">
        <v>1.1041666667588399</v>
      </c>
      <c r="D238" s="60"/>
      <c r="E238" s="91"/>
      <c r="F238" s="91"/>
      <c r="G238" s="91"/>
      <c r="H238" s="92">
        <f t="shared" si="141"/>
        <v>0</v>
      </c>
      <c r="I238" s="180">
        <f>AI$214-AI$215</f>
        <v>0</v>
      </c>
      <c r="M238" s="61">
        <f t="shared" ref="M238:V245" si="154">IF(AND(M$2&gt;=$B238,M$2&lt;$C238),$E238,0)</f>
        <v>0</v>
      </c>
      <c r="N238" s="61">
        <f t="shared" si="154"/>
        <v>0</v>
      </c>
      <c r="O238" s="61">
        <f t="shared" si="154"/>
        <v>0</v>
      </c>
      <c r="P238" s="61">
        <f t="shared" si="154"/>
        <v>0</v>
      </c>
      <c r="Q238" s="61">
        <f t="shared" si="154"/>
        <v>0</v>
      </c>
      <c r="R238" s="61">
        <f t="shared" si="154"/>
        <v>0</v>
      </c>
      <c r="S238" s="61">
        <f t="shared" si="154"/>
        <v>0</v>
      </c>
      <c r="T238" s="61">
        <f t="shared" si="154"/>
        <v>0</v>
      </c>
      <c r="U238" s="61">
        <f t="shared" si="154"/>
        <v>0</v>
      </c>
      <c r="V238" s="61">
        <f t="shared" si="154"/>
        <v>0</v>
      </c>
      <c r="W238" s="61">
        <f t="shared" ref="W238:AE245" si="155">IF(AND(W$2&gt;=$B238,W$2&lt;$C238),$E238,0)</f>
        <v>0</v>
      </c>
      <c r="X238" s="61">
        <f t="shared" si="155"/>
        <v>0</v>
      </c>
      <c r="Y238" s="61">
        <f t="shared" si="155"/>
        <v>0</v>
      </c>
      <c r="Z238" s="61">
        <f t="shared" si="155"/>
        <v>0</v>
      </c>
      <c r="AA238" s="61">
        <f t="shared" si="155"/>
        <v>0</v>
      </c>
      <c r="AB238" s="61">
        <f t="shared" si="155"/>
        <v>0</v>
      </c>
      <c r="AC238" s="61">
        <f t="shared" si="155"/>
        <v>0</v>
      </c>
      <c r="AD238" s="61">
        <f t="shared" si="155"/>
        <v>0</v>
      </c>
      <c r="AE238" s="61">
        <f t="shared" si="155"/>
        <v>0</v>
      </c>
      <c r="AF238" s="61">
        <f t="shared" si="148"/>
        <v>0</v>
      </c>
      <c r="AG238" s="61">
        <f t="shared" si="150"/>
        <v>0</v>
      </c>
      <c r="AH238" s="61">
        <f t="shared" si="153"/>
        <v>0</v>
      </c>
      <c r="AI238" s="61">
        <f t="shared" si="153"/>
        <v>0</v>
      </c>
      <c r="AJ238" s="61">
        <f t="shared" si="153"/>
        <v>0</v>
      </c>
      <c r="AK238" s="61">
        <f t="shared" si="153"/>
        <v>0</v>
      </c>
      <c r="AL238" s="61">
        <f t="shared" si="153"/>
        <v>0</v>
      </c>
      <c r="AM238" s="61">
        <f t="shared" si="153"/>
        <v>0</v>
      </c>
      <c r="AN238" s="61">
        <f t="shared" si="153"/>
        <v>0</v>
      </c>
      <c r="AO238" s="61">
        <f t="shared" si="153"/>
        <v>0</v>
      </c>
      <c r="AP238" s="61">
        <f t="shared" si="153"/>
        <v>0</v>
      </c>
      <c r="AQ238" s="61"/>
    </row>
    <row r="239" spans="2:43" x14ac:dyDescent="0.25">
      <c r="B239" s="54">
        <v>0.77083333335758597</v>
      </c>
      <c r="C239" s="54">
        <v>1.1250000000945899</v>
      </c>
      <c r="D239" s="60"/>
      <c r="E239" s="91"/>
      <c r="F239" s="91"/>
      <c r="G239" s="91"/>
      <c r="H239" s="92">
        <f t="shared" si="141"/>
        <v>0</v>
      </c>
      <c r="I239" s="180">
        <f>AJ$214-AJ$215</f>
        <v>0</v>
      </c>
      <c r="M239" s="61">
        <f t="shared" si="154"/>
        <v>0</v>
      </c>
      <c r="N239" s="61">
        <f t="shared" si="154"/>
        <v>0</v>
      </c>
      <c r="O239" s="61">
        <f t="shared" si="154"/>
        <v>0</v>
      </c>
      <c r="P239" s="61">
        <f t="shared" si="154"/>
        <v>0</v>
      </c>
      <c r="Q239" s="61">
        <f t="shared" si="154"/>
        <v>0</v>
      </c>
      <c r="R239" s="61">
        <f t="shared" si="154"/>
        <v>0</v>
      </c>
      <c r="S239" s="61">
        <f t="shared" si="154"/>
        <v>0</v>
      </c>
      <c r="T239" s="61">
        <f t="shared" si="154"/>
        <v>0</v>
      </c>
      <c r="U239" s="61">
        <f t="shared" si="154"/>
        <v>0</v>
      </c>
      <c r="V239" s="61">
        <f t="shared" si="154"/>
        <v>0</v>
      </c>
      <c r="W239" s="61">
        <f t="shared" si="155"/>
        <v>0</v>
      </c>
      <c r="X239" s="61">
        <f t="shared" si="155"/>
        <v>0</v>
      </c>
      <c r="Y239" s="61">
        <f t="shared" si="155"/>
        <v>0</v>
      </c>
      <c r="Z239" s="61">
        <f t="shared" si="155"/>
        <v>0</v>
      </c>
      <c r="AA239" s="61">
        <f t="shared" si="155"/>
        <v>0</v>
      </c>
      <c r="AB239" s="61">
        <f t="shared" si="155"/>
        <v>0</v>
      </c>
      <c r="AC239" s="61">
        <f t="shared" si="155"/>
        <v>0</v>
      </c>
      <c r="AD239" s="61">
        <f t="shared" si="155"/>
        <v>0</v>
      </c>
      <c r="AE239" s="61">
        <f t="shared" si="155"/>
        <v>0</v>
      </c>
      <c r="AF239" s="61">
        <f t="shared" si="148"/>
        <v>0</v>
      </c>
      <c r="AG239" s="61">
        <f t="shared" si="150"/>
        <v>0</v>
      </c>
      <c r="AH239" s="61">
        <f t="shared" ref="AH239:AP245" si="156">IF(AND(AH$2&gt;=$B239,AH$2&lt;$C239),$E239,0)</f>
        <v>0</v>
      </c>
      <c r="AI239" s="61">
        <f t="shared" si="156"/>
        <v>0</v>
      </c>
      <c r="AJ239" s="61">
        <f t="shared" si="156"/>
        <v>0</v>
      </c>
      <c r="AK239" s="61">
        <f t="shared" si="156"/>
        <v>0</v>
      </c>
      <c r="AL239" s="61">
        <f t="shared" si="156"/>
        <v>0</v>
      </c>
      <c r="AM239" s="61">
        <f t="shared" si="156"/>
        <v>0</v>
      </c>
      <c r="AN239" s="61">
        <f t="shared" si="156"/>
        <v>0</v>
      </c>
      <c r="AO239" s="61">
        <f t="shared" si="156"/>
        <v>0</v>
      </c>
      <c r="AP239" s="61">
        <f t="shared" si="156"/>
        <v>0</v>
      </c>
      <c r="AQ239" s="61"/>
    </row>
    <row r="240" spans="2:43" x14ac:dyDescent="0.25">
      <c r="B240" s="54">
        <v>0.79166666669334496</v>
      </c>
      <c r="C240" s="54">
        <v>1.1458333334303501</v>
      </c>
      <c r="D240" s="60"/>
      <c r="E240" s="91"/>
      <c r="F240" s="91"/>
      <c r="G240" s="91"/>
      <c r="H240" s="92">
        <f t="shared" si="141"/>
        <v>0</v>
      </c>
      <c r="I240" s="180">
        <f>AK$214-AK$215</f>
        <v>0</v>
      </c>
      <c r="M240" s="61">
        <f t="shared" si="154"/>
        <v>0</v>
      </c>
      <c r="N240" s="61">
        <f t="shared" si="154"/>
        <v>0</v>
      </c>
      <c r="O240" s="61">
        <f t="shared" si="154"/>
        <v>0</v>
      </c>
      <c r="P240" s="61">
        <f t="shared" si="154"/>
        <v>0</v>
      </c>
      <c r="Q240" s="61">
        <f t="shared" si="154"/>
        <v>0</v>
      </c>
      <c r="R240" s="61">
        <f t="shared" si="154"/>
        <v>0</v>
      </c>
      <c r="S240" s="61">
        <f t="shared" si="154"/>
        <v>0</v>
      </c>
      <c r="T240" s="61">
        <f t="shared" si="154"/>
        <v>0</v>
      </c>
      <c r="U240" s="61">
        <f t="shared" si="154"/>
        <v>0</v>
      </c>
      <c r="V240" s="61">
        <f t="shared" si="154"/>
        <v>0</v>
      </c>
      <c r="W240" s="61">
        <f t="shared" si="155"/>
        <v>0</v>
      </c>
      <c r="X240" s="61">
        <f t="shared" si="155"/>
        <v>0</v>
      </c>
      <c r="Y240" s="61">
        <f t="shared" si="155"/>
        <v>0</v>
      </c>
      <c r="Z240" s="61">
        <f t="shared" si="155"/>
        <v>0</v>
      </c>
      <c r="AA240" s="61">
        <f t="shared" si="155"/>
        <v>0</v>
      </c>
      <c r="AB240" s="61">
        <f t="shared" si="155"/>
        <v>0</v>
      </c>
      <c r="AC240" s="61">
        <f t="shared" si="155"/>
        <v>0</v>
      </c>
      <c r="AD240" s="61">
        <f t="shared" si="155"/>
        <v>0</v>
      </c>
      <c r="AE240" s="61">
        <f t="shared" si="155"/>
        <v>0</v>
      </c>
      <c r="AF240" s="61">
        <f t="shared" si="148"/>
        <v>0</v>
      </c>
      <c r="AG240" s="61">
        <f t="shared" si="150"/>
        <v>0</v>
      </c>
      <c r="AH240" s="61">
        <f t="shared" si="156"/>
        <v>0</v>
      </c>
      <c r="AI240" s="61">
        <f t="shared" si="156"/>
        <v>0</v>
      </c>
      <c r="AJ240" s="61">
        <f t="shared" si="156"/>
        <v>0</v>
      </c>
      <c r="AK240" s="61">
        <f t="shared" si="156"/>
        <v>0</v>
      </c>
      <c r="AL240" s="61">
        <f t="shared" si="156"/>
        <v>0</v>
      </c>
      <c r="AM240" s="61">
        <f t="shared" si="156"/>
        <v>0</v>
      </c>
      <c r="AN240" s="61">
        <f t="shared" si="156"/>
        <v>0</v>
      </c>
      <c r="AO240" s="61">
        <f t="shared" si="156"/>
        <v>0</v>
      </c>
      <c r="AP240" s="61">
        <f t="shared" si="156"/>
        <v>0</v>
      </c>
      <c r="AQ240" s="61"/>
    </row>
    <row r="241" spans="2:43" x14ac:dyDescent="0.25">
      <c r="B241" s="54">
        <v>0.81250000002910305</v>
      </c>
      <c r="C241" s="54">
        <v>1.1666666667661101</v>
      </c>
      <c r="D241" s="60"/>
      <c r="E241" s="91"/>
      <c r="F241" s="91"/>
      <c r="G241" s="91"/>
      <c r="H241" s="92">
        <f t="shared" si="141"/>
        <v>0</v>
      </c>
      <c r="I241" s="180">
        <f>AL$214-AL$215</f>
        <v>0</v>
      </c>
      <c r="M241" s="61">
        <f t="shared" si="154"/>
        <v>0</v>
      </c>
      <c r="N241" s="61">
        <f t="shared" si="154"/>
        <v>0</v>
      </c>
      <c r="O241" s="61">
        <f t="shared" si="154"/>
        <v>0</v>
      </c>
      <c r="P241" s="61">
        <f t="shared" si="154"/>
        <v>0</v>
      </c>
      <c r="Q241" s="61">
        <f t="shared" si="154"/>
        <v>0</v>
      </c>
      <c r="R241" s="61">
        <f t="shared" si="154"/>
        <v>0</v>
      </c>
      <c r="S241" s="61">
        <f t="shared" si="154"/>
        <v>0</v>
      </c>
      <c r="T241" s="61">
        <f t="shared" si="154"/>
        <v>0</v>
      </c>
      <c r="U241" s="61">
        <f t="shared" si="154"/>
        <v>0</v>
      </c>
      <c r="V241" s="61">
        <f t="shared" si="154"/>
        <v>0</v>
      </c>
      <c r="W241" s="61">
        <f t="shared" si="155"/>
        <v>0</v>
      </c>
      <c r="X241" s="61">
        <f t="shared" si="155"/>
        <v>0</v>
      </c>
      <c r="Y241" s="61">
        <f t="shared" si="155"/>
        <v>0</v>
      </c>
      <c r="Z241" s="61">
        <f t="shared" si="155"/>
        <v>0</v>
      </c>
      <c r="AA241" s="61">
        <f t="shared" si="155"/>
        <v>0</v>
      </c>
      <c r="AB241" s="61">
        <f t="shared" si="155"/>
        <v>0</v>
      </c>
      <c r="AC241" s="61">
        <f t="shared" si="155"/>
        <v>0</v>
      </c>
      <c r="AD241" s="61">
        <f t="shared" si="155"/>
        <v>0</v>
      </c>
      <c r="AE241" s="61">
        <f t="shared" si="155"/>
        <v>0</v>
      </c>
      <c r="AF241" s="61">
        <f t="shared" si="148"/>
        <v>0</v>
      </c>
      <c r="AG241" s="61">
        <f t="shared" si="150"/>
        <v>0</v>
      </c>
      <c r="AH241" s="61">
        <f t="shared" si="156"/>
        <v>0</v>
      </c>
      <c r="AI241" s="61">
        <f t="shared" si="156"/>
        <v>0</v>
      </c>
      <c r="AJ241" s="61">
        <f t="shared" si="156"/>
        <v>0</v>
      </c>
      <c r="AK241" s="61">
        <f t="shared" si="156"/>
        <v>0</v>
      </c>
      <c r="AL241" s="61">
        <f t="shared" si="156"/>
        <v>0</v>
      </c>
      <c r="AM241" s="61">
        <f t="shared" si="156"/>
        <v>0</v>
      </c>
      <c r="AN241" s="61">
        <f t="shared" si="156"/>
        <v>0</v>
      </c>
      <c r="AO241" s="61">
        <f t="shared" si="156"/>
        <v>0</v>
      </c>
      <c r="AP241" s="61">
        <f t="shared" si="156"/>
        <v>0</v>
      </c>
      <c r="AQ241" s="61"/>
    </row>
    <row r="242" spans="2:43" x14ac:dyDescent="0.25">
      <c r="B242" s="54">
        <v>0.83333333336486204</v>
      </c>
      <c r="C242" s="54">
        <v>1.1875000001018701</v>
      </c>
      <c r="D242" s="60"/>
      <c r="E242" s="91"/>
      <c r="F242" s="91"/>
      <c r="G242" s="91"/>
      <c r="H242" s="92">
        <f t="shared" si="141"/>
        <v>0</v>
      </c>
      <c r="I242" s="180">
        <f>AM$214-AM$215</f>
        <v>0</v>
      </c>
      <c r="M242" s="61">
        <f t="shared" si="154"/>
        <v>0</v>
      </c>
      <c r="N242" s="61">
        <f t="shared" si="154"/>
        <v>0</v>
      </c>
      <c r="O242" s="61">
        <f t="shared" si="154"/>
        <v>0</v>
      </c>
      <c r="P242" s="61">
        <f t="shared" si="154"/>
        <v>0</v>
      </c>
      <c r="Q242" s="61">
        <f t="shared" si="154"/>
        <v>0</v>
      </c>
      <c r="R242" s="61">
        <f t="shared" si="154"/>
        <v>0</v>
      </c>
      <c r="S242" s="61">
        <f t="shared" si="154"/>
        <v>0</v>
      </c>
      <c r="T242" s="61">
        <f t="shared" si="154"/>
        <v>0</v>
      </c>
      <c r="U242" s="61">
        <f t="shared" si="154"/>
        <v>0</v>
      </c>
      <c r="V242" s="61">
        <f t="shared" si="154"/>
        <v>0</v>
      </c>
      <c r="W242" s="61">
        <f t="shared" si="155"/>
        <v>0</v>
      </c>
      <c r="X242" s="61">
        <f t="shared" si="155"/>
        <v>0</v>
      </c>
      <c r="Y242" s="61">
        <f t="shared" si="155"/>
        <v>0</v>
      </c>
      <c r="Z242" s="61">
        <f t="shared" si="155"/>
        <v>0</v>
      </c>
      <c r="AA242" s="61">
        <f t="shared" si="155"/>
        <v>0</v>
      </c>
      <c r="AB242" s="61">
        <f t="shared" si="155"/>
        <v>0</v>
      </c>
      <c r="AC242" s="61">
        <f t="shared" si="155"/>
        <v>0</v>
      </c>
      <c r="AD242" s="61">
        <f t="shared" si="155"/>
        <v>0</v>
      </c>
      <c r="AE242" s="61">
        <f t="shared" si="155"/>
        <v>0</v>
      </c>
      <c r="AF242" s="61">
        <f t="shared" si="148"/>
        <v>0</v>
      </c>
      <c r="AG242" s="61">
        <f t="shared" si="150"/>
        <v>0</v>
      </c>
      <c r="AH242" s="61">
        <f t="shared" si="156"/>
        <v>0</v>
      </c>
      <c r="AI242" s="61">
        <f t="shared" si="156"/>
        <v>0</v>
      </c>
      <c r="AJ242" s="61">
        <f t="shared" si="156"/>
        <v>0</v>
      </c>
      <c r="AK242" s="61">
        <f t="shared" si="156"/>
        <v>0</v>
      </c>
      <c r="AL242" s="61">
        <f t="shared" si="156"/>
        <v>0</v>
      </c>
      <c r="AM242" s="61">
        <f t="shared" si="156"/>
        <v>0</v>
      </c>
      <c r="AN242" s="61">
        <f t="shared" si="156"/>
        <v>0</v>
      </c>
      <c r="AO242" s="61">
        <f t="shared" si="156"/>
        <v>0</v>
      </c>
      <c r="AP242" s="61">
        <f t="shared" si="156"/>
        <v>0</v>
      </c>
      <c r="AQ242" s="61"/>
    </row>
    <row r="243" spans="2:43" x14ac:dyDescent="0.25">
      <c r="B243" s="54">
        <v>0.85416666670062102</v>
      </c>
      <c r="C243" s="54">
        <v>1.2083333334376301</v>
      </c>
      <c r="D243" s="60"/>
      <c r="E243" s="91"/>
      <c r="F243" s="91"/>
      <c r="G243" s="91"/>
      <c r="H243" s="92">
        <f t="shared" si="141"/>
        <v>0</v>
      </c>
      <c r="I243" s="180">
        <f>AN$214-AN$215</f>
        <v>0</v>
      </c>
      <c r="M243" s="61">
        <f t="shared" si="154"/>
        <v>0</v>
      </c>
      <c r="N243" s="61">
        <f t="shared" si="154"/>
        <v>0</v>
      </c>
      <c r="O243" s="61">
        <f t="shared" si="154"/>
        <v>0</v>
      </c>
      <c r="P243" s="61">
        <f t="shared" si="154"/>
        <v>0</v>
      </c>
      <c r="Q243" s="61">
        <f t="shared" si="154"/>
        <v>0</v>
      </c>
      <c r="R243" s="61">
        <f t="shared" si="154"/>
        <v>0</v>
      </c>
      <c r="S243" s="61">
        <f t="shared" si="154"/>
        <v>0</v>
      </c>
      <c r="T243" s="61">
        <f t="shared" si="154"/>
        <v>0</v>
      </c>
      <c r="U243" s="61">
        <f t="shared" si="154"/>
        <v>0</v>
      </c>
      <c r="V243" s="61">
        <f t="shared" si="154"/>
        <v>0</v>
      </c>
      <c r="W243" s="61">
        <f t="shared" si="155"/>
        <v>0</v>
      </c>
      <c r="X243" s="61">
        <f t="shared" si="155"/>
        <v>0</v>
      </c>
      <c r="Y243" s="61">
        <f t="shared" si="155"/>
        <v>0</v>
      </c>
      <c r="Z243" s="61">
        <f t="shared" si="155"/>
        <v>0</v>
      </c>
      <c r="AA243" s="61">
        <f t="shared" si="155"/>
        <v>0</v>
      </c>
      <c r="AB243" s="61">
        <f t="shared" si="155"/>
        <v>0</v>
      </c>
      <c r="AC243" s="61">
        <f t="shared" si="155"/>
        <v>0</v>
      </c>
      <c r="AD243" s="61">
        <f t="shared" si="155"/>
        <v>0</v>
      </c>
      <c r="AE243" s="61">
        <f t="shared" si="155"/>
        <v>0</v>
      </c>
      <c r="AF243" s="61">
        <f t="shared" si="148"/>
        <v>0</v>
      </c>
      <c r="AG243" s="61">
        <f t="shared" si="150"/>
        <v>0</v>
      </c>
      <c r="AH243" s="61">
        <f t="shared" si="156"/>
        <v>0</v>
      </c>
      <c r="AI243" s="61">
        <f t="shared" si="156"/>
        <v>0</v>
      </c>
      <c r="AJ243" s="61">
        <f t="shared" si="156"/>
        <v>0</v>
      </c>
      <c r="AK243" s="61">
        <f t="shared" si="156"/>
        <v>0</v>
      </c>
      <c r="AL243" s="61">
        <f t="shared" si="156"/>
        <v>0</v>
      </c>
      <c r="AM243" s="61">
        <f t="shared" si="156"/>
        <v>0</v>
      </c>
      <c r="AN243" s="61">
        <f t="shared" si="156"/>
        <v>0</v>
      </c>
      <c r="AO243" s="61">
        <f t="shared" si="156"/>
        <v>0</v>
      </c>
      <c r="AP243" s="61">
        <f t="shared" si="156"/>
        <v>0</v>
      </c>
      <c r="AQ243" s="61"/>
    </row>
    <row r="244" spans="2:43" x14ac:dyDescent="0.25">
      <c r="B244" s="54">
        <v>0.87500000003637901</v>
      </c>
      <c r="C244" s="54">
        <v>1.22916666677339</v>
      </c>
      <c r="D244" s="60"/>
      <c r="E244" s="91"/>
      <c r="F244" s="91"/>
      <c r="G244" s="91"/>
      <c r="H244" s="92">
        <f t="shared" si="141"/>
        <v>0</v>
      </c>
      <c r="I244" s="180">
        <f>AO$214-AO$215</f>
        <v>0</v>
      </c>
      <c r="M244" s="61">
        <f t="shared" si="154"/>
        <v>0</v>
      </c>
      <c r="N244" s="61">
        <f t="shared" si="154"/>
        <v>0</v>
      </c>
      <c r="O244" s="61">
        <f t="shared" si="154"/>
        <v>0</v>
      </c>
      <c r="P244" s="61">
        <f t="shared" si="154"/>
        <v>0</v>
      </c>
      <c r="Q244" s="61">
        <f t="shared" si="154"/>
        <v>0</v>
      </c>
      <c r="R244" s="61">
        <f t="shared" si="154"/>
        <v>0</v>
      </c>
      <c r="S244" s="61">
        <f t="shared" si="154"/>
        <v>0</v>
      </c>
      <c r="T244" s="61">
        <f t="shared" si="154"/>
        <v>0</v>
      </c>
      <c r="U244" s="61">
        <f t="shared" si="154"/>
        <v>0</v>
      </c>
      <c r="V244" s="61">
        <f t="shared" si="154"/>
        <v>0</v>
      </c>
      <c r="W244" s="61">
        <f t="shared" si="155"/>
        <v>0</v>
      </c>
      <c r="X244" s="61">
        <f t="shared" si="155"/>
        <v>0</v>
      </c>
      <c r="Y244" s="61">
        <f t="shared" si="155"/>
        <v>0</v>
      </c>
      <c r="Z244" s="61">
        <f t="shared" si="155"/>
        <v>0</v>
      </c>
      <c r="AA244" s="61">
        <f t="shared" si="155"/>
        <v>0</v>
      </c>
      <c r="AB244" s="61">
        <f t="shared" si="155"/>
        <v>0</v>
      </c>
      <c r="AC244" s="61">
        <f t="shared" si="155"/>
        <v>0</v>
      </c>
      <c r="AD244" s="61">
        <f t="shared" si="155"/>
        <v>0</v>
      </c>
      <c r="AE244" s="61">
        <f t="shared" si="155"/>
        <v>0</v>
      </c>
      <c r="AF244" s="61">
        <f t="shared" si="148"/>
        <v>0</v>
      </c>
      <c r="AG244" s="61">
        <f t="shared" si="150"/>
        <v>0</v>
      </c>
      <c r="AH244" s="61">
        <f t="shared" si="156"/>
        <v>0</v>
      </c>
      <c r="AI244" s="61">
        <f t="shared" si="156"/>
        <v>0</v>
      </c>
      <c r="AJ244" s="61">
        <f t="shared" si="156"/>
        <v>0</v>
      </c>
      <c r="AK244" s="61">
        <f t="shared" si="156"/>
        <v>0</v>
      </c>
      <c r="AL244" s="61">
        <f t="shared" si="156"/>
        <v>0</v>
      </c>
      <c r="AM244" s="61">
        <f t="shared" si="156"/>
        <v>0</v>
      </c>
      <c r="AN244" s="61">
        <f t="shared" si="156"/>
        <v>0</v>
      </c>
      <c r="AO244" s="61">
        <f t="shared" si="156"/>
        <v>0</v>
      </c>
      <c r="AP244" s="61">
        <f t="shared" si="156"/>
        <v>0</v>
      </c>
      <c r="AQ244" s="61"/>
    </row>
    <row r="245" spans="2:43" x14ac:dyDescent="0.25">
      <c r="B245" s="54">
        <v>0.895833333372138</v>
      </c>
      <c r="C245" s="54">
        <v>1.25000000010915</v>
      </c>
      <c r="D245" s="60"/>
      <c r="E245" s="91"/>
      <c r="F245" s="91"/>
      <c r="G245" s="91"/>
      <c r="H245" s="92">
        <f t="shared" si="141"/>
        <v>0</v>
      </c>
      <c r="I245" s="180">
        <f>AP$214-AP$215</f>
        <v>0</v>
      </c>
      <c r="M245" s="61">
        <f t="shared" si="154"/>
        <v>0</v>
      </c>
      <c r="N245" s="61">
        <f t="shared" si="154"/>
        <v>0</v>
      </c>
      <c r="O245" s="61">
        <f t="shared" si="154"/>
        <v>0</v>
      </c>
      <c r="P245" s="61">
        <f t="shared" si="154"/>
        <v>0</v>
      </c>
      <c r="Q245" s="61">
        <f t="shared" si="154"/>
        <v>0</v>
      </c>
      <c r="R245" s="61">
        <f t="shared" si="154"/>
        <v>0</v>
      </c>
      <c r="S245" s="61">
        <f t="shared" si="154"/>
        <v>0</v>
      </c>
      <c r="T245" s="61">
        <f t="shared" si="154"/>
        <v>0</v>
      </c>
      <c r="U245" s="61">
        <f t="shared" si="154"/>
        <v>0</v>
      </c>
      <c r="V245" s="61">
        <f t="shared" si="154"/>
        <v>0</v>
      </c>
      <c r="W245" s="61">
        <f t="shared" si="155"/>
        <v>0</v>
      </c>
      <c r="X245" s="61">
        <f t="shared" si="155"/>
        <v>0</v>
      </c>
      <c r="Y245" s="61">
        <f t="shared" si="155"/>
        <v>0</v>
      </c>
      <c r="Z245" s="61">
        <f t="shared" si="155"/>
        <v>0</v>
      </c>
      <c r="AA245" s="61">
        <f t="shared" si="155"/>
        <v>0</v>
      </c>
      <c r="AB245" s="61">
        <f t="shared" si="155"/>
        <v>0</v>
      </c>
      <c r="AC245" s="61">
        <f t="shared" si="155"/>
        <v>0</v>
      </c>
      <c r="AD245" s="61">
        <f t="shared" si="155"/>
        <v>0</v>
      </c>
      <c r="AE245" s="61">
        <f t="shared" si="155"/>
        <v>0</v>
      </c>
      <c r="AF245" s="61">
        <f t="shared" si="148"/>
        <v>0</v>
      </c>
      <c r="AG245" s="61">
        <f t="shared" si="150"/>
        <v>0</v>
      </c>
      <c r="AH245" s="61">
        <f t="shared" si="156"/>
        <v>0</v>
      </c>
      <c r="AI245" s="61">
        <f t="shared" si="156"/>
        <v>0</v>
      </c>
      <c r="AJ245" s="61">
        <f t="shared" si="156"/>
        <v>0</v>
      </c>
      <c r="AK245" s="61">
        <f t="shared" si="156"/>
        <v>0</v>
      </c>
      <c r="AL245" s="61">
        <f t="shared" si="156"/>
        <v>0</v>
      </c>
      <c r="AM245" s="61">
        <f t="shared" si="156"/>
        <v>0</v>
      </c>
      <c r="AN245" s="61">
        <f t="shared" si="156"/>
        <v>0</v>
      </c>
      <c r="AO245" s="61">
        <f t="shared" si="156"/>
        <v>0</v>
      </c>
      <c r="AP245" s="61">
        <f t="shared" si="156"/>
        <v>0</v>
      </c>
      <c r="AQ245" s="61"/>
    </row>
    <row r="246" spans="2:43" x14ac:dyDescent="0.25">
      <c r="E246" s="91"/>
      <c r="F246" s="91"/>
      <c r="G246" s="91"/>
      <c r="I246" s="180">
        <f>NCC!$S$36</f>
        <v>0</v>
      </c>
    </row>
    <row r="252" spans="2:43" s="52" customFormat="1" x14ac:dyDescent="0.25">
      <c r="E252" s="53"/>
      <c r="F252" s="53"/>
      <c r="G252" s="53"/>
      <c r="H252" s="53"/>
      <c r="I252" s="53"/>
      <c r="J252" s="53"/>
      <c r="K252" s="58" t="s">
        <v>32</v>
      </c>
      <c r="L252" s="53"/>
      <c r="M252" s="84">
        <f>G257</f>
        <v>0</v>
      </c>
      <c r="N252" s="84">
        <f>M252+G258</f>
        <v>0</v>
      </c>
      <c r="O252" s="84">
        <f>N252+G259</f>
        <v>0</v>
      </c>
      <c r="P252" s="84">
        <f>+O252+G260</f>
        <v>0</v>
      </c>
      <c r="Q252" s="84">
        <f>P252+G261</f>
        <v>0</v>
      </c>
      <c r="R252" s="84">
        <f>Q252+G262</f>
        <v>0</v>
      </c>
      <c r="S252" s="84">
        <f>R252+G263</f>
        <v>0</v>
      </c>
      <c r="T252" s="84">
        <f>S252+G264</f>
        <v>0</v>
      </c>
      <c r="U252" s="84">
        <f>T252+G265-G257</f>
        <v>0</v>
      </c>
      <c r="V252" s="84">
        <f>U252+G266-G258</f>
        <v>0</v>
      </c>
      <c r="W252" s="84">
        <f>V252+G267-G259</f>
        <v>0</v>
      </c>
      <c r="X252" s="84">
        <f>W252+G268-G260</f>
        <v>0</v>
      </c>
      <c r="Y252" s="84">
        <f>X252+G269-G261</f>
        <v>0</v>
      </c>
      <c r="Z252" s="84">
        <f>Y252+G270-G262</f>
        <v>0</v>
      </c>
      <c r="AA252" s="84">
        <f>Z252+G271-G263</f>
        <v>0</v>
      </c>
      <c r="AB252" s="84">
        <f>AA252+G272-G264</f>
        <v>0</v>
      </c>
      <c r="AC252" s="84">
        <f>AB252+G273-G265</f>
        <v>0</v>
      </c>
      <c r="AD252" s="84">
        <f>AC252+G274-G266</f>
        <v>0</v>
      </c>
      <c r="AE252" s="84">
        <f>AD252+G275-G267</f>
        <v>0</v>
      </c>
      <c r="AF252" s="84">
        <f>AE252+G276-G268</f>
        <v>0</v>
      </c>
      <c r="AG252" s="84">
        <f>AF252+G277-G269</f>
        <v>0</v>
      </c>
      <c r="AH252" s="84">
        <f>AG252+G278-G270</f>
        <v>0</v>
      </c>
      <c r="AI252" s="84">
        <f>AH252+G279-G271</f>
        <v>0</v>
      </c>
      <c r="AJ252" s="84">
        <f>AI252+G280-G272</f>
        <v>0</v>
      </c>
      <c r="AK252" s="84">
        <f>AJ252+G281-G273</f>
        <v>0</v>
      </c>
      <c r="AL252" s="84">
        <f>AK252+G282-G274</f>
        <v>0</v>
      </c>
      <c r="AM252" s="84">
        <f>AL252+G283-G275</f>
        <v>0</v>
      </c>
      <c r="AN252" s="84">
        <f>AM252+G284-G276</f>
        <v>0</v>
      </c>
      <c r="AO252" s="84">
        <f>AN252+G285-G277</f>
        <v>0</v>
      </c>
      <c r="AP252" s="84">
        <f>AO252+G286-G278</f>
        <v>0</v>
      </c>
      <c r="AQ252" s="84">
        <f>SUM(M252:AP252)/8.5</f>
        <v>0</v>
      </c>
    </row>
    <row r="253" spans="2:43" x14ac:dyDescent="0.25">
      <c r="J253" s="57"/>
      <c r="K253" s="58" t="s">
        <v>31</v>
      </c>
      <c r="M253" s="84">
        <f>F257</f>
        <v>0</v>
      </c>
      <c r="N253" s="84">
        <f>M253+F258</f>
        <v>0</v>
      </c>
      <c r="O253" s="84">
        <f>N253+F259</f>
        <v>0</v>
      </c>
      <c r="P253" s="84">
        <f>+O253+F260</f>
        <v>0</v>
      </c>
      <c r="Q253" s="84">
        <f>P253+F261</f>
        <v>0</v>
      </c>
      <c r="R253" s="84">
        <f>Q253+F262</f>
        <v>0</v>
      </c>
      <c r="S253" s="84">
        <f>R253+F263</f>
        <v>0</v>
      </c>
      <c r="T253" s="84">
        <f>S253+F264</f>
        <v>0</v>
      </c>
      <c r="U253" s="84">
        <f>T253+F265</f>
        <v>0</v>
      </c>
      <c r="V253" s="84">
        <f>U253+F266</f>
        <v>0</v>
      </c>
      <c r="W253" s="84">
        <f>V253+F267</f>
        <v>0</v>
      </c>
      <c r="X253" s="84">
        <f>W253+F268</f>
        <v>0</v>
      </c>
      <c r="Y253" s="84">
        <f>X253+F269-F257</f>
        <v>0</v>
      </c>
      <c r="Z253" s="84">
        <f>Y253+F270-F258</f>
        <v>0</v>
      </c>
      <c r="AA253" s="84">
        <f>Z253+F271-F259</f>
        <v>0</v>
      </c>
      <c r="AB253" s="84">
        <f>AA253+F272-F260</f>
        <v>0</v>
      </c>
      <c r="AC253" s="84">
        <f>AB253+F273-F261</f>
        <v>0</v>
      </c>
      <c r="AD253" s="84">
        <f>AC253+F274-F262</f>
        <v>0</v>
      </c>
      <c r="AE253" s="84">
        <f>AD253+F275-F263</f>
        <v>0</v>
      </c>
      <c r="AF253" s="84">
        <f>AE253+F276-F264</f>
        <v>0</v>
      </c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2:43" s="57" customFormat="1" ht="17.25" customHeight="1" x14ac:dyDescent="0.25">
      <c r="K254" s="58" t="s">
        <v>13</v>
      </c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5"/>
      <c r="AQ254" s="86"/>
    </row>
    <row r="255" spans="2:43" s="57" customFormat="1" ht="17.25" customHeight="1" x14ac:dyDescent="0.25">
      <c r="B255" s="57" t="s">
        <v>12</v>
      </c>
      <c r="E255" s="59" t="s">
        <v>8</v>
      </c>
      <c r="F255" s="59" t="s">
        <v>15</v>
      </c>
      <c r="G255" s="59" t="s">
        <v>32</v>
      </c>
      <c r="H255" s="59" t="s">
        <v>16</v>
      </c>
      <c r="J255" s="58" t="s">
        <v>9</v>
      </c>
      <c r="K255" s="58">
        <f>SUM(M255:AP255)/16</f>
        <v>0</v>
      </c>
      <c r="M255" s="87">
        <f t="shared" ref="M255:AP255" si="157">SUM(M257:M286)+M253+M252-M254</f>
        <v>0</v>
      </c>
      <c r="N255" s="87">
        <f t="shared" si="157"/>
        <v>0</v>
      </c>
      <c r="O255" s="87">
        <f t="shared" si="157"/>
        <v>0</v>
      </c>
      <c r="P255" s="87">
        <f t="shared" si="157"/>
        <v>0</v>
      </c>
      <c r="Q255" s="87">
        <f t="shared" si="157"/>
        <v>0</v>
      </c>
      <c r="R255" s="87">
        <f t="shared" si="157"/>
        <v>0</v>
      </c>
      <c r="S255" s="87">
        <f t="shared" si="157"/>
        <v>0</v>
      </c>
      <c r="T255" s="87">
        <f t="shared" si="157"/>
        <v>0</v>
      </c>
      <c r="U255" s="87">
        <f t="shared" si="157"/>
        <v>0</v>
      </c>
      <c r="V255" s="87">
        <f t="shared" si="157"/>
        <v>0</v>
      </c>
      <c r="W255" s="87">
        <f t="shared" si="157"/>
        <v>0</v>
      </c>
      <c r="X255" s="87">
        <f t="shared" si="157"/>
        <v>0</v>
      </c>
      <c r="Y255" s="87">
        <f t="shared" si="157"/>
        <v>0</v>
      </c>
      <c r="Z255" s="87">
        <f t="shared" si="157"/>
        <v>0</v>
      </c>
      <c r="AA255" s="87">
        <f t="shared" si="157"/>
        <v>0</v>
      </c>
      <c r="AB255" s="87">
        <f t="shared" si="157"/>
        <v>0</v>
      </c>
      <c r="AC255" s="87">
        <f t="shared" si="157"/>
        <v>0</v>
      </c>
      <c r="AD255" s="87">
        <f t="shared" si="157"/>
        <v>0</v>
      </c>
      <c r="AE255" s="87">
        <f t="shared" si="157"/>
        <v>0</v>
      </c>
      <c r="AF255" s="87">
        <f t="shared" si="157"/>
        <v>0</v>
      </c>
      <c r="AG255" s="87">
        <f t="shared" si="157"/>
        <v>0</v>
      </c>
      <c r="AH255" s="87">
        <f t="shared" si="157"/>
        <v>0</v>
      </c>
      <c r="AI255" s="87">
        <f t="shared" si="157"/>
        <v>0</v>
      </c>
      <c r="AJ255" s="87">
        <f t="shared" si="157"/>
        <v>0</v>
      </c>
      <c r="AK255" s="87">
        <f t="shared" si="157"/>
        <v>0</v>
      </c>
      <c r="AL255" s="87">
        <f t="shared" si="157"/>
        <v>0</v>
      </c>
      <c r="AM255" s="87">
        <f t="shared" si="157"/>
        <v>0</v>
      </c>
      <c r="AN255" s="87">
        <f t="shared" si="157"/>
        <v>0</v>
      </c>
      <c r="AO255" s="87">
        <f t="shared" si="157"/>
        <v>0</v>
      </c>
      <c r="AP255" s="87">
        <f t="shared" si="157"/>
        <v>0</v>
      </c>
      <c r="AQ255" s="87"/>
    </row>
    <row r="256" spans="2:43" s="88" customFormat="1" x14ac:dyDescent="0.25">
      <c r="E256" s="178">
        <f>SUM(E257:E286)</f>
        <v>0</v>
      </c>
      <c r="F256" s="178">
        <f>SUM(F257:F286)</f>
        <v>0</v>
      </c>
      <c r="G256" s="178">
        <f>SUM(G257:G286)</f>
        <v>0</v>
      </c>
      <c r="H256" s="178">
        <f>SUM(H257:H286)</f>
        <v>0</v>
      </c>
      <c r="I256" s="89"/>
      <c r="J256" s="89"/>
      <c r="K256" s="58" t="s">
        <v>7</v>
      </c>
      <c r="L256" s="89"/>
      <c r="M256" s="180">
        <f>SUMMARY!$K$6</f>
        <v>0</v>
      </c>
      <c r="N256" s="180">
        <f>SUMMARY!$K$7</f>
        <v>0</v>
      </c>
      <c r="O256" s="180">
        <f>SUMMARY!$K$8</f>
        <v>0</v>
      </c>
      <c r="P256" s="180">
        <f>SUMMARY!$K$9</f>
        <v>0</v>
      </c>
      <c r="Q256" s="180">
        <f>SUMMARY!$K$10</f>
        <v>0</v>
      </c>
      <c r="R256" s="180">
        <f>SUMMARY!$K$11</f>
        <v>0</v>
      </c>
      <c r="S256" s="180">
        <f>SUMMARY!$K$12</f>
        <v>0</v>
      </c>
      <c r="T256" s="180">
        <f>SUMMARY!$K$13</f>
        <v>0</v>
      </c>
      <c r="U256" s="180">
        <f>SUMMARY!$K$14</f>
        <v>0</v>
      </c>
      <c r="V256" s="180">
        <f>SUMMARY!$K$15</f>
        <v>0</v>
      </c>
      <c r="W256" s="180">
        <f>SUMMARY!$K$16</f>
        <v>0</v>
      </c>
      <c r="X256" s="180">
        <f>SUMMARY!$K$17</f>
        <v>0</v>
      </c>
      <c r="Y256" s="180">
        <f>SUMMARY!$K$18</f>
        <v>0</v>
      </c>
      <c r="Z256" s="180">
        <f>SUMMARY!$K$19</f>
        <v>0</v>
      </c>
      <c r="AA256" s="180">
        <f>SUMMARY!$K$20</f>
        <v>0</v>
      </c>
      <c r="AB256" s="180">
        <f>SUMMARY!$K$21</f>
        <v>0</v>
      </c>
      <c r="AC256" s="180">
        <f>SUMMARY!$K$22</f>
        <v>0</v>
      </c>
      <c r="AD256" s="180">
        <f>SUMMARY!$K$23</f>
        <v>0</v>
      </c>
      <c r="AE256" s="180">
        <f>SUMMARY!$K$24</f>
        <v>0</v>
      </c>
      <c r="AF256" s="180">
        <f>SUMMARY!$K$25</f>
        <v>0</v>
      </c>
      <c r="AG256" s="180">
        <f>SUMMARY!$K$26</f>
        <v>0</v>
      </c>
      <c r="AH256" s="180">
        <f>SUMMARY!$K$27</f>
        <v>0</v>
      </c>
      <c r="AI256" s="180">
        <f>SUMMARY!$K$28</f>
        <v>0</v>
      </c>
      <c r="AJ256" s="180">
        <f>SUMMARY!$K$29</f>
        <v>0</v>
      </c>
      <c r="AK256" s="180">
        <f>SUMMARY!$K$30</f>
        <v>0</v>
      </c>
      <c r="AL256" s="180">
        <f>SUMMARY!$K$31</f>
        <v>0</v>
      </c>
      <c r="AM256" s="180">
        <f>SUMMARY!$K$32</f>
        <v>0</v>
      </c>
      <c r="AN256" s="180">
        <f>SUMMARY!$K$33</f>
        <v>0</v>
      </c>
      <c r="AO256" s="180">
        <f>SUMMARY!$K$34</f>
        <v>0</v>
      </c>
      <c r="AP256" s="180">
        <f>SUMMARY!$K$35</f>
        <v>0</v>
      </c>
      <c r="AQ256" s="90"/>
    </row>
    <row r="257" spans="2:43" x14ac:dyDescent="0.25">
      <c r="B257" s="54">
        <v>0.29166666666424135</v>
      </c>
      <c r="C257" s="54">
        <v>0.645833333372138</v>
      </c>
      <c r="D257" s="60"/>
      <c r="E257" s="91"/>
      <c r="F257" s="91"/>
      <c r="G257" s="91"/>
      <c r="H257" s="92">
        <f t="shared" ref="H257:H286" si="158">SUM(E257:G257)</f>
        <v>0</v>
      </c>
      <c r="I257" s="180">
        <f>M$255-M$256</f>
        <v>0</v>
      </c>
      <c r="M257" s="61">
        <f t="shared" ref="M257:V258" si="159">IF(AND(M$2&gt;=$B257,M$2&lt;$C257),$E257,0)</f>
        <v>0</v>
      </c>
      <c r="N257" s="61">
        <f t="shared" si="159"/>
        <v>0</v>
      </c>
      <c r="O257" s="61">
        <f t="shared" si="159"/>
        <v>0</v>
      </c>
      <c r="P257" s="61">
        <f t="shared" si="159"/>
        <v>0</v>
      </c>
      <c r="Q257" s="61">
        <f t="shared" si="159"/>
        <v>0</v>
      </c>
      <c r="R257" s="61">
        <f t="shared" si="159"/>
        <v>0</v>
      </c>
      <c r="S257" s="61">
        <f t="shared" si="159"/>
        <v>0</v>
      </c>
      <c r="T257" s="61">
        <f t="shared" si="159"/>
        <v>0</v>
      </c>
      <c r="U257" s="61">
        <f t="shared" si="159"/>
        <v>0</v>
      </c>
      <c r="V257" s="61">
        <f t="shared" si="159"/>
        <v>0</v>
      </c>
      <c r="W257" s="61">
        <f t="shared" ref="W257:AF258" si="160">IF(AND(W$2&gt;=$B257,W$2&lt;$C257),$E257,0)</f>
        <v>0</v>
      </c>
      <c r="X257" s="61">
        <f t="shared" si="160"/>
        <v>0</v>
      </c>
      <c r="Y257" s="61">
        <f t="shared" si="160"/>
        <v>0</v>
      </c>
      <c r="Z257" s="61">
        <f t="shared" si="160"/>
        <v>0</v>
      </c>
      <c r="AA257" s="61">
        <f t="shared" si="160"/>
        <v>0</v>
      </c>
      <c r="AB257" s="61">
        <f t="shared" si="160"/>
        <v>0</v>
      </c>
      <c r="AC257" s="61">
        <f t="shared" si="160"/>
        <v>0</v>
      </c>
      <c r="AD257" s="61">
        <f t="shared" si="160"/>
        <v>0</v>
      </c>
      <c r="AE257" s="61">
        <f t="shared" si="160"/>
        <v>0</v>
      </c>
      <c r="AF257" s="61">
        <f t="shared" si="160"/>
        <v>0</v>
      </c>
      <c r="AG257" s="61">
        <f t="shared" ref="AG257:AP258" si="161">IF(AND(AG$2&gt;=$B257,AG$2&lt;$C257),$E257,0)</f>
        <v>0</v>
      </c>
      <c r="AH257" s="61">
        <f t="shared" si="161"/>
        <v>0</v>
      </c>
      <c r="AI257" s="61">
        <f t="shared" si="161"/>
        <v>0</v>
      </c>
      <c r="AJ257" s="61">
        <f t="shared" si="161"/>
        <v>0</v>
      </c>
      <c r="AK257" s="61">
        <f t="shared" si="161"/>
        <v>0</v>
      </c>
      <c r="AL257" s="61">
        <f t="shared" si="161"/>
        <v>0</v>
      </c>
      <c r="AM257" s="61">
        <f t="shared" si="161"/>
        <v>0</v>
      </c>
      <c r="AN257" s="61">
        <f t="shared" si="161"/>
        <v>0</v>
      </c>
      <c r="AO257" s="61">
        <f t="shared" si="161"/>
        <v>0</v>
      </c>
      <c r="AP257" s="61">
        <f t="shared" si="161"/>
        <v>0</v>
      </c>
      <c r="AQ257" s="61"/>
    </row>
    <row r="258" spans="2:43" x14ac:dyDescent="0.25">
      <c r="B258" s="54">
        <v>0.3125</v>
      </c>
      <c r="C258" s="54">
        <v>0.66666666670789698</v>
      </c>
      <c r="D258" s="60"/>
      <c r="E258" s="91"/>
      <c r="F258" s="91"/>
      <c r="G258" s="91"/>
      <c r="H258" s="92">
        <f t="shared" si="158"/>
        <v>0</v>
      </c>
      <c r="I258" s="180">
        <f>N$255-N$256</f>
        <v>0</v>
      </c>
      <c r="M258" s="61">
        <f t="shared" si="159"/>
        <v>0</v>
      </c>
      <c r="N258" s="61">
        <f t="shared" si="159"/>
        <v>0</v>
      </c>
      <c r="O258" s="61">
        <f t="shared" si="159"/>
        <v>0</v>
      </c>
      <c r="P258" s="61">
        <f t="shared" si="159"/>
        <v>0</v>
      </c>
      <c r="Q258" s="61">
        <f t="shared" si="159"/>
        <v>0</v>
      </c>
      <c r="R258" s="61">
        <f t="shared" si="159"/>
        <v>0</v>
      </c>
      <c r="S258" s="61">
        <f t="shared" si="159"/>
        <v>0</v>
      </c>
      <c r="T258" s="61">
        <f t="shared" si="159"/>
        <v>0</v>
      </c>
      <c r="U258" s="61">
        <f t="shared" si="159"/>
        <v>0</v>
      </c>
      <c r="V258" s="61">
        <f t="shared" si="159"/>
        <v>0</v>
      </c>
      <c r="W258" s="61">
        <f t="shared" si="160"/>
        <v>0</v>
      </c>
      <c r="X258" s="61">
        <f t="shared" si="160"/>
        <v>0</v>
      </c>
      <c r="Y258" s="61">
        <f t="shared" si="160"/>
        <v>0</v>
      </c>
      <c r="Z258" s="61">
        <f t="shared" si="160"/>
        <v>0</v>
      </c>
      <c r="AA258" s="61">
        <f t="shared" si="160"/>
        <v>0</v>
      </c>
      <c r="AB258" s="61">
        <f t="shared" si="160"/>
        <v>0</v>
      </c>
      <c r="AC258" s="61">
        <f t="shared" si="160"/>
        <v>0</v>
      </c>
      <c r="AD258" s="61">
        <f t="shared" si="160"/>
        <v>0</v>
      </c>
      <c r="AE258" s="61">
        <f t="shared" si="160"/>
        <v>0</v>
      </c>
      <c r="AF258" s="61">
        <f t="shared" si="160"/>
        <v>0</v>
      </c>
      <c r="AG258" s="61">
        <f t="shared" si="161"/>
        <v>0</v>
      </c>
      <c r="AH258" s="61">
        <f t="shared" si="161"/>
        <v>0</v>
      </c>
      <c r="AI258" s="61">
        <f t="shared" si="161"/>
        <v>0</v>
      </c>
      <c r="AJ258" s="61">
        <f t="shared" si="161"/>
        <v>0</v>
      </c>
      <c r="AK258" s="61">
        <f t="shared" si="161"/>
        <v>0</v>
      </c>
      <c r="AL258" s="61">
        <f t="shared" si="161"/>
        <v>0</v>
      </c>
      <c r="AM258" s="61">
        <f t="shared" si="161"/>
        <v>0</v>
      </c>
      <c r="AN258" s="61">
        <f t="shared" si="161"/>
        <v>0</v>
      </c>
      <c r="AO258" s="61">
        <f t="shared" si="161"/>
        <v>0</v>
      </c>
      <c r="AP258" s="61">
        <f t="shared" si="161"/>
        <v>0</v>
      </c>
      <c r="AQ258" s="61"/>
    </row>
    <row r="259" spans="2:43" x14ac:dyDescent="0.25">
      <c r="B259" s="54">
        <v>0.33333333333575865</v>
      </c>
      <c r="C259" s="54">
        <v>0.68750000004365597</v>
      </c>
      <c r="D259" s="60"/>
      <c r="E259" s="91">
        <f>SUMMARY!AC8</f>
        <v>0</v>
      </c>
      <c r="F259" s="91">
        <f>SUMMARY!$AU$8</f>
        <v>0</v>
      </c>
      <c r="G259" s="91">
        <f>SUMMARY!$AN$8</f>
        <v>0</v>
      </c>
      <c r="H259" s="92">
        <f t="shared" si="158"/>
        <v>0</v>
      </c>
      <c r="I259" s="180">
        <f>O$255-O$256</f>
        <v>0</v>
      </c>
      <c r="M259" s="61">
        <f t="shared" ref="M259:V268" si="162">IF(AND(M$2&gt;=$B259,M$2&lt;$C259),$E259,0)</f>
        <v>0</v>
      </c>
      <c r="N259" s="61">
        <f t="shared" si="162"/>
        <v>0</v>
      </c>
      <c r="O259" s="61">
        <f t="shared" si="162"/>
        <v>0</v>
      </c>
      <c r="P259" s="61">
        <f t="shared" si="162"/>
        <v>0</v>
      </c>
      <c r="Q259" s="61">
        <f t="shared" si="162"/>
        <v>0</v>
      </c>
      <c r="R259" s="61">
        <f t="shared" si="162"/>
        <v>0</v>
      </c>
      <c r="S259" s="61">
        <f t="shared" si="162"/>
        <v>0</v>
      </c>
      <c r="T259" s="61">
        <f t="shared" si="162"/>
        <v>0</v>
      </c>
      <c r="U259" s="61">
        <f t="shared" si="162"/>
        <v>0</v>
      </c>
      <c r="V259" s="61">
        <f t="shared" si="162"/>
        <v>0</v>
      </c>
      <c r="W259" s="61">
        <f t="shared" ref="W259:AE268" si="163">IF(AND(W$2&gt;=$B259,W$2&lt;$C259),$E259,0)</f>
        <v>0</v>
      </c>
      <c r="X259" s="61">
        <f t="shared" si="163"/>
        <v>0</v>
      </c>
      <c r="Y259" s="61">
        <f t="shared" si="163"/>
        <v>0</v>
      </c>
      <c r="Z259" s="61">
        <f t="shared" si="163"/>
        <v>0</v>
      </c>
      <c r="AA259" s="61">
        <f t="shared" si="163"/>
        <v>0</v>
      </c>
      <c r="AB259" s="61">
        <f t="shared" si="163"/>
        <v>0</v>
      </c>
      <c r="AC259" s="61">
        <f t="shared" si="163"/>
        <v>0</v>
      </c>
      <c r="AD259" s="61">
        <f t="shared" si="163"/>
        <v>0</v>
      </c>
      <c r="AE259" s="61">
        <f t="shared" si="163"/>
        <v>0</v>
      </c>
      <c r="AF259" s="61"/>
      <c r="AG259" s="61">
        <f t="shared" ref="AG259:AP259" si="164">IF(AND(AG$2&gt;=$B259,AG$2&lt;$C259),$E259,0)</f>
        <v>0</v>
      </c>
      <c r="AH259" s="61">
        <f t="shared" si="164"/>
        <v>0</v>
      </c>
      <c r="AI259" s="61">
        <f t="shared" si="164"/>
        <v>0</v>
      </c>
      <c r="AJ259" s="61">
        <f t="shared" si="164"/>
        <v>0</v>
      </c>
      <c r="AK259" s="61">
        <f t="shared" si="164"/>
        <v>0</v>
      </c>
      <c r="AL259" s="61">
        <f t="shared" si="164"/>
        <v>0</v>
      </c>
      <c r="AM259" s="61">
        <f t="shared" si="164"/>
        <v>0</v>
      </c>
      <c r="AN259" s="61">
        <f t="shared" si="164"/>
        <v>0</v>
      </c>
      <c r="AO259" s="61">
        <f t="shared" si="164"/>
        <v>0</v>
      </c>
      <c r="AP259" s="61">
        <f t="shared" si="164"/>
        <v>0</v>
      </c>
      <c r="AQ259" s="61"/>
    </row>
    <row r="260" spans="2:43" x14ac:dyDescent="0.25">
      <c r="B260" s="54">
        <v>0.35416666666424135</v>
      </c>
      <c r="C260" s="54">
        <v>0.70833333337941495</v>
      </c>
      <c r="D260" s="60"/>
      <c r="E260" s="91">
        <f>SUMMARY!AC9</f>
        <v>0</v>
      </c>
      <c r="F260" s="91">
        <f>SUMMARY!$AU$9</f>
        <v>0</v>
      </c>
      <c r="G260" s="91">
        <f>SUMMARY!$AN$9</f>
        <v>0</v>
      </c>
      <c r="H260" s="92">
        <f t="shared" si="158"/>
        <v>0</v>
      </c>
      <c r="I260" s="180">
        <f>P$255-P$256</f>
        <v>0</v>
      </c>
      <c r="M260" s="61">
        <f t="shared" si="162"/>
        <v>0</v>
      </c>
      <c r="N260" s="61">
        <f t="shared" si="162"/>
        <v>0</v>
      </c>
      <c r="O260" s="61">
        <f t="shared" si="162"/>
        <v>0</v>
      </c>
      <c r="P260" s="61">
        <f t="shared" si="162"/>
        <v>0</v>
      </c>
      <c r="Q260" s="61">
        <f t="shared" si="162"/>
        <v>0</v>
      </c>
      <c r="R260" s="61">
        <f t="shared" si="162"/>
        <v>0</v>
      </c>
      <c r="S260" s="61">
        <f t="shared" si="162"/>
        <v>0</v>
      </c>
      <c r="T260" s="61">
        <f t="shared" si="162"/>
        <v>0</v>
      </c>
      <c r="U260" s="61">
        <f t="shared" si="162"/>
        <v>0</v>
      </c>
      <c r="V260" s="61">
        <f t="shared" si="162"/>
        <v>0</v>
      </c>
      <c r="W260" s="61">
        <f t="shared" si="163"/>
        <v>0</v>
      </c>
      <c r="X260" s="61">
        <f t="shared" si="163"/>
        <v>0</v>
      </c>
      <c r="Y260" s="61">
        <f t="shared" si="163"/>
        <v>0</v>
      </c>
      <c r="Z260" s="61">
        <f t="shared" si="163"/>
        <v>0</v>
      </c>
      <c r="AA260" s="61">
        <f t="shared" si="163"/>
        <v>0</v>
      </c>
      <c r="AB260" s="61">
        <f t="shared" si="163"/>
        <v>0</v>
      </c>
      <c r="AC260" s="61">
        <f t="shared" si="163"/>
        <v>0</v>
      </c>
      <c r="AD260" s="61">
        <f t="shared" si="163"/>
        <v>0</v>
      </c>
      <c r="AE260" s="61">
        <f t="shared" si="163"/>
        <v>0</v>
      </c>
      <c r="AF260" s="61">
        <f t="shared" ref="AF260:AF286" si="165">IF(AND(AF$2&gt;=$B260,AF$2&lt;$C260),$E260,0)</f>
        <v>0</v>
      </c>
      <c r="AG260" s="61"/>
      <c r="AH260" s="61">
        <f t="shared" ref="AH260:AP269" si="166">IF(AND(AH$2&gt;=$B260,AH$2&lt;$C260),$E260,0)</f>
        <v>0</v>
      </c>
      <c r="AI260" s="61">
        <f t="shared" si="166"/>
        <v>0</v>
      </c>
      <c r="AJ260" s="61">
        <f t="shared" si="166"/>
        <v>0</v>
      </c>
      <c r="AK260" s="61">
        <f t="shared" si="166"/>
        <v>0</v>
      </c>
      <c r="AL260" s="61">
        <f t="shared" si="166"/>
        <v>0</v>
      </c>
      <c r="AM260" s="61">
        <f t="shared" si="166"/>
        <v>0</v>
      </c>
      <c r="AN260" s="61">
        <f t="shared" si="166"/>
        <v>0</v>
      </c>
      <c r="AO260" s="61">
        <f t="shared" si="166"/>
        <v>0</v>
      </c>
      <c r="AP260" s="61">
        <f t="shared" si="166"/>
        <v>0</v>
      </c>
      <c r="AQ260" s="61"/>
    </row>
    <row r="261" spans="2:43" x14ac:dyDescent="0.25">
      <c r="B261" s="54">
        <v>0.375</v>
      </c>
      <c r="C261" s="54">
        <v>0.72916666671517405</v>
      </c>
      <c r="D261" s="60"/>
      <c r="E261" s="91"/>
      <c r="F261" s="91">
        <f>SUMMARY!$AU$10</f>
        <v>0</v>
      </c>
      <c r="G261" s="91">
        <f>SUMMARY!$AN$10</f>
        <v>0</v>
      </c>
      <c r="H261" s="92">
        <f>SUM(E261:G261)</f>
        <v>0</v>
      </c>
      <c r="I261" s="180">
        <f>Q$255-Q$256</f>
        <v>0</v>
      </c>
      <c r="M261" s="61">
        <f t="shared" si="162"/>
        <v>0</v>
      </c>
      <c r="N261" s="61">
        <f t="shared" si="162"/>
        <v>0</v>
      </c>
      <c r="O261" s="61">
        <f t="shared" si="162"/>
        <v>0</v>
      </c>
      <c r="P261" s="61">
        <f t="shared" si="162"/>
        <v>0</v>
      </c>
      <c r="Q261" s="61">
        <f t="shared" si="162"/>
        <v>0</v>
      </c>
      <c r="R261" s="61">
        <f t="shared" si="162"/>
        <v>0</v>
      </c>
      <c r="S261" s="61">
        <f t="shared" si="162"/>
        <v>0</v>
      </c>
      <c r="T261" s="61">
        <f t="shared" si="162"/>
        <v>0</v>
      </c>
      <c r="U261" s="61">
        <f t="shared" si="162"/>
        <v>0</v>
      </c>
      <c r="V261" s="61">
        <f t="shared" si="162"/>
        <v>0</v>
      </c>
      <c r="W261" s="61">
        <f t="shared" si="163"/>
        <v>0</v>
      </c>
      <c r="X261" s="61">
        <f t="shared" si="163"/>
        <v>0</v>
      </c>
      <c r="Y261" s="61">
        <f t="shared" si="163"/>
        <v>0</v>
      </c>
      <c r="Z261" s="61">
        <f t="shared" si="163"/>
        <v>0</v>
      </c>
      <c r="AA261" s="61">
        <f t="shared" si="163"/>
        <v>0</v>
      </c>
      <c r="AB261" s="61">
        <f t="shared" si="163"/>
        <v>0</v>
      </c>
      <c r="AC261" s="61">
        <f t="shared" si="163"/>
        <v>0</v>
      </c>
      <c r="AD261" s="61">
        <f t="shared" si="163"/>
        <v>0</v>
      </c>
      <c r="AE261" s="61">
        <f t="shared" si="163"/>
        <v>0</v>
      </c>
      <c r="AF261" s="61">
        <f t="shared" si="165"/>
        <v>0</v>
      </c>
      <c r="AG261" s="61">
        <f t="shared" ref="AG261:AG286" si="167">IF(AND(AG$2&gt;=$B261,AG$2&lt;$C261),$E261,0)</f>
        <v>0</v>
      </c>
      <c r="AH261" s="61">
        <f t="shared" si="166"/>
        <v>0</v>
      </c>
      <c r="AI261" s="61">
        <f t="shared" si="166"/>
        <v>0</v>
      </c>
      <c r="AJ261" s="61">
        <f t="shared" si="166"/>
        <v>0</v>
      </c>
      <c r="AK261" s="61">
        <f t="shared" si="166"/>
        <v>0</v>
      </c>
      <c r="AL261" s="61">
        <f t="shared" si="166"/>
        <v>0</v>
      </c>
      <c r="AM261" s="61">
        <f t="shared" si="166"/>
        <v>0</v>
      </c>
      <c r="AN261" s="61">
        <f t="shared" si="166"/>
        <v>0</v>
      </c>
      <c r="AO261" s="61">
        <f t="shared" si="166"/>
        <v>0</v>
      </c>
      <c r="AP261" s="61">
        <f t="shared" si="166"/>
        <v>0</v>
      </c>
      <c r="AQ261" s="61"/>
    </row>
    <row r="262" spans="2:43" x14ac:dyDescent="0.25">
      <c r="B262" s="54">
        <v>0.39583333333575865</v>
      </c>
      <c r="C262" s="54">
        <v>0.75000000005093304</v>
      </c>
      <c r="D262" s="60"/>
      <c r="E262" s="91"/>
      <c r="F262" s="91">
        <f>SUMMARY!$AU$11</f>
        <v>0</v>
      </c>
      <c r="G262" s="91">
        <f>SUMMARY!$AN$11</f>
        <v>0</v>
      </c>
      <c r="H262" s="92">
        <f t="shared" si="158"/>
        <v>0</v>
      </c>
      <c r="I262" s="180">
        <f>R$255-R$256</f>
        <v>0</v>
      </c>
      <c r="M262" s="61">
        <f t="shared" si="162"/>
        <v>0</v>
      </c>
      <c r="N262" s="61">
        <f t="shared" si="162"/>
        <v>0</v>
      </c>
      <c r="O262" s="61">
        <f t="shared" si="162"/>
        <v>0</v>
      </c>
      <c r="P262" s="61">
        <f t="shared" si="162"/>
        <v>0</v>
      </c>
      <c r="Q262" s="61">
        <f t="shared" si="162"/>
        <v>0</v>
      </c>
      <c r="R262" s="61">
        <f t="shared" si="162"/>
        <v>0</v>
      </c>
      <c r="S262" s="61">
        <f t="shared" si="162"/>
        <v>0</v>
      </c>
      <c r="T262" s="61">
        <f t="shared" si="162"/>
        <v>0</v>
      </c>
      <c r="U262" s="61">
        <f t="shared" si="162"/>
        <v>0</v>
      </c>
      <c r="V262" s="61">
        <f t="shared" si="162"/>
        <v>0</v>
      </c>
      <c r="W262" s="61">
        <f t="shared" si="163"/>
        <v>0</v>
      </c>
      <c r="X262" s="61">
        <f t="shared" si="163"/>
        <v>0</v>
      </c>
      <c r="Y262" s="61">
        <f t="shared" si="163"/>
        <v>0</v>
      </c>
      <c r="Z262" s="61">
        <f t="shared" si="163"/>
        <v>0</v>
      </c>
      <c r="AA262" s="61">
        <f t="shared" si="163"/>
        <v>0</v>
      </c>
      <c r="AB262" s="61">
        <f t="shared" si="163"/>
        <v>0</v>
      </c>
      <c r="AC262" s="61">
        <f t="shared" si="163"/>
        <v>0</v>
      </c>
      <c r="AD262" s="61">
        <f t="shared" si="163"/>
        <v>0</v>
      </c>
      <c r="AE262" s="61">
        <f t="shared" si="163"/>
        <v>0</v>
      </c>
      <c r="AF262" s="61">
        <f t="shared" si="165"/>
        <v>0</v>
      </c>
      <c r="AG262" s="61">
        <f t="shared" si="167"/>
        <v>0</v>
      </c>
      <c r="AH262" s="61">
        <f t="shared" si="166"/>
        <v>0</v>
      </c>
      <c r="AI262" s="61">
        <f t="shared" si="166"/>
        <v>0</v>
      </c>
      <c r="AJ262" s="61">
        <f t="shared" si="166"/>
        <v>0</v>
      </c>
      <c r="AK262" s="61">
        <f t="shared" si="166"/>
        <v>0</v>
      </c>
      <c r="AL262" s="61">
        <f t="shared" si="166"/>
        <v>0</v>
      </c>
      <c r="AM262" s="61">
        <f t="shared" si="166"/>
        <v>0</v>
      </c>
      <c r="AN262" s="61">
        <f t="shared" si="166"/>
        <v>0</v>
      </c>
      <c r="AO262" s="61">
        <f t="shared" si="166"/>
        <v>0</v>
      </c>
      <c r="AP262" s="61">
        <f t="shared" si="166"/>
        <v>0</v>
      </c>
      <c r="AQ262" s="61"/>
    </row>
    <row r="263" spans="2:43" x14ac:dyDescent="0.25">
      <c r="B263" s="54">
        <v>0.41666666666424135</v>
      </c>
      <c r="C263" s="54">
        <v>0.77083333338669202</v>
      </c>
      <c r="D263" s="60"/>
      <c r="E263" s="91"/>
      <c r="F263" s="91">
        <f>SUMMARY!$AU$12</f>
        <v>0</v>
      </c>
      <c r="G263" s="91">
        <f>SUMMARY!$AN$12</f>
        <v>0</v>
      </c>
      <c r="H263" s="92">
        <f t="shared" si="158"/>
        <v>0</v>
      </c>
      <c r="I263" s="180">
        <f>S$255-S$256</f>
        <v>0</v>
      </c>
      <c r="M263" s="61">
        <f t="shared" si="162"/>
        <v>0</v>
      </c>
      <c r="N263" s="61">
        <f t="shared" si="162"/>
        <v>0</v>
      </c>
      <c r="O263" s="61">
        <f t="shared" si="162"/>
        <v>0</v>
      </c>
      <c r="P263" s="61">
        <f t="shared" si="162"/>
        <v>0</v>
      </c>
      <c r="Q263" s="61">
        <f t="shared" si="162"/>
        <v>0</v>
      </c>
      <c r="R263" s="61">
        <f t="shared" si="162"/>
        <v>0</v>
      </c>
      <c r="S263" s="61">
        <f t="shared" si="162"/>
        <v>0</v>
      </c>
      <c r="T263" s="61">
        <f t="shared" si="162"/>
        <v>0</v>
      </c>
      <c r="U263" s="61">
        <f t="shared" si="162"/>
        <v>0</v>
      </c>
      <c r="V263" s="61">
        <f t="shared" si="162"/>
        <v>0</v>
      </c>
      <c r="W263" s="61">
        <f t="shared" si="163"/>
        <v>0</v>
      </c>
      <c r="X263" s="61">
        <f t="shared" si="163"/>
        <v>0</v>
      </c>
      <c r="Y263" s="61">
        <f t="shared" si="163"/>
        <v>0</v>
      </c>
      <c r="Z263" s="61">
        <f t="shared" si="163"/>
        <v>0</v>
      </c>
      <c r="AA263" s="61">
        <f t="shared" si="163"/>
        <v>0</v>
      </c>
      <c r="AB263" s="61">
        <f t="shared" si="163"/>
        <v>0</v>
      </c>
      <c r="AC263" s="61">
        <f t="shared" si="163"/>
        <v>0</v>
      </c>
      <c r="AD263" s="61">
        <f t="shared" si="163"/>
        <v>0</v>
      </c>
      <c r="AE263" s="61">
        <f t="shared" si="163"/>
        <v>0</v>
      </c>
      <c r="AF263" s="61">
        <f t="shared" si="165"/>
        <v>0</v>
      </c>
      <c r="AG263" s="61">
        <f t="shared" si="167"/>
        <v>0</v>
      </c>
      <c r="AH263" s="61">
        <f t="shared" si="166"/>
        <v>0</v>
      </c>
      <c r="AI263" s="61">
        <f t="shared" si="166"/>
        <v>0</v>
      </c>
      <c r="AJ263" s="61">
        <f t="shared" si="166"/>
        <v>0</v>
      </c>
      <c r="AK263" s="61">
        <f t="shared" si="166"/>
        <v>0</v>
      </c>
      <c r="AL263" s="61">
        <f t="shared" si="166"/>
        <v>0</v>
      </c>
      <c r="AM263" s="61">
        <f t="shared" si="166"/>
        <v>0</v>
      </c>
      <c r="AN263" s="61">
        <f t="shared" si="166"/>
        <v>0</v>
      </c>
      <c r="AO263" s="61">
        <f t="shared" si="166"/>
        <v>0</v>
      </c>
      <c r="AP263" s="61">
        <f t="shared" si="166"/>
        <v>0</v>
      </c>
      <c r="AQ263" s="61"/>
    </row>
    <row r="264" spans="2:43" x14ac:dyDescent="0.25">
      <c r="B264" s="54">
        <v>0.4375</v>
      </c>
      <c r="C264" s="54">
        <v>0.79166666672245101</v>
      </c>
      <c r="D264" s="60"/>
      <c r="E264" s="91"/>
      <c r="F264" s="91">
        <f>SUMMARY!$AU$13</f>
        <v>0</v>
      </c>
      <c r="G264" s="91">
        <f>SUMMARY!$AN$13</f>
        <v>0</v>
      </c>
      <c r="H264" s="92">
        <f t="shared" si="158"/>
        <v>0</v>
      </c>
      <c r="I264" s="180">
        <f>T$255-T$256</f>
        <v>0</v>
      </c>
      <c r="M264" s="61">
        <f t="shared" si="162"/>
        <v>0</v>
      </c>
      <c r="N264" s="61">
        <f t="shared" si="162"/>
        <v>0</v>
      </c>
      <c r="O264" s="61">
        <f t="shared" si="162"/>
        <v>0</v>
      </c>
      <c r="P264" s="61">
        <f t="shared" si="162"/>
        <v>0</v>
      </c>
      <c r="Q264" s="61">
        <f t="shared" si="162"/>
        <v>0</v>
      </c>
      <c r="R264" s="61">
        <f t="shared" si="162"/>
        <v>0</v>
      </c>
      <c r="S264" s="61">
        <f t="shared" si="162"/>
        <v>0</v>
      </c>
      <c r="T264" s="61">
        <f t="shared" si="162"/>
        <v>0</v>
      </c>
      <c r="U264" s="61">
        <f t="shared" si="162"/>
        <v>0</v>
      </c>
      <c r="V264" s="61">
        <f t="shared" si="162"/>
        <v>0</v>
      </c>
      <c r="W264" s="61">
        <f t="shared" si="163"/>
        <v>0</v>
      </c>
      <c r="X264" s="61">
        <f t="shared" si="163"/>
        <v>0</v>
      </c>
      <c r="Y264" s="61">
        <f t="shared" si="163"/>
        <v>0</v>
      </c>
      <c r="Z264" s="61">
        <f t="shared" si="163"/>
        <v>0</v>
      </c>
      <c r="AA264" s="61">
        <f t="shared" si="163"/>
        <v>0</v>
      </c>
      <c r="AB264" s="61">
        <f t="shared" si="163"/>
        <v>0</v>
      </c>
      <c r="AC264" s="61">
        <f t="shared" si="163"/>
        <v>0</v>
      </c>
      <c r="AD264" s="61">
        <f t="shared" si="163"/>
        <v>0</v>
      </c>
      <c r="AE264" s="61">
        <f t="shared" si="163"/>
        <v>0</v>
      </c>
      <c r="AF264" s="61">
        <f t="shared" si="165"/>
        <v>0</v>
      </c>
      <c r="AG264" s="61">
        <f t="shared" si="167"/>
        <v>0</v>
      </c>
      <c r="AH264" s="61">
        <f t="shared" si="166"/>
        <v>0</v>
      </c>
      <c r="AI264" s="61">
        <f t="shared" si="166"/>
        <v>0</v>
      </c>
      <c r="AJ264" s="61">
        <f t="shared" si="166"/>
        <v>0</v>
      </c>
      <c r="AK264" s="61">
        <f t="shared" si="166"/>
        <v>0</v>
      </c>
      <c r="AL264" s="61">
        <f t="shared" si="166"/>
        <v>0</v>
      </c>
      <c r="AM264" s="61">
        <f t="shared" si="166"/>
        <v>0</v>
      </c>
      <c r="AN264" s="61">
        <f t="shared" si="166"/>
        <v>0</v>
      </c>
      <c r="AO264" s="61">
        <f t="shared" si="166"/>
        <v>0</v>
      </c>
      <c r="AP264" s="61">
        <f t="shared" si="166"/>
        <v>0</v>
      </c>
      <c r="AQ264" s="61"/>
    </row>
    <row r="265" spans="2:43" x14ac:dyDescent="0.25">
      <c r="B265" s="54">
        <v>0.45833333333575865</v>
      </c>
      <c r="C265" s="54">
        <v>0.81250000005820999</v>
      </c>
      <c r="D265" s="60"/>
      <c r="E265" s="91"/>
      <c r="F265" s="91">
        <f>SUMMARY!$AU$14</f>
        <v>0</v>
      </c>
      <c r="G265" s="91">
        <f>SUMMARY!$AN$14</f>
        <v>0</v>
      </c>
      <c r="H265" s="92">
        <f t="shared" si="158"/>
        <v>0</v>
      </c>
      <c r="I265" s="180">
        <f>U$255-U$256</f>
        <v>0</v>
      </c>
      <c r="M265" s="61">
        <f t="shared" si="162"/>
        <v>0</v>
      </c>
      <c r="N265" s="61">
        <f t="shared" si="162"/>
        <v>0</v>
      </c>
      <c r="O265" s="61">
        <f t="shared" si="162"/>
        <v>0</v>
      </c>
      <c r="P265" s="61">
        <f t="shared" si="162"/>
        <v>0</v>
      </c>
      <c r="Q265" s="61">
        <f t="shared" si="162"/>
        <v>0</v>
      </c>
      <c r="R265" s="61">
        <f t="shared" si="162"/>
        <v>0</v>
      </c>
      <c r="S265" s="61">
        <f t="shared" si="162"/>
        <v>0</v>
      </c>
      <c r="T265" s="61">
        <f t="shared" si="162"/>
        <v>0</v>
      </c>
      <c r="U265" s="61">
        <f t="shared" si="162"/>
        <v>0</v>
      </c>
      <c r="V265" s="61">
        <f t="shared" si="162"/>
        <v>0</v>
      </c>
      <c r="W265" s="61">
        <f t="shared" si="163"/>
        <v>0</v>
      </c>
      <c r="X265" s="61">
        <f t="shared" si="163"/>
        <v>0</v>
      </c>
      <c r="Y265" s="61">
        <f t="shared" si="163"/>
        <v>0</v>
      </c>
      <c r="Z265" s="61">
        <f t="shared" si="163"/>
        <v>0</v>
      </c>
      <c r="AA265" s="61">
        <f t="shared" si="163"/>
        <v>0</v>
      </c>
      <c r="AB265" s="61">
        <f t="shared" si="163"/>
        <v>0</v>
      </c>
      <c r="AC265" s="61">
        <f t="shared" si="163"/>
        <v>0</v>
      </c>
      <c r="AD265" s="61">
        <f t="shared" si="163"/>
        <v>0</v>
      </c>
      <c r="AE265" s="61">
        <f t="shared" si="163"/>
        <v>0</v>
      </c>
      <c r="AF265" s="61">
        <f t="shared" si="165"/>
        <v>0</v>
      </c>
      <c r="AG265" s="61">
        <f t="shared" si="167"/>
        <v>0</v>
      </c>
      <c r="AH265" s="61">
        <f t="shared" si="166"/>
        <v>0</v>
      </c>
      <c r="AI265" s="61">
        <f t="shared" si="166"/>
        <v>0</v>
      </c>
      <c r="AJ265" s="61">
        <f t="shared" si="166"/>
        <v>0</v>
      </c>
      <c r="AK265" s="61">
        <f t="shared" si="166"/>
        <v>0</v>
      </c>
      <c r="AL265" s="61">
        <f t="shared" si="166"/>
        <v>0</v>
      </c>
      <c r="AM265" s="61">
        <f t="shared" si="166"/>
        <v>0</v>
      </c>
      <c r="AN265" s="61">
        <f t="shared" si="166"/>
        <v>0</v>
      </c>
      <c r="AO265" s="61">
        <f t="shared" si="166"/>
        <v>0</v>
      </c>
      <c r="AP265" s="61">
        <f t="shared" si="166"/>
        <v>0</v>
      </c>
      <c r="AQ265" s="61"/>
    </row>
    <row r="266" spans="2:43" x14ac:dyDescent="0.25">
      <c r="B266" s="54">
        <v>0.47916666666424135</v>
      </c>
      <c r="C266" s="54">
        <v>0.83333333339396898</v>
      </c>
      <c r="D266" s="60"/>
      <c r="E266" s="91"/>
      <c r="F266" s="91"/>
      <c r="G266" s="91">
        <f>SUMMARY!$AN$15</f>
        <v>0</v>
      </c>
      <c r="H266" s="92">
        <f t="shared" si="158"/>
        <v>0</v>
      </c>
      <c r="I266" s="180">
        <f>V$255-V$256</f>
        <v>0</v>
      </c>
      <c r="M266" s="61">
        <f t="shared" si="162"/>
        <v>0</v>
      </c>
      <c r="N266" s="61">
        <f t="shared" si="162"/>
        <v>0</v>
      </c>
      <c r="O266" s="61">
        <f t="shared" si="162"/>
        <v>0</v>
      </c>
      <c r="P266" s="61">
        <f t="shared" si="162"/>
        <v>0</v>
      </c>
      <c r="Q266" s="61">
        <f t="shared" si="162"/>
        <v>0</v>
      </c>
      <c r="R266" s="61">
        <f t="shared" si="162"/>
        <v>0</v>
      </c>
      <c r="S266" s="61">
        <f t="shared" si="162"/>
        <v>0</v>
      </c>
      <c r="T266" s="61">
        <f t="shared" si="162"/>
        <v>0</v>
      </c>
      <c r="U266" s="61">
        <f t="shared" si="162"/>
        <v>0</v>
      </c>
      <c r="V266" s="61">
        <f t="shared" si="162"/>
        <v>0</v>
      </c>
      <c r="W266" s="61">
        <f t="shared" si="163"/>
        <v>0</v>
      </c>
      <c r="X266" s="61">
        <f t="shared" si="163"/>
        <v>0</v>
      </c>
      <c r="Y266" s="61">
        <f t="shared" si="163"/>
        <v>0</v>
      </c>
      <c r="Z266" s="61">
        <f t="shared" si="163"/>
        <v>0</v>
      </c>
      <c r="AA266" s="61">
        <f t="shared" si="163"/>
        <v>0</v>
      </c>
      <c r="AB266" s="61">
        <f t="shared" si="163"/>
        <v>0</v>
      </c>
      <c r="AC266" s="61">
        <f t="shared" si="163"/>
        <v>0</v>
      </c>
      <c r="AD266" s="61">
        <f t="shared" si="163"/>
        <v>0</v>
      </c>
      <c r="AE266" s="61">
        <f t="shared" si="163"/>
        <v>0</v>
      </c>
      <c r="AF266" s="61">
        <f t="shared" si="165"/>
        <v>0</v>
      </c>
      <c r="AG266" s="61">
        <f t="shared" si="167"/>
        <v>0</v>
      </c>
      <c r="AH266" s="61">
        <f t="shared" si="166"/>
        <v>0</v>
      </c>
      <c r="AI266" s="61">
        <f t="shared" si="166"/>
        <v>0</v>
      </c>
      <c r="AJ266" s="61">
        <f t="shared" si="166"/>
        <v>0</v>
      </c>
      <c r="AK266" s="61">
        <f t="shared" si="166"/>
        <v>0</v>
      </c>
      <c r="AL266" s="61">
        <f t="shared" si="166"/>
        <v>0</v>
      </c>
      <c r="AM266" s="61">
        <f t="shared" si="166"/>
        <v>0</v>
      </c>
      <c r="AN266" s="61">
        <f t="shared" si="166"/>
        <v>0</v>
      </c>
      <c r="AO266" s="61">
        <f t="shared" si="166"/>
        <v>0</v>
      </c>
      <c r="AP266" s="61">
        <f t="shared" si="166"/>
        <v>0</v>
      </c>
      <c r="AQ266" s="61"/>
    </row>
    <row r="267" spans="2:43" x14ac:dyDescent="0.25">
      <c r="B267" s="54">
        <v>0.5</v>
      </c>
      <c r="C267" s="54">
        <v>0.85416666672972796</v>
      </c>
      <c r="D267" s="60"/>
      <c r="E267" s="91"/>
      <c r="F267" s="91"/>
      <c r="G267" s="91">
        <f>SUMMARY!$AN$16</f>
        <v>0</v>
      </c>
      <c r="H267" s="92">
        <f t="shared" si="158"/>
        <v>0</v>
      </c>
      <c r="I267" s="180">
        <f>W$255-W$256</f>
        <v>0</v>
      </c>
      <c r="M267" s="61">
        <f t="shared" si="162"/>
        <v>0</v>
      </c>
      <c r="N267" s="61">
        <f t="shared" si="162"/>
        <v>0</v>
      </c>
      <c r="O267" s="61">
        <f t="shared" si="162"/>
        <v>0</v>
      </c>
      <c r="P267" s="61">
        <f t="shared" si="162"/>
        <v>0</v>
      </c>
      <c r="Q267" s="61">
        <f t="shared" si="162"/>
        <v>0</v>
      </c>
      <c r="R267" s="61">
        <f t="shared" si="162"/>
        <v>0</v>
      </c>
      <c r="S267" s="61">
        <f t="shared" si="162"/>
        <v>0</v>
      </c>
      <c r="T267" s="61">
        <f t="shared" si="162"/>
        <v>0</v>
      </c>
      <c r="U267" s="61">
        <f t="shared" si="162"/>
        <v>0</v>
      </c>
      <c r="V267" s="61">
        <f t="shared" si="162"/>
        <v>0</v>
      </c>
      <c r="W267" s="61">
        <f t="shared" si="163"/>
        <v>0</v>
      </c>
      <c r="X267" s="61">
        <f t="shared" si="163"/>
        <v>0</v>
      </c>
      <c r="Y267" s="61">
        <f t="shared" si="163"/>
        <v>0</v>
      </c>
      <c r="Z267" s="61">
        <f t="shared" si="163"/>
        <v>0</v>
      </c>
      <c r="AA267" s="61">
        <f t="shared" si="163"/>
        <v>0</v>
      </c>
      <c r="AB267" s="61">
        <f t="shared" si="163"/>
        <v>0</v>
      </c>
      <c r="AC267" s="61">
        <f t="shared" si="163"/>
        <v>0</v>
      </c>
      <c r="AD267" s="61">
        <f t="shared" si="163"/>
        <v>0</v>
      </c>
      <c r="AE267" s="61">
        <f t="shared" si="163"/>
        <v>0</v>
      </c>
      <c r="AF267" s="61">
        <f t="shared" si="165"/>
        <v>0</v>
      </c>
      <c r="AG267" s="61">
        <f t="shared" si="167"/>
        <v>0</v>
      </c>
      <c r="AH267" s="61">
        <f t="shared" si="166"/>
        <v>0</v>
      </c>
      <c r="AI267" s="61">
        <f t="shared" si="166"/>
        <v>0</v>
      </c>
      <c r="AJ267" s="61">
        <f t="shared" si="166"/>
        <v>0</v>
      </c>
      <c r="AK267" s="61">
        <f t="shared" si="166"/>
        <v>0</v>
      </c>
      <c r="AL267" s="61">
        <f t="shared" si="166"/>
        <v>0</v>
      </c>
      <c r="AM267" s="61">
        <f t="shared" si="166"/>
        <v>0</v>
      </c>
      <c r="AN267" s="61">
        <f t="shared" si="166"/>
        <v>0</v>
      </c>
      <c r="AO267" s="61">
        <f t="shared" si="166"/>
        <v>0</v>
      </c>
      <c r="AP267" s="61">
        <f t="shared" si="166"/>
        <v>0</v>
      </c>
      <c r="AQ267" s="61"/>
    </row>
    <row r="268" spans="2:43" x14ac:dyDescent="0.25">
      <c r="B268" s="54">
        <v>0.52083333333575865</v>
      </c>
      <c r="C268" s="54">
        <v>0.87500000006548695</v>
      </c>
      <c r="D268" s="60"/>
      <c r="E268" s="91"/>
      <c r="F268" s="91"/>
      <c r="G268" s="91">
        <f>SUMMARY!$AN$17</f>
        <v>0</v>
      </c>
      <c r="H268" s="92">
        <f t="shared" si="158"/>
        <v>0</v>
      </c>
      <c r="I268" s="180">
        <f>X$255-X$256</f>
        <v>0</v>
      </c>
      <c r="M268" s="61">
        <f t="shared" si="162"/>
        <v>0</v>
      </c>
      <c r="N268" s="61">
        <f t="shared" si="162"/>
        <v>0</v>
      </c>
      <c r="O268" s="61">
        <f t="shared" si="162"/>
        <v>0</v>
      </c>
      <c r="P268" s="61">
        <f t="shared" si="162"/>
        <v>0</v>
      </c>
      <c r="Q268" s="61">
        <f t="shared" si="162"/>
        <v>0</v>
      </c>
      <c r="R268" s="61">
        <f t="shared" si="162"/>
        <v>0</v>
      </c>
      <c r="S268" s="61">
        <f t="shared" si="162"/>
        <v>0</v>
      </c>
      <c r="T268" s="61">
        <f t="shared" si="162"/>
        <v>0</v>
      </c>
      <c r="U268" s="61">
        <f t="shared" si="162"/>
        <v>0</v>
      </c>
      <c r="V268" s="61">
        <f t="shared" si="162"/>
        <v>0</v>
      </c>
      <c r="W268" s="61">
        <f t="shared" si="163"/>
        <v>0</v>
      </c>
      <c r="X268" s="61">
        <f t="shared" si="163"/>
        <v>0</v>
      </c>
      <c r="Y268" s="61">
        <f t="shared" si="163"/>
        <v>0</v>
      </c>
      <c r="Z268" s="61">
        <f t="shared" si="163"/>
        <v>0</v>
      </c>
      <c r="AA268" s="61">
        <f t="shared" si="163"/>
        <v>0</v>
      </c>
      <c r="AB268" s="61">
        <f t="shared" si="163"/>
        <v>0</v>
      </c>
      <c r="AC268" s="61">
        <f t="shared" si="163"/>
        <v>0</v>
      </c>
      <c r="AD268" s="61">
        <f t="shared" si="163"/>
        <v>0</v>
      </c>
      <c r="AE268" s="61">
        <f t="shared" si="163"/>
        <v>0</v>
      </c>
      <c r="AF268" s="61">
        <f t="shared" si="165"/>
        <v>0</v>
      </c>
      <c r="AG268" s="61">
        <f t="shared" si="167"/>
        <v>0</v>
      </c>
      <c r="AH268" s="61">
        <f t="shared" si="166"/>
        <v>0</v>
      </c>
      <c r="AI268" s="61">
        <f t="shared" si="166"/>
        <v>0</v>
      </c>
      <c r="AJ268" s="61">
        <f t="shared" si="166"/>
        <v>0</v>
      </c>
      <c r="AK268" s="61">
        <f t="shared" si="166"/>
        <v>0</v>
      </c>
      <c r="AL268" s="61">
        <f t="shared" si="166"/>
        <v>0</v>
      </c>
      <c r="AM268" s="61">
        <f t="shared" si="166"/>
        <v>0</v>
      </c>
      <c r="AN268" s="61">
        <f t="shared" si="166"/>
        <v>0</v>
      </c>
      <c r="AO268" s="61">
        <f t="shared" si="166"/>
        <v>0</v>
      </c>
      <c r="AP268" s="61">
        <f t="shared" si="166"/>
        <v>0</v>
      </c>
      <c r="AQ268" s="61"/>
    </row>
    <row r="269" spans="2:43" x14ac:dyDescent="0.25">
      <c r="B269" s="54">
        <v>0.54166666666424135</v>
      </c>
      <c r="C269" s="54">
        <v>0.89583333340124605</v>
      </c>
      <c r="D269" s="60"/>
      <c r="E269" s="91"/>
      <c r="F269" s="91"/>
      <c r="G269" s="91">
        <f>SUMMARY!$AN$18</f>
        <v>0</v>
      </c>
      <c r="H269" s="92">
        <f t="shared" si="158"/>
        <v>0</v>
      </c>
      <c r="I269" s="180">
        <f>Y$255-Y$256</f>
        <v>0</v>
      </c>
      <c r="M269" s="61">
        <f t="shared" ref="M269:V278" si="168">IF(AND(M$2&gt;=$B269,M$2&lt;$C269),$E269,0)</f>
        <v>0</v>
      </c>
      <c r="N269" s="61">
        <f t="shared" si="168"/>
        <v>0</v>
      </c>
      <c r="O269" s="61">
        <f t="shared" si="168"/>
        <v>0</v>
      </c>
      <c r="P269" s="61">
        <f t="shared" si="168"/>
        <v>0</v>
      </c>
      <c r="Q269" s="61">
        <f t="shared" si="168"/>
        <v>0</v>
      </c>
      <c r="R269" s="61">
        <f t="shared" si="168"/>
        <v>0</v>
      </c>
      <c r="S269" s="61">
        <f t="shared" si="168"/>
        <v>0</v>
      </c>
      <c r="T269" s="61">
        <f t="shared" si="168"/>
        <v>0</v>
      </c>
      <c r="U269" s="61">
        <f t="shared" si="168"/>
        <v>0</v>
      </c>
      <c r="V269" s="61">
        <f t="shared" si="168"/>
        <v>0</v>
      </c>
      <c r="W269" s="61">
        <f t="shared" ref="W269:AE278" si="169">IF(AND(W$2&gt;=$B269,W$2&lt;$C269),$E269,0)</f>
        <v>0</v>
      </c>
      <c r="X269" s="61">
        <f t="shared" si="169"/>
        <v>0</v>
      </c>
      <c r="Y269" s="61">
        <f t="shared" si="169"/>
        <v>0</v>
      </c>
      <c r="Z269" s="61">
        <f t="shared" si="169"/>
        <v>0</v>
      </c>
      <c r="AA269" s="61">
        <f t="shared" si="169"/>
        <v>0</v>
      </c>
      <c r="AB269" s="61">
        <f t="shared" si="169"/>
        <v>0</v>
      </c>
      <c r="AC269" s="61">
        <f t="shared" si="169"/>
        <v>0</v>
      </c>
      <c r="AD269" s="61">
        <f t="shared" si="169"/>
        <v>0</v>
      </c>
      <c r="AE269" s="61">
        <f t="shared" si="169"/>
        <v>0</v>
      </c>
      <c r="AF269" s="61">
        <f t="shared" si="165"/>
        <v>0</v>
      </c>
      <c r="AG269" s="61">
        <f t="shared" si="167"/>
        <v>0</v>
      </c>
      <c r="AH269" s="61">
        <f t="shared" si="166"/>
        <v>0</v>
      </c>
      <c r="AI269" s="61">
        <f t="shared" si="166"/>
        <v>0</v>
      </c>
      <c r="AJ269" s="61">
        <f t="shared" si="166"/>
        <v>0</v>
      </c>
      <c r="AK269" s="61">
        <f t="shared" si="166"/>
        <v>0</v>
      </c>
      <c r="AL269" s="61">
        <f t="shared" si="166"/>
        <v>0</v>
      </c>
      <c r="AM269" s="61">
        <f t="shared" si="166"/>
        <v>0</v>
      </c>
      <c r="AN269" s="61">
        <f t="shared" si="166"/>
        <v>0</v>
      </c>
      <c r="AO269" s="61">
        <f t="shared" si="166"/>
        <v>0</v>
      </c>
      <c r="AP269" s="61">
        <f t="shared" si="166"/>
        <v>0</v>
      </c>
      <c r="AQ269" s="61"/>
    </row>
    <row r="270" spans="2:43" x14ac:dyDescent="0.25">
      <c r="B270" s="54">
        <v>0.5625</v>
      </c>
      <c r="C270" s="54">
        <v>0.91666666673700503</v>
      </c>
      <c r="D270" s="60"/>
      <c r="E270" s="91"/>
      <c r="F270" s="91"/>
      <c r="G270" s="91"/>
      <c r="H270" s="92">
        <f t="shared" si="158"/>
        <v>0</v>
      </c>
      <c r="I270" s="180">
        <f>Z$255-Z$256</f>
        <v>0</v>
      </c>
      <c r="M270" s="61">
        <f t="shared" si="168"/>
        <v>0</v>
      </c>
      <c r="N270" s="61">
        <f t="shared" si="168"/>
        <v>0</v>
      </c>
      <c r="O270" s="61">
        <f t="shared" si="168"/>
        <v>0</v>
      </c>
      <c r="P270" s="61">
        <f t="shared" si="168"/>
        <v>0</v>
      </c>
      <c r="Q270" s="61">
        <f t="shared" si="168"/>
        <v>0</v>
      </c>
      <c r="R270" s="61">
        <f t="shared" si="168"/>
        <v>0</v>
      </c>
      <c r="S270" s="61">
        <f t="shared" si="168"/>
        <v>0</v>
      </c>
      <c r="T270" s="61">
        <f t="shared" si="168"/>
        <v>0</v>
      </c>
      <c r="U270" s="61">
        <f t="shared" si="168"/>
        <v>0</v>
      </c>
      <c r="V270" s="61">
        <f t="shared" si="168"/>
        <v>0</v>
      </c>
      <c r="W270" s="61">
        <f t="shared" si="169"/>
        <v>0</v>
      </c>
      <c r="X270" s="61">
        <f t="shared" si="169"/>
        <v>0</v>
      </c>
      <c r="Y270" s="61">
        <f t="shared" si="169"/>
        <v>0</v>
      </c>
      <c r="Z270" s="61">
        <f t="shared" si="169"/>
        <v>0</v>
      </c>
      <c r="AA270" s="61">
        <f t="shared" si="169"/>
        <v>0</v>
      </c>
      <c r="AB270" s="61">
        <f t="shared" si="169"/>
        <v>0</v>
      </c>
      <c r="AC270" s="61">
        <f t="shared" si="169"/>
        <v>0</v>
      </c>
      <c r="AD270" s="61">
        <f t="shared" si="169"/>
        <v>0</v>
      </c>
      <c r="AE270" s="61">
        <f t="shared" si="169"/>
        <v>0</v>
      </c>
      <c r="AF270" s="61">
        <f t="shared" si="165"/>
        <v>0</v>
      </c>
      <c r="AG270" s="61">
        <f t="shared" si="167"/>
        <v>0</v>
      </c>
      <c r="AH270" s="61">
        <f t="shared" ref="AH270:AP279" si="170">IF(AND(AH$2&gt;=$B270,AH$2&lt;$C270),$E270,0)</f>
        <v>0</v>
      </c>
      <c r="AI270" s="61">
        <f t="shared" si="170"/>
        <v>0</v>
      </c>
      <c r="AJ270" s="61">
        <f t="shared" si="170"/>
        <v>0</v>
      </c>
      <c r="AK270" s="61">
        <f t="shared" si="170"/>
        <v>0</v>
      </c>
      <c r="AL270" s="61">
        <f t="shared" si="170"/>
        <v>0</v>
      </c>
      <c r="AM270" s="61">
        <f t="shared" si="170"/>
        <v>0</v>
      </c>
      <c r="AN270" s="61">
        <f t="shared" si="170"/>
        <v>0</v>
      </c>
      <c r="AO270" s="61">
        <f t="shared" si="170"/>
        <v>0</v>
      </c>
      <c r="AP270" s="61">
        <f t="shared" si="170"/>
        <v>0</v>
      </c>
      <c r="AQ270" s="61"/>
    </row>
    <row r="271" spans="2:43" x14ac:dyDescent="0.25">
      <c r="B271" s="54">
        <v>0.58333333333575899</v>
      </c>
      <c r="C271" s="54">
        <v>0.93750000007276402</v>
      </c>
      <c r="D271" s="60"/>
      <c r="E271" s="91"/>
      <c r="F271" s="91"/>
      <c r="G271" s="91"/>
      <c r="H271" s="92">
        <f t="shared" si="158"/>
        <v>0</v>
      </c>
      <c r="I271" s="180">
        <f>AA$255-AA$256</f>
        <v>0</v>
      </c>
      <c r="M271" s="61">
        <f t="shared" si="168"/>
        <v>0</v>
      </c>
      <c r="N271" s="61">
        <f t="shared" si="168"/>
        <v>0</v>
      </c>
      <c r="O271" s="61">
        <f t="shared" si="168"/>
        <v>0</v>
      </c>
      <c r="P271" s="61">
        <f t="shared" si="168"/>
        <v>0</v>
      </c>
      <c r="Q271" s="61">
        <f t="shared" si="168"/>
        <v>0</v>
      </c>
      <c r="R271" s="61">
        <f t="shared" si="168"/>
        <v>0</v>
      </c>
      <c r="S271" s="61">
        <f t="shared" si="168"/>
        <v>0</v>
      </c>
      <c r="T271" s="61">
        <f t="shared" si="168"/>
        <v>0</v>
      </c>
      <c r="U271" s="61">
        <f t="shared" si="168"/>
        <v>0</v>
      </c>
      <c r="V271" s="61">
        <f t="shared" si="168"/>
        <v>0</v>
      </c>
      <c r="W271" s="61">
        <f t="shared" si="169"/>
        <v>0</v>
      </c>
      <c r="X271" s="61">
        <f t="shared" si="169"/>
        <v>0</v>
      </c>
      <c r="Y271" s="61">
        <f t="shared" si="169"/>
        <v>0</v>
      </c>
      <c r="Z271" s="61">
        <f t="shared" si="169"/>
        <v>0</v>
      </c>
      <c r="AA271" s="61">
        <f t="shared" si="169"/>
        <v>0</v>
      </c>
      <c r="AB271" s="61">
        <f t="shared" si="169"/>
        <v>0</v>
      </c>
      <c r="AC271" s="61">
        <f t="shared" si="169"/>
        <v>0</v>
      </c>
      <c r="AD271" s="61">
        <f t="shared" si="169"/>
        <v>0</v>
      </c>
      <c r="AE271" s="61">
        <f t="shared" si="169"/>
        <v>0</v>
      </c>
      <c r="AF271" s="61">
        <f t="shared" si="165"/>
        <v>0</v>
      </c>
      <c r="AG271" s="61">
        <f t="shared" si="167"/>
        <v>0</v>
      </c>
      <c r="AH271" s="61">
        <f t="shared" si="170"/>
        <v>0</v>
      </c>
      <c r="AI271" s="61">
        <f t="shared" si="170"/>
        <v>0</v>
      </c>
      <c r="AJ271" s="61">
        <f t="shared" si="170"/>
        <v>0</v>
      </c>
      <c r="AK271" s="61">
        <f t="shared" si="170"/>
        <v>0</v>
      </c>
      <c r="AL271" s="61">
        <f t="shared" si="170"/>
        <v>0</v>
      </c>
      <c r="AM271" s="61">
        <f t="shared" si="170"/>
        <v>0</v>
      </c>
      <c r="AN271" s="61">
        <f t="shared" si="170"/>
        <v>0</v>
      </c>
      <c r="AO271" s="61">
        <f t="shared" si="170"/>
        <v>0</v>
      </c>
      <c r="AP271" s="61">
        <f t="shared" si="170"/>
        <v>0</v>
      </c>
      <c r="AQ271" s="61"/>
    </row>
    <row r="272" spans="2:43" x14ac:dyDescent="0.25">
      <c r="B272" s="54">
        <v>0.60416666667151697</v>
      </c>
      <c r="C272" s="54">
        <v>0.958333333408523</v>
      </c>
      <c r="D272" s="60"/>
      <c r="E272" s="91"/>
      <c r="F272" s="91"/>
      <c r="G272" s="91"/>
      <c r="H272" s="92">
        <f t="shared" si="158"/>
        <v>0</v>
      </c>
      <c r="I272" s="180">
        <f>AB$255-AB$256</f>
        <v>0</v>
      </c>
      <c r="M272" s="61">
        <f t="shared" si="168"/>
        <v>0</v>
      </c>
      <c r="N272" s="61">
        <f t="shared" si="168"/>
        <v>0</v>
      </c>
      <c r="O272" s="61">
        <f t="shared" si="168"/>
        <v>0</v>
      </c>
      <c r="P272" s="61">
        <f t="shared" si="168"/>
        <v>0</v>
      </c>
      <c r="Q272" s="61">
        <f t="shared" si="168"/>
        <v>0</v>
      </c>
      <c r="R272" s="61">
        <f t="shared" si="168"/>
        <v>0</v>
      </c>
      <c r="S272" s="61">
        <f t="shared" si="168"/>
        <v>0</v>
      </c>
      <c r="T272" s="61">
        <f t="shared" si="168"/>
        <v>0</v>
      </c>
      <c r="U272" s="61">
        <f t="shared" si="168"/>
        <v>0</v>
      </c>
      <c r="V272" s="61">
        <f t="shared" si="168"/>
        <v>0</v>
      </c>
      <c r="W272" s="61">
        <f t="shared" si="169"/>
        <v>0</v>
      </c>
      <c r="X272" s="61">
        <f t="shared" si="169"/>
        <v>0</v>
      </c>
      <c r="Y272" s="61">
        <f t="shared" si="169"/>
        <v>0</v>
      </c>
      <c r="Z272" s="61">
        <f t="shared" si="169"/>
        <v>0</v>
      </c>
      <c r="AA272" s="61">
        <f t="shared" si="169"/>
        <v>0</v>
      </c>
      <c r="AB272" s="61">
        <f t="shared" si="169"/>
        <v>0</v>
      </c>
      <c r="AC272" s="61">
        <f t="shared" si="169"/>
        <v>0</v>
      </c>
      <c r="AD272" s="61">
        <f t="shared" si="169"/>
        <v>0</v>
      </c>
      <c r="AE272" s="61">
        <f t="shared" si="169"/>
        <v>0</v>
      </c>
      <c r="AF272" s="61">
        <f t="shared" si="165"/>
        <v>0</v>
      </c>
      <c r="AG272" s="61">
        <f t="shared" si="167"/>
        <v>0</v>
      </c>
      <c r="AH272" s="61">
        <f t="shared" si="170"/>
        <v>0</v>
      </c>
      <c r="AI272" s="61">
        <f t="shared" si="170"/>
        <v>0</v>
      </c>
      <c r="AJ272" s="61">
        <f t="shared" si="170"/>
        <v>0</v>
      </c>
      <c r="AK272" s="61">
        <f t="shared" si="170"/>
        <v>0</v>
      </c>
      <c r="AL272" s="61">
        <f t="shared" si="170"/>
        <v>0</v>
      </c>
      <c r="AM272" s="61">
        <f t="shared" si="170"/>
        <v>0</v>
      </c>
      <c r="AN272" s="61">
        <f t="shared" si="170"/>
        <v>0</v>
      </c>
      <c r="AO272" s="61">
        <f t="shared" si="170"/>
        <v>0</v>
      </c>
      <c r="AP272" s="61">
        <f t="shared" si="170"/>
        <v>0</v>
      </c>
      <c r="AQ272" s="61"/>
    </row>
    <row r="273" spans="2:43" x14ac:dyDescent="0.25">
      <c r="B273" s="54">
        <v>0.62500000000727596</v>
      </c>
      <c r="C273" s="54">
        <v>0.97916666674428199</v>
      </c>
      <c r="D273" s="60"/>
      <c r="E273" s="91"/>
      <c r="F273" s="91"/>
      <c r="G273" s="91"/>
      <c r="H273" s="92">
        <f t="shared" si="158"/>
        <v>0</v>
      </c>
      <c r="I273" s="180">
        <f>AC$255-AC$256</f>
        <v>0</v>
      </c>
      <c r="M273" s="61">
        <f t="shared" si="168"/>
        <v>0</v>
      </c>
      <c r="N273" s="61">
        <f t="shared" si="168"/>
        <v>0</v>
      </c>
      <c r="O273" s="61">
        <f t="shared" si="168"/>
        <v>0</v>
      </c>
      <c r="P273" s="61">
        <f t="shared" si="168"/>
        <v>0</v>
      </c>
      <c r="Q273" s="61">
        <f t="shared" si="168"/>
        <v>0</v>
      </c>
      <c r="R273" s="61">
        <f t="shared" si="168"/>
        <v>0</v>
      </c>
      <c r="S273" s="61">
        <f t="shared" si="168"/>
        <v>0</v>
      </c>
      <c r="T273" s="61">
        <f t="shared" si="168"/>
        <v>0</v>
      </c>
      <c r="U273" s="61">
        <f t="shared" si="168"/>
        <v>0</v>
      </c>
      <c r="V273" s="61">
        <f t="shared" si="168"/>
        <v>0</v>
      </c>
      <c r="W273" s="61">
        <f t="shared" si="169"/>
        <v>0</v>
      </c>
      <c r="X273" s="61">
        <f t="shared" si="169"/>
        <v>0</v>
      </c>
      <c r="Y273" s="61">
        <f t="shared" si="169"/>
        <v>0</v>
      </c>
      <c r="Z273" s="61">
        <f t="shared" si="169"/>
        <v>0</v>
      </c>
      <c r="AA273" s="61">
        <f t="shared" si="169"/>
        <v>0</v>
      </c>
      <c r="AB273" s="61">
        <f t="shared" si="169"/>
        <v>0</v>
      </c>
      <c r="AC273" s="61">
        <f t="shared" si="169"/>
        <v>0</v>
      </c>
      <c r="AD273" s="61">
        <f t="shared" si="169"/>
        <v>0</v>
      </c>
      <c r="AE273" s="61">
        <f t="shared" si="169"/>
        <v>0</v>
      </c>
      <c r="AF273" s="61">
        <f t="shared" si="165"/>
        <v>0</v>
      </c>
      <c r="AG273" s="61">
        <f t="shared" si="167"/>
        <v>0</v>
      </c>
      <c r="AH273" s="61">
        <f t="shared" si="170"/>
        <v>0</v>
      </c>
      <c r="AI273" s="61">
        <f t="shared" si="170"/>
        <v>0</v>
      </c>
      <c r="AJ273" s="61">
        <f t="shared" si="170"/>
        <v>0</v>
      </c>
      <c r="AK273" s="61">
        <f t="shared" si="170"/>
        <v>0</v>
      </c>
      <c r="AL273" s="61">
        <f t="shared" si="170"/>
        <v>0</v>
      </c>
      <c r="AM273" s="61">
        <f t="shared" si="170"/>
        <v>0</v>
      </c>
      <c r="AN273" s="61">
        <f t="shared" si="170"/>
        <v>0</v>
      </c>
      <c r="AO273" s="61">
        <f t="shared" si="170"/>
        <v>0</v>
      </c>
      <c r="AP273" s="61">
        <f t="shared" si="170"/>
        <v>0</v>
      </c>
      <c r="AQ273" s="61"/>
    </row>
    <row r="274" spans="2:43" x14ac:dyDescent="0.25">
      <c r="B274" s="54">
        <v>0.64583333334303406</v>
      </c>
      <c r="C274" s="54">
        <v>1.00000000008004</v>
      </c>
      <c r="D274" s="60"/>
      <c r="E274" s="91"/>
      <c r="F274" s="91"/>
      <c r="G274" s="91"/>
      <c r="H274" s="92">
        <f t="shared" si="158"/>
        <v>0</v>
      </c>
      <c r="I274" s="180">
        <f>AD$255-AD$256</f>
        <v>0</v>
      </c>
      <c r="M274" s="61">
        <f t="shared" si="168"/>
        <v>0</v>
      </c>
      <c r="N274" s="61">
        <f t="shared" si="168"/>
        <v>0</v>
      </c>
      <c r="O274" s="61">
        <f t="shared" si="168"/>
        <v>0</v>
      </c>
      <c r="P274" s="61">
        <f t="shared" si="168"/>
        <v>0</v>
      </c>
      <c r="Q274" s="61">
        <f t="shared" si="168"/>
        <v>0</v>
      </c>
      <c r="R274" s="61">
        <f t="shared" si="168"/>
        <v>0</v>
      </c>
      <c r="S274" s="61">
        <f t="shared" si="168"/>
        <v>0</v>
      </c>
      <c r="T274" s="61">
        <f t="shared" si="168"/>
        <v>0</v>
      </c>
      <c r="U274" s="61">
        <f t="shared" si="168"/>
        <v>0</v>
      </c>
      <c r="V274" s="61">
        <f t="shared" si="168"/>
        <v>0</v>
      </c>
      <c r="W274" s="61">
        <f t="shared" si="169"/>
        <v>0</v>
      </c>
      <c r="X274" s="61">
        <f t="shared" si="169"/>
        <v>0</v>
      </c>
      <c r="Y274" s="61">
        <f t="shared" si="169"/>
        <v>0</v>
      </c>
      <c r="Z274" s="61">
        <f t="shared" si="169"/>
        <v>0</v>
      </c>
      <c r="AA274" s="61">
        <f t="shared" si="169"/>
        <v>0</v>
      </c>
      <c r="AB274" s="61">
        <f t="shared" si="169"/>
        <v>0</v>
      </c>
      <c r="AC274" s="61">
        <f t="shared" si="169"/>
        <v>0</v>
      </c>
      <c r="AD274" s="61">
        <f t="shared" si="169"/>
        <v>0</v>
      </c>
      <c r="AE274" s="61">
        <f t="shared" si="169"/>
        <v>0</v>
      </c>
      <c r="AF274" s="61">
        <f t="shared" si="165"/>
        <v>0</v>
      </c>
      <c r="AG274" s="61">
        <f t="shared" si="167"/>
        <v>0</v>
      </c>
      <c r="AH274" s="61">
        <f t="shared" si="170"/>
        <v>0</v>
      </c>
      <c r="AI274" s="61">
        <f t="shared" si="170"/>
        <v>0</v>
      </c>
      <c r="AJ274" s="61">
        <f t="shared" si="170"/>
        <v>0</v>
      </c>
      <c r="AK274" s="61">
        <f t="shared" si="170"/>
        <v>0</v>
      </c>
      <c r="AL274" s="61">
        <f t="shared" si="170"/>
        <v>0</v>
      </c>
      <c r="AM274" s="61">
        <f t="shared" si="170"/>
        <v>0</v>
      </c>
      <c r="AN274" s="61">
        <f t="shared" si="170"/>
        <v>0</v>
      </c>
      <c r="AO274" s="61">
        <f t="shared" si="170"/>
        <v>0</v>
      </c>
      <c r="AP274" s="61">
        <f t="shared" si="170"/>
        <v>0</v>
      </c>
      <c r="AQ274" s="61"/>
    </row>
    <row r="275" spans="2:43" x14ac:dyDescent="0.25">
      <c r="B275" s="54">
        <v>0.66666666667879304</v>
      </c>
      <c r="C275" s="54">
        <v>1.0208333334158</v>
      </c>
      <c r="D275" s="60"/>
      <c r="E275" s="91"/>
      <c r="F275" s="91"/>
      <c r="G275" s="91"/>
      <c r="H275" s="92">
        <f t="shared" si="158"/>
        <v>0</v>
      </c>
      <c r="I275" s="180">
        <f>AE$255-AE$256</f>
        <v>0</v>
      </c>
      <c r="M275" s="61">
        <f t="shared" si="168"/>
        <v>0</v>
      </c>
      <c r="N275" s="61">
        <f t="shared" si="168"/>
        <v>0</v>
      </c>
      <c r="O275" s="61">
        <f t="shared" si="168"/>
        <v>0</v>
      </c>
      <c r="P275" s="61">
        <f t="shared" si="168"/>
        <v>0</v>
      </c>
      <c r="Q275" s="61">
        <f t="shared" si="168"/>
        <v>0</v>
      </c>
      <c r="R275" s="61">
        <f t="shared" si="168"/>
        <v>0</v>
      </c>
      <c r="S275" s="61">
        <f t="shared" si="168"/>
        <v>0</v>
      </c>
      <c r="T275" s="61">
        <f t="shared" si="168"/>
        <v>0</v>
      </c>
      <c r="U275" s="61">
        <f t="shared" si="168"/>
        <v>0</v>
      </c>
      <c r="V275" s="61">
        <f t="shared" si="168"/>
        <v>0</v>
      </c>
      <c r="W275" s="61">
        <f t="shared" si="169"/>
        <v>0</v>
      </c>
      <c r="X275" s="61">
        <f t="shared" si="169"/>
        <v>0</v>
      </c>
      <c r="Y275" s="61">
        <f t="shared" si="169"/>
        <v>0</v>
      </c>
      <c r="Z275" s="61">
        <f t="shared" si="169"/>
        <v>0</v>
      </c>
      <c r="AA275" s="61">
        <f t="shared" si="169"/>
        <v>0</v>
      </c>
      <c r="AB275" s="61">
        <f t="shared" si="169"/>
        <v>0</v>
      </c>
      <c r="AC275" s="61">
        <f t="shared" si="169"/>
        <v>0</v>
      </c>
      <c r="AD275" s="61">
        <f t="shared" si="169"/>
        <v>0</v>
      </c>
      <c r="AE275" s="61">
        <f t="shared" si="169"/>
        <v>0</v>
      </c>
      <c r="AF275" s="61">
        <f t="shared" si="165"/>
        <v>0</v>
      </c>
      <c r="AG275" s="61">
        <f t="shared" si="167"/>
        <v>0</v>
      </c>
      <c r="AH275" s="61">
        <f t="shared" si="170"/>
        <v>0</v>
      </c>
      <c r="AI275" s="61">
        <f t="shared" si="170"/>
        <v>0</v>
      </c>
      <c r="AJ275" s="61">
        <f t="shared" si="170"/>
        <v>0</v>
      </c>
      <c r="AK275" s="61">
        <f t="shared" si="170"/>
        <v>0</v>
      </c>
      <c r="AL275" s="61">
        <f t="shared" si="170"/>
        <v>0</v>
      </c>
      <c r="AM275" s="61">
        <f t="shared" si="170"/>
        <v>0</v>
      </c>
      <c r="AN275" s="61">
        <f t="shared" si="170"/>
        <v>0</v>
      </c>
      <c r="AO275" s="61">
        <f t="shared" si="170"/>
        <v>0</v>
      </c>
      <c r="AP275" s="61">
        <f t="shared" si="170"/>
        <v>0</v>
      </c>
      <c r="AQ275" s="61"/>
    </row>
    <row r="276" spans="2:43" x14ac:dyDescent="0.25">
      <c r="B276" s="54">
        <v>0.68750000001455203</v>
      </c>
      <c r="C276" s="54">
        <v>1.0416666667515599</v>
      </c>
      <c r="D276" s="60"/>
      <c r="E276" s="91"/>
      <c r="F276" s="91"/>
      <c r="G276" s="91"/>
      <c r="H276" s="92">
        <f t="shared" si="158"/>
        <v>0</v>
      </c>
      <c r="I276" s="180">
        <f>AF$255-AF$256</f>
        <v>0</v>
      </c>
      <c r="M276" s="61">
        <f t="shared" si="168"/>
        <v>0</v>
      </c>
      <c r="N276" s="61">
        <f t="shared" si="168"/>
        <v>0</v>
      </c>
      <c r="O276" s="61">
        <f t="shared" si="168"/>
        <v>0</v>
      </c>
      <c r="P276" s="61">
        <f t="shared" si="168"/>
        <v>0</v>
      </c>
      <c r="Q276" s="61">
        <f t="shared" si="168"/>
        <v>0</v>
      </c>
      <c r="R276" s="61">
        <f t="shared" si="168"/>
        <v>0</v>
      </c>
      <c r="S276" s="61">
        <f t="shared" si="168"/>
        <v>0</v>
      </c>
      <c r="T276" s="61">
        <f t="shared" si="168"/>
        <v>0</v>
      </c>
      <c r="U276" s="61">
        <f t="shared" si="168"/>
        <v>0</v>
      </c>
      <c r="V276" s="61">
        <f t="shared" si="168"/>
        <v>0</v>
      </c>
      <c r="W276" s="61">
        <f t="shared" si="169"/>
        <v>0</v>
      </c>
      <c r="X276" s="61">
        <f t="shared" si="169"/>
        <v>0</v>
      </c>
      <c r="Y276" s="61">
        <f t="shared" si="169"/>
        <v>0</v>
      </c>
      <c r="Z276" s="61">
        <f t="shared" si="169"/>
        <v>0</v>
      </c>
      <c r="AA276" s="61">
        <f t="shared" si="169"/>
        <v>0</v>
      </c>
      <c r="AB276" s="61">
        <f t="shared" si="169"/>
        <v>0</v>
      </c>
      <c r="AC276" s="61">
        <f t="shared" si="169"/>
        <v>0</v>
      </c>
      <c r="AD276" s="61">
        <f t="shared" si="169"/>
        <v>0</v>
      </c>
      <c r="AE276" s="61">
        <f t="shared" si="169"/>
        <v>0</v>
      </c>
      <c r="AF276" s="61">
        <f t="shared" si="165"/>
        <v>0</v>
      </c>
      <c r="AG276" s="61">
        <f t="shared" si="167"/>
        <v>0</v>
      </c>
      <c r="AH276" s="61">
        <f t="shared" si="170"/>
        <v>0</v>
      </c>
      <c r="AI276" s="61">
        <f t="shared" si="170"/>
        <v>0</v>
      </c>
      <c r="AJ276" s="61">
        <f t="shared" si="170"/>
        <v>0</v>
      </c>
      <c r="AK276" s="61">
        <f t="shared" si="170"/>
        <v>0</v>
      </c>
      <c r="AL276" s="61">
        <f t="shared" si="170"/>
        <v>0</v>
      </c>
      <c r="AM276" s="61">
        <f t="shared" si="170"/>
        <v>0</v>
      </c>
      <c r="AN276" s="61">
        <f t="shared" si="170"/>
        <v>0</v>
      </c>
      <c r="AO276" s="61">
        <f t="shared" si="170"/>
        <v>0</v>
      </c>
      <c r="AP276" s="61">
        <f t="shared" si="170"/>
        <v>0</v>
      </c>
      <c r="AQ276" s="61"/>
    </row>
    <row r="277" spans="2:43" x14ac:dyDescent="0.25">
      <c r="B277" s="54">
        <v>0.70833333335031001</v>
      </c>
      <c r="C277" s="54">
        <v>1.0625000000873199</v>
      </c>
      <c r="D277" s="60"/>
      <c r="E277" s="91"/>
      <c r="F277" s="91"/>
      <c r="G277" s="91"/>
      <c r="H277" s="92">
        <f t="shared" si="158"/>
        <v>0</v>
      </c>
      <c r="I277" s="180">
        <f>AG$255-AG$256</f>
        <v>0</v>
      </c>
      <c r="M277" s="61">
        <f t="shared" si="168"/>
        <v>0</v>
      </c>
      <c r="N277" s="61">
        <f t="shared" si="168"/>
        <v>0</v>
      </c>
      <c r="O277" s="61">
        <f t="shared" si="168"/>
        <v>0</v>
      </c>
      <c r="P277" s="61">
        <f t="shared" si="168"/>
        <v>0</v>
      </c>
      <c r="Q277" s="61">
        <f t="shared" si="168"/>
        <v>0</v>
      </c>
      <c r="R277" s="61">
        <f t="shared" si="168"/>
        <v>0</v>
      </c>
      <c r="S277" s="61">
        <f t="shared" si="168"/>
        <v>0</v>
      </c>
      <c r="T277" s="61">
        <f t="shared" si="168"/>
        <v>0</v>
      </c>
      <c r="U277" s="61">
        <f t="shared" si="168"/>
        <v>0</v>
      </c>
      <c r="V277" s="61">
        <f t="shared" si="168"/>
        <v>0</v>
      </c>
      <c r="W277" s="61">
        <f t="shared" si="169"/>
        <v>0</v>
      </c>
      <c r="X277" s="61">
        <f t="shared" si="169"/>
        <v>0</v>
      </c>
      <c r="Y277" s="61">
        <f t="shared" si="169"/>
        <v>0</v>
      </c>
      <c r="Z277" s="61">
        <f t="shared" si="169"/>
        <v>0</v>
      </c>
      <c r="AA277" s="61">
        <f t="shared" si="169"/>
        <v>0</v>
      </c>
      <c r="AB277" s="61">
        <f t="shared" si="169"/>
        <v>0</v>
      </c>
      <c r="AC277" s="61">
        <f t="shared" si="169"/>
        <v>0</v>
      </c>
      <c r="AD277" s="61">
        <f t="shared" si="169"/>
        <v>0</v>
      </c>
      <c r="AE277" s="61">
        <f t="shared" si="169"/>
        <v>0</v>
      </c>
      <c r="AF277" s="61">
        <f t="shared" si="165"/>
        <v>0</v>
      </c>
      <c r="AG277" s="61">
        <f t="shared" si="167"/>
        <v>0</v>
      </c>
      <c r="AH277" s="61">
        <f t="shared" si="170"/>
        <v>0</v>
      </c>
      <c r="AI277" s="61">
        <f t="shared" si="170"/>
        <v>0</v>
      </c>
      <c r="AJ277" s="61">
        <f t="shared" si="170"/>
        <v>0</v>
      </c>
      <c r="AK277" s="61">
        <f t="shared" si="170"/>
        <v>0</v>
      </c>
      <c r="AL277" s="61">
        <f t="shared" si="170"/>
        <v>0</v>
      </c>
      <c r="AM277" s="61">
        <f t="shared" si="170"/>
        <v>0</v>
      </c>
      <c r="AN277" s="61">
        <f t="shared" si="170"/>
        <v>0</v>
      </c>
      <c r="AO277" s="61">
        <f t="shared" si="170"/>
        <v>0</v>
      </c>
      <c r="AP277" s="61">
        <f t="shared" si="170"/>
        <v>0</v>
      </c>
      <c r="AQ277" s="61"/>
    </row>
    <row r="278" spans="2:43" x14ac:dyDescent="0.25">
      <c r="B278" s="54">
        <v>0.729166666686069</v>
      </c>
      <c r="C278" s="54">
        <v>1.0833333334230799</v>
      </c>
      <c r="D278" s="60"/>
      <c r="E278" s="91"/>
      <c r="F278" s="91"/>
      <c r="G278" s="91"/>
      <c r="H278" s="92">
        <f t="shared" si="158"/>
        <v>0</v>
      </c>
      <c r="I278" s="180">
        <f>AH$255-AH$256</f>
        <v>0</v>
      </c>
      <c r="M278" s="61">
        <f t="shared" si="168"/>
        <v>0</v>
      </c>
      <c r="N278" s="61">
        <f t="shared" si="168"/>
        <v>0</v>
      </c>
      <c r="O278" s="61">
        <f t="shared" si="168"/>
        <v>0</v>
      </c>
      <c r="P278" s="61">
        <f t="shared" si="168"/>
        <v>0</v>
      </c>
      <c r="Q278" s="61">
        <f t="shared" si="168"/>
        <v>0</v>
      </c>
      <c r="R278" s="61">
        <f t="shared" si="168"/>
        <v>0</v>
      </c>
      <c r="S278" s="61">
        <f t="shared" si="168"/>
        <v>0</v>
      </c>
      <c r="T278" s="61">
        <f t="shared" si="168"/>
        <v>0</v>
      </c>
      <c r="U278" s="61">
        <f t="shared" si="168"/>
        <v>0</v>
      </c>
      <c r="V278" s="61">
        <f t="shared" si="168"/>
        <v>0</v>
      </c>
      <c r="W278" s="61">
        <f t="shared" si="169"/>
        <v>0</v>
      </c>
      <c r="X278" s="61">
        <f t="shared" si="169"/>
        <v>0</v>
      </c>
      <c r="Y278" s="61">
        <f t="shared" si="169"/>
        <v>0</v>
      </c>
      <c r="Z278" s="61">
        <f t="shared" si="169"/>
        <v>0</v>
      </c>
      <c r="AA278" s="61">
        <f t="shared" si="169"/>
        <v>0</v>
      </c>
      <c r="AB278" s="61">
        <f t="shared" si="169"/>
        <v>0</v>
      </c>
      <c r="AC278" s="61">
        <f t="shared" si="169"/>
        <v>0</v>
      </c>
      <c r="AD278" s="61">
        <f t="shared" si="169"/>
        <v>0</v>
      </c>
      <c r="AE278" s="61">
        <f t="shared" si="169"/>
        <v>0</v>
      </c>
      <c r="AF278" s="61">
        <f t="shared" si="165"/>
        <v>0</v>
      </c>
      <c r="AG278" s="61">
        <f t="shared" si="167"/>
        <v>0</v>
      </c>
      <c r="AH278" s="61">
        <f t="shared" si="170"/>
        <v>0</v>
      </c>
      <c r="AI278" s="61">
        <f t="shared" si="170"/>
        <v>0</v>
      </c>
      <c r="AJ278" s="61">
        <f t="shared" si="170"/>
        <v>0</v>
      </c>
      <c r="AK278" s="61">
        <f t="shared" si="170"/>
        <v>0</v>
      </c>
      <c r="AL278" s="61">
        <f t="shared" si="170"/>
        <v>0</v>
      </c>
      <c r="AM278" s="61">
        <f t="shared" si="170"/>
        <v>0</v>
      </c>
      <c r="AN278" s="61">
        <f t="shared" si="170"/>
        <v>0</v>
      </c>
      <c r="AO278" s="61">
        <f t="shared" si="170"/>
        <v>0</v>
      </c>
      <c r="AP278" s="61">
        <f t="shared" si="170"/>
        <v>0</v>
      </c>
      <c r="AQ278" s="61"/>
    </row>
    <row r="279" spans="2:43" x14ac:dyDescent="0.25">
      <c r="B279" s="54">
        <v>0.75000000002182798</v>
      </c>
      <c r="C279" s="54">
        <v>1.1041666667588399</v>
      </c>
      <c r="D279" s="60"/>
      <c r="E279" s="91"/>
      <c r="F279" s="91"/>
      <c r="G279" s="91"/>
      <c r="H279" s="92">
        <f t="shared" si="158"/>
        <v>0</v>
      </c>
      <c r="I279" s="180">
        <f>AI$255-AI$256</f>
        <v>0</v>
      </c>
      <c r="M279" s="61">
        <f t="shared" ref="M279:V286" si="171">IF(AND(M$2&gt;=$B279,M$2&lt;$C279),$E279,0)</f>
        <v>0</v>
      </c>
      <c r="N279" s="61">
        <f t="shared" si="171"/>
        <v>0</v>
      </c>
      <c r="O279" s="61">
        <f t="shared" si="171"/>
        <v>0</v>
      </c>
      <c r="P279" s="61">
        <f t="shared" si="171"/>
        <v>0</v>
      </c>
      <c r="Q279" s="61">
        <f t="shared" si="171"/>
        <v>0</v>
      </c>
      <c r="R279" s="61">
        <f t="shared" si="171"/>
        <v>0</v>
      </c>
      <c r="S279" s="61">
        <f t="shared" si="171"/>
        <v>0</v>
      </c>
      <c r="T279" s="61">
        <f t="shared" si="171"/>
        <v>0</v>
      </c>
      <c r="U279" s="61">
        <f t="shared" si="171"/>
        <v>0</v>
      </c>
      <c r="V279" s="61">
        <f t="shared" si="171"/>
        <v>0</v>
      </c>
      <c r="W279" s="61">
        <f t="shared" ref="W279:AE286" si="172">IF(AND(W$2&gt;=$B279,W$2&lt;$C279),$E279,0)</f>
        <v>0</v>
      </c>
      <c r="X279" s="61">
        <f t="shared" si="172"/>
        <v>0</v>
      </c>
      <c r="Y279" s="61">
        <f t="shared" si="172"/>
        <v>0</v>
      </c>
      <c r="Z279" s="61">
        <f t="shared" si="172"/>
        <v>0</v>
      </c>
      <c r="AA279" s="61">
        <f t="shared" si="172"/>
        <v>0</v>
      </c>
      <c r="AB279" s="61">
        <f t="shared" si="172"/>
        <v>0</v>
      </c>
      <c r="AC279" s="61">
        <f t="shared" si="172"/>
        <v>0</v>
      </c>
      <c r="AD279" s="61">
        <f t="shared" si="172"/>
        <v>0</v>
      </c>
      <c r="AE279" s="61">
        <f t="shared" si="172"/>
        <v>0</v>
      </c>
      <c r="AF279" s="61">
        <f t="shared" si="165"/>
        <v>0</v>
      </c>
      <c r="AG279" s="61">
        <f t="shared" si="167"/>
        <v>0</v>
      </c>
      <c r="AH279" s="61">
        <f t="shared" si="170"/>
        <v>0</v>
      </c>
      <c r="AI279" s="61">
        <f t="shared" si="170"/>
        <v>0</v>
      </c>
      <c r="AJ279" s="61">
        <f t="shared" si="170"/>
        <v>0</v>
      </c>
      <c r="AK279" s="61">
        <f t="shared" si="170"/>
        <v>0</v>
      </c>
      <c r="AL279" s="61">
        <f t="shared" si="170"/>
        <v>0</v>
      </c>
      <c r="AM279" s="61">
        <f t="shared" si="170"/>
        <v>0</v>
      </c>
      <c r="AN279" s="61">
        <f t="shared" si="170"/>
        <v>0</v>
      </c>
      <c r="AO279" s="61">
        <f t="shared" si="170"/>
        <v>0</v>
      </c>
      <c r="AP279" s="61">
        <f t="shared" si="170"/>
        <v>0</v>
      </c>
      <c r="AQ279" s="61"/>
    </row>
    <row r="280" spans="2:43" x14ac:dyDescent="0.25">
      <c r="B280" s="54">
        <v>0.77083333335758597</v>
      </c>
      <c r="C280" s="54">
        <v>1.1250000000945899</v>
      </c>
      <c r="D280" s="60"/>
      <c r="E280" s="91"/>
      <c r="F280" s="91"/>
      <c r="G280" s="91"/>
      <c r="H280" s="92">
        <f t="shared" si="158"/>
        <v>0</v>
      </c>
      <c r="I280" s="180">
        <f>AJ$255-AJ$256</f>
        <v>0</v>
      </c>
      <c r="M280" s="61">
        <f t="shared" si="171"/>
        <v>0</v>
      </c>
      <c r="N280" s="61">
        <f t="shared" si="171"/>
        <v>0</v>
      </c>
      <c r="O280" s="61">
        <f t="shared" si="171"/>
        <v>0</v>
      </c>
      <c r="P280" s="61">
        <f t="shared" si="171"/>
        <v>0</v>
      </c>
      <c r="Q280" s="61">
        <f t="shared" si="171"/>
        <v>0</v>
      </c>
      <c r="R280" s="61">
        <f t="shared" si="171"/>
        <v>0</v>
      </c>
      <c r="S280" s="61">
        <f t="shared" si="171"/>
        <v>0</v>
      </c>
      <c r="T280" s="61">
        <f t="shared" si="171"/>
        <v>0</v>
      </c>
      <c r="U280" s="61">
        <f t="shared" si="171"/>
        <v>0</v>
      </c>
      <c r="V280" s="61">
        <f t="shared" si="171"/>
        <v>0</v>
      </c>
      <c r="W280" s="61">
        <f t="shared" si="172"/>
        <v>0</v>
      </c>
      <c r="X280" s="61">
        <f t="shared" si="172"/>
        <v>0</v>
      </c>
      <c r="Y280" s="61">
        <f t="shared" si="172"/>
        <v>0</v>
      </c>
      <c r="Z280" s="61">
        <f t="shared" si="172"/>
        <v>0</v>
      </c>
      <c r="AA280" s="61">
        <f t="shared" si="172"/>
        <v>0</v>
      </c>
      <c r="AB280" s="61">
        <f t="shared" si="172"/>
        <v>0</v>
      </c>
      <c r="AC280" s="61">
        <f t="shared" si="172"/>
        <v>0</v>
      </c>
      <c r="AD280" s="61">
        <f t="shared" si="172"/>
        <v>0</v>
      </c>
      <c r="AE280" s="61">
        <f t="shared" si="172"/>
        <v>0</v>
      </c>
      <c r="AF280" s="61">
        <f t="shared" si="165"/>
        <v>0</v>
      </c>
      <c r="AG280" s="61">
        <f t="shared" si="167"/>
        <v>0</v>
      </c>
      <c r="AH280" s="61">
        <f t="shared" ref="AH280:AP286" si="173">IF(AND(AH$2&gt;=$B280,AH$2&lt;$C280),$E280,0)</f>
        <v>0</v>
      </c>
      <c r="AI280" s="61">
        <f t="shared" si="173"/>
        <v>0</v>
      </c>
      <c r="AJ280" s="61">
        <f t="shared" si="173"/>
        <v>0</v>
      </c>
      <c r="AK280" s="61">
        <f t="shared" si="173"/>
        <v>0</v>
      </c>
      <c r="AL280" s="61">
        <f t="shared" si="173"/>
        <v>0</v>
      </c>
      <c r="AM280" s="61">
        <f t="shared" si="173"/>
        <v>0</v>
      </c>
      <c r="AN280" s="61">
        <f t="shared" si="173"/>
        <v>0</v>
      </c>
      <c r="AO280" s="61">
        <f t="shared" si="173"/>
        <v>0</v>
      </c>
      <c r="AP280" s="61">
        <f t="shared" si="173"/>
        <v>0</v>
      </c>
      <c r="AQ280" s="61"/>
    </row>
    <row r="281" spans="2:43" x14ac:dyDescent="0.25">
      <c r="B281" s="54">
        <v>0.79166666669334496</v>
      </c>
      <c r="C281" s="54">
        <v>1.1458333334303501</v>
      </c>
      <c r="D281" s="60"/>
      <c r="E281" s="91"/>
      <c r="F281" s="91"/>
      <c r="G281" s="91"/>
      <c r="H281" s="92">
        <f t="shared" si="158"/>
        <v>0</v>
      </c>
      <c r="I281" s="180">
        <f>AK$255-AK$256</f>
        <v>0</v>
      </c>
      <c r="M281" s="61">
        <f t="shared" si="171"/>
        <v>0</v>
      </c>
      <c r="N281" s="61">
        <f t="shared" si="171"/>
        <v>0</v>
      </c>
      <c r="O281" s="61">
        <f t="shared" si="171"/>
        <v>0</v>
      </c>
      <c r="P281" s="61">
        <f t="shared" si="171"/>
        <v>0</v>
      </c>
      <c r="Q281" s="61">
        <f t="shared" si="171"/>
        <v>0</v>
      </c>
      <c r="R281" s="61">
        <f t="shared" si="171"/>
        <v>0</v>
      </c>
      <c r="S281" s="61">
        <f t="shared" si="171"/>
        <v>0</v>
      </c>
      <c r="T281" s="61">
        <f t="shared" si="171"/>
        <v>0</v>
      </c>
      <c r="U281" s="61">
        <f t="shared" si="171"/>
        <v>0</v>
      </c>
      <c r="V281" s="61">
        <f t="shared" si="171"/>
        <v>0</v>
      </c>
      <c r="W281" s="61">
        <f t="shared" si="172"/>
        <v>0</v>
      </c>
      <c r="X281" s="61">
        <f t="shared" si="172"/>
        <v>0</v>
      </c>
      <c r="Y281" s="61">
        <f t="shared" si="172"/>
        <v>0</v>
      </c>
      <c r="Z281" s="61">
        <f t="shared" si="172"/>
        <v>0</v>
      </c>
      <c r="AA281" s="61">
        <f t="shared" si="172"/>
        <v>0</v>
      </c>
      <c r="AB281" s="61">
        <f t="shared" si="172"/>
        <v>0</v>
      </c>
      <c r="AC281" s="61">
        <f t="shared" si="172"/>
        <v>0</v>
      </c>
      <c r="AD281" s="61">
        <f t="shared" si="172"/>
        <v>0</v>
      </c>
      <c r="AE281" s="61">
        <f t="shared" si="172"/>
        <v>0</v>
      </c>
      <c r="AF281" s="61">
        <f t="shared" si="165"/>
        <v>0</v>
      </c>
      <c r="AG281" s="61">
        <f t="shared" si="167"/>
        <v>0</v>
      </c>
      <c r="AH281" s="61">
        <f t="shared" si="173"/>
        <v>0</v>
      </c>
      <c r="AI281" s="61">
        <f t="shared" si="173"/>
        <v>0</v>
      </c>
      <c r="AJ281" s="61">
        <f t="shared" si="173"/>
        <v>0</v>
      </c>
      <c r="AK281" s="61">
        <f t="shared" si="173"/>
        <v>0</v>
      </c>
      <c r="AL281" s="61">
        <f t="shared" si="173"/>
        <v>0</v>
      </c>
      <c r="AM281" s="61">
        <f t="shared" si="173"/>
        <v>0</v>
      </c>
      <c r="AN281" s="61">
        <f t="shared" si="173"/>
        <v>0</v>
      </c>
      <c r="AO281" s="61">
        <f t="shared" si="173"/>
        <v>0</v>
      </c>
      <c r="AP281" s="61">
        <f t="shared" si="173"/>
        <v>0</v>
      </c>
      <c r="AQ281" s="61"/>
    </row>
    <row r="282" spans="2:43" x14ac:dyDescent="0.25">
      <c r="B282" s="54">
        <v>0.81250000002910305</v>
      </c>
      <c r="C282" s="54">
        <v>1.1666666667661101</v>
      </c>
      <c r="D282" s="60"/>
      <c r="E282" s="91"/>
      <c r="F282" s="91"/>
      <c r="G282" s="91"/>
      <c r="H282" s="92">
        <f t="shared" si="158"/>
        <v>0</v>
      </c>
      <c r="I282" s="180">
        <f>AL$255-AL$256</f>
        <v>0</v>
      </c>
      <c r="M282" s="61">
        <f t="shared" si="171"/>
        <v>0</v>
      </c>
      <c r="N282" s="61">
        <f t="shared" si="171"/>
        <v>0</v>
      </c>
      <c r="O282" s="61">
        <f t="shared" si="171"/>
        <v>0</v>
      </c>
      <c r="P282" s="61">
        <f t="shared" si="171"/>
        <v>0</v>
      </c>
      <c r="Q282" s="61">
        <f t="shared" si="171"/>
        <v>0</v>
      </c>
      <c r="R282" s="61">
        <f t="shared" si="171"/>
        <v>0</v>
      </c>
      <c r="S282" s="61">
        <f t="shared" si="171"/>
        <v>0</v>
      </c>
      <c r="T282" s="61">
        <f t="shared" si="171"/>
        <v>0</v>
      </c>
      <c r="U282" s="61">
        <f t="shared" si="171"/>
        <v>0</v>
      </c>
      <c r="V282" s="61">
        <f t="shared" si="171"/>
        <v>0</v>
      </c>
      <c r="W282" s="61">
        <f t="shared" si="172"/>
        <v>0</v>
      </c>
      <c r="X282" s="61">
        <f t="shared" si="172"/>
        <v>0</v>
      </c>
      <c r="Y282" s="61">
        <f t="shared" si="172"/>
        <v>0</v>
      </c>
      <c r="Z282" s="61">
        <f t="shared" si="172"/>
        <v>0</v>
      </c>
      <c r="AA282" s="61">
        <f t="shared" si="172"/>
        <v>0</v>
      </c>
      <c r="AB282" s="61">
        <f t="shared" si="172"/>
        <v>0</v>
      </c>
      <c r="AC282" s="61">
        <f t="shared" si="172"/>
        <v>0</v>
      </c>
      <c r="AD282" s="61">
        <f t="shared" si="172"/>
        <v>0</v>
      </c>
      <c r="AE282" s="61">
        <f t="shared" si="172"/>
        <v>0</v>
      </c>
      <c r="AF282" s="61">
        <f t="shared" si="165"/>
        <v>0</v>
      </c>
      <c r="AG282" s="61">
        <f t="shared" si="167"/>
        <v>0</v>
      </c>
      <c r="AH282" s="61">
        <f t="shared" si="173"/>
        <v>0</v>
      </c>
      <c r="AI282" s="61">
        <f t="shared" si="173"/>
        <v>0</v>
      </c>
      <c r="AJ282" s="61">
        <f t="shared" si="173"/>
        <v>0</v>
      </c>
      <c r="AK282" s="61">
        <f t="shared" si="173"/>
        <v>0</v>
      </c>
      <c r="AL282" s="61">
        <f t="shared" si="173"/>
        <v>0</v>
      </c>
      <c r="AM282" s="61">
        <f t="shared" si="173"/>
        <v>0</v>
      </c>
      <c r="AN282" s="61">
        <f t="shared" si="173"/>
        <v>0</v>
      </c>
      <c r="AO282" s="61">
        <f t="shared" si="173"/>
        <v>0</v>
      </c>
      <c r="AP282" s="61">
        <f t="shared" si="173"/>
        <v>0</v>
      </c>
      <c r="AQ282" s="61"/>
    </row>
    <row r="283" spans="2:43" x14ac:dyDescent="0.25">
      <c r="B283" s="54">
        <v>0.83333333336486204</v>
      </c>
      <c r="C283" s="54">
        <v>1.1875000001018701</v>
      </c>
      <c r="D283" s="60"/>
      <c r="E283" s="91"/>
      <c r="F283" s="91"/>
      <c r="G283" s="91"/>
      <c r="H283" s="92">
        <f t="shared" si="158"/>
        <v>0</v>
      </c>
      <c r="I283" s="180">
        <f>AM$255-AM$256</f>
        <v>0</v>
      </c>
      <c r="M283" s="61">
        <f t="shared" si="171"/>
        <v>0</v>
      </c>
      <c r="N283" s="61">
        <f t="shared" si="171"/>
        <v>0</v>
      </c>
      <c r="O283" s="61">
        <f t="shared" si="171"/>
        <v>0</v>
      </c>
      <c r="P283" s="61">
        <f t="shared" si="171"/>
        <v>0</v>
      </c>
      <c r="Q283" s="61">
        <f t="shared" si="171"/>
        <v>0</v>
      </c>
      <c r="R283" s="61">
        <f t="shared" si="171"/>
        <v>0</v>
      </c>
      <c r="S283" s="61">
        <f t="shared" si="171"/>
        <v>0</v>
      </c>
      <c r="T283" s="61">
        <f t="shared" si="171"/>
        <v>0</v>
      </c>
      <c r="U283" s="61">
        <f t="shared" si="171"/>
        <v>0</v>
      </c>
      <c r="V283" s="61">
        <f t="shared" si="171"/>
        <v>0</v>
      </c>
      <c r="W283" s="61">
        <f t="shared" si="172"/>
        <v>0</v>
      </c>
      <c r="X283" s="61">
        <f t="shared" si="172"/>
        <v>0</v>
      </c>
      <c r="Y283" s="61">
        <f t="shared" si="172"/>
        <v>0</v>
      </c>
      <c r="Z283" s="61">
        <f t="shared" si="172"/>
        <v>0</v>
      </c>
      <c r="AA283" s="61">
        <f t="shared" si="172"/>
        <v>0</v>
      </c>
      <c r="AB283" s="61">
        <f t="shared" si="172"/>
        <v>0</v>
      </c>
      <c r="AC283" s="61">
        <f t="shared" si="172"/>
        <v>0</v>
      </c>
      <c r="AD283" s="61">
        <f t="shared" si="172"/>
        <v>0</v>
      </c>
      <c r="AE283" s="61">
        <f t="shared" si="172"/>
        <v>0</v>
      </c>
      <c r="AF283" s="61">
        <f t="shared" si="165"/>
        <v>0</v>
      </c>
      <c r="AG283" s="61">
        <f t="shared" si="167"/>
        <v>0</v>
      </c>
      <c r="AH283" s="61">
        <f t="shared" si="173"/>
        <v>0</v>
      </c>
      <c r="AI283" s="61">
        <f t="shared" si="173"/>
        <v>0</v>
      </c>
      <c r="AJ283" s="61">
        <f t="shared" si="173"/>
        <v>0</v>
      </c>
      <c r="AK283" s="61">
        <f t="shared" si="173"/>
        <v>0</v>
      </c>
      <c r="AL283" s="61">
        <f t="shared" si="173"/>
        <v>0</v>
      </c>
      <c r="AM283" s="61">
        <f t="shared" si="173"/>
        <v>0</v>
      </c>
      <c r="AN283" s="61">
        <f t="shared" si="173"/>
        <v>0</v>
      </c>
      <c r="AO283" s="61">
        <f t="shared" si="173"/>
        <v>0</v>
      </c>
      <c r="AP283" s="61">
        <f t="shared" si="173"/>
        <v>0</v>
      </c>
      <c r="AQ283" s="61"/>
    </row>
    <row r="284" spans="2:43" x14ac:dyDescent="0.25">
      <c r="B284" s="54">
        <v>0.85416666670062102</v>
      </c>
      <c r="C284" s="54">
        <v>1.2083333334376301</v>
      </c>
      <c r="D284" s="60"/>
      <c r="E284" s="91"/>
      <c r="F284" s="91"/>
      <c r="G284" s="91"/>
      <c r="H284" s="92">
        <f t="shared" si="158"/>
        <v>0</v>
      </c>
      <c r="I284" s="180">
        <f>AN$255-AN$256</f>
        <v>0</v>
      </c>
      <c r="M284" s="61">
        <f t="shared" si="171"/>
        <v>0</v>
      </c>
      <c r="N284" s="61">
        <f t="shared" si="171"/>
        <v>0</v>
      </c>
      <c r="O284" s="61">
        <f t="shared" si="171"/>
        <v>0</v>
      </c>
      <c r="P284" s="61">
        <f t="shared" si="171"/>
        <v>0</v>
      </c>
      <c r="Q284" s="61">
        <f t="shared" si="171"/>
        <v>0</v>
      </c>
      <c r="R284" s="61">
        <f t="shared" si="171"/>
        <v>0</v>
      </c>
      <c r="S284" s="61">
        <f t="shared" si="171"/>
        <v>0</v>
      </c>
      <c r="T284" s="61">
        <f t="shared" si="171"/>
        <v>0</v>
      </c>
      <c r="U284" s="61">
        <f t="shared" si="171"/>
        <v>0</v>
      </c>
      <c r="V284" s="61">
        <f t="shared" si="171"/>
        <v>0</v>
      </c>
      <c r="W284" s="61">
        <f t="shared" si="172"/>
        <v>0</v>
      </c>
      <c r="X284" s="61">
        <f t="shared" si="172"/>
        <v>0</v>
      </c>
      <c r="Y284" s="61">
        <f t="shared" si="172"/>
        <v>0</v>
      </c>
      <c r="Z284" s="61">
        <f t="shared" si="172"/>
        <v>0</v>
      </c>
      <c r="AA284" s="61">
        <f t="shared" si="172"/>
        <v>0</v>
      </c>
      <c r="AB284" s="61">
        <f t="shared" si="172"/>
        <v>0</v>
      </c>
      <c r="AC284" s="61">
        <f t="shared" si="172"/>
        <v>0</v>
      </c>
      <c r="AD284" s="61">
        <f t="shared" si="172"/>
        <v>0</v>
      </c>
      <c r="AE284" s="61">
        <f t="shared" si="172"/>
        <v>0</v>
      </c>
      <c r="AF284" s="61">
        <f t="shared" si="165"/>
        <v>0</v>
      </c>
      <c r="AG284" s="61">
        <f t="shared" si="167"/>
        <v>0</v>
      </c>
      <c r="AH284" s="61">
        <f t="shared" si="173"/>
        <v>0</v>
      </c>
      <c r="AI284" s="61">
        <f t="shared" si="173"/>
        <v>0</v>
      </c>
      <c r="AJ284" s="61">
        <f t="shared" si="173"/>
        <v>0</v>
      </c>
      <c r="AK284" s="61">
        <f t="shared" si="173"/>
        <v>0</v>
      </c>
      <c r="AL284" s="61">
        <f t="shared" si="173"/>
        <v>0</v>
      </c>
      <c r="AM284" s="61">
        <f t="shared" si="173"/>
        <v>0</v>
      </c>
      <c r="AN284" s="61">
        <f t="shared" si="173"/>
        <v>0</v>
      </c>
      <c r="AO284" s="61">
        <f t="shared" si="173"/>
        <v>0</v>
      </c>
      <c r="AP284" s="61">
        <f t="shared" si="173"/>
        <v>0</v>
      </c>
      <c r="AQ284" s="61"/>
    </row>
    <row r="285" spans="2:43" x14ac:dyDescent="0.25">
      <c r="B285" s="54">
        <v>0.87500000003637901</v>
      </c>
      <c r="C285" s="54">
        <v>1.22916666677339</v>
      </c>
      <c r="D285" s="60"/>
      <c r="E285" s="91"/>
      <c r="F285" s="91"/>
      <c r="G285" s="91"/>
      <c r="H285" s="92">
        <f t="shared" si="158"/>
        <v>0</v>
      </c>
      <c r="I285" s="180">
        <f>AO$255-AO$256</f>
        <v>0</v>
      </c>
      <c r="M285" s="61">
        <f t="shared" si="171"/>
        <v>0</v>
      </c>
      <c r="N285" s="61">
        <f t="shared" si="171"/>
        <v>0</v>
      </c>
      <c r="O285" s="61">
        <f t="shared" si="171"/>
        <v>0</v>
      </c>
      <c r="P285" s="61">
        <f t="shared" si="171"/>
        <v>0</v>
      </c>
      <c r="Q285" s="61">
        <f t="shared" si="171"/>
        <v>0</v>
      </c>
      <c r="R285" s="61">
        <f t="shared" si="171"/>
        <v>0</v>
      </c>
      <c r="S285" s="61">
        <f t="shared" si="171"/>
        <v>0</v>
      </c>
      <c r="T285" s="61">
        <f t="shared" si="171"/>
        <v>0</v>
      </c>
      <c r="U285" s="61">
        <f t="shared" si="171"/>
        <v>0</v>
      </c>
      <c r="V285" s="61">
        <f t="shared" si="171"/>
        <v>0</v>
      </c>
      <c r="W285" s="61">
        <f t="shared" si="172"/>
        <v>0</v>
      </c>
      <c r="X285" s="61">
        <f t="shared" si="172"/>
        <v>0</v>
      </c>
      <c r="Y285" s="61">
        <f t="shared" si="172"/>
        <v>0</v>
      </c>
      <c r="Z285" s="61">
        <f t="shared" si="172"/>
        <v>0</v>
      </c>
      <c r="AA285" s="61">
        <f t="shared" si="172"/>
        <v>0</v>
      </c>
      <c r="AB285" s="61">
        <f t="shared" si="172"/>
        <v>0</v>
      </c>
      <c r="AC285" s="61">
        <f t="shared" si="172"/>
        <v>0</v>
      </c>
      <c r="AD285" s="61">
        <f t="shared" si="172"/>
        <v>0</v>
      </c>
      <c r="AE285" s="61">
        <f t="shared" si="172"/>
        <v>0</v>
      </c>
      <c r="AF285" s="61">
        <f t="shared" si="165"/>
        <v>0</v>
      </c>
      <c r="AG285" s="61">
        <f t="shared" si="167"/>
        <v>0</v>
      </c>
      <c r="AH285" s="61">
        <f t="shared" si="173"/>
        <v>0</v>
      </c>
      <c r="AI285" s="61">
        <f t="shared" si="173"/>
        <v>0</v>
      </c>
      <c r="AJ285" s="61">
        <f t="shared" si="173"/>
        <v>0</v>
      </c>
      <c r="AK285" s="61">
        <f t="shared" si="173"/>
        <v>0</v>
      </c>
      <c r="AL285" s="61">
        <f t="shared" si="173"/>
        <v>0</v>
      </c>
      <c r="AM285" s="61">
        <f t="shared" si="173"/>
        <v>0</v>
      </c>
      <c r="AN285" s="61">
        <f t="shared" si="173"/>
        <v>0</v>
      </c>
      <c r="AO285" s="61">
        <f t="shared" si="173"/>
        <v>0</v>
      </c>
      <c r="AP285" s="61">
        <f t="shared" si="173"/>
        <v>0</v>
      </c>
      <c r="AQ285" s="61"/>
    </row>
    <row r="286" spans="2:43" x14ac:dyDescent="0.25">
      <c r="B286" s="54">
        <v>0.895833333372138</v>
      </c>
      <c r="C286" s="54">
        <v>1.25000000010915</v>
      </c>
      <c r="D286" s="60"/>
      <c r="E286" s="91"/>
      <c r="F286" s="91"/>
      <c r="G286" s="91"/>
      <c r="H286" s="92">
        <f t="shared" si="158"/>
        <v>0</v>
      </c>
      <c r="I286" s="180">
        <f>AP$255-AP$256</f>
        <v>0</v>
      </c>
      <c r="M286" s="61">
        <f t="shared" si="171"/>
        <v>0</v>
      </c>
      <c r="N286" s="61">
        <f t="shared" si="171"/>
        <v>0</v>
      </c>
      <c r="O286" s="61">
        <f t="shared" si="171"/>
        <v>0</v>
      </c>
      <c r="P286" s="61">
        <f t="shared" si="171"/>
        <v>0</v>
      </c>
      <c r="Q286" s="61">
        <f t="shared" si="171"/>
        <v>0</v>
      </c>
      <c r="R286" s="61">
        <f t="shared" si="171"/>
        <v>0</v>
      </c>
      <c r="S286" s="61">
        <f t="shared" si="171"/>
        <v>0</v>
      </c>
      <c r="T286" s="61">
        <f t="shared" si="171"/>
        <v>0</v>
      </c>
      <c r="U286" s="61">
        <f t="shared" si="171"/>
        <v>0</v>
      </c>
      <c r="V286" s="61">
        <f t="shared" si="171"/>
        <v>0</v>
      </c>
      <c r="W286" s="61">
        <f t="shared" si="172"/>
        <v>0</v>
      </c>
      <c r="X286" s="61">
        <f t="shared" si="172"/>
        <v>0</v>
      </c>
      <c r="Y286" s="61">
        <f t="shared" si="172"/>
        <v>0</v>
      </c>
      <c r="Z286" s="61">
        <f t="shared" si="172"/>
        <v>0</v>
      </c>
      <c r="AA286" s="61">
        <f t="shared" si="172"/>
        <v>0</v>
      </c>
      <c r="AB286" s="61">
        <f t="shared" si="172"/>
        <v>0</v>
      </c>
      <c r="AC286" s="61">
        <f t="shared" si="172"/>
        <v>0</v>
      </c>
      <c r="AD286" s="61">
        <f t="shared" si="172"/>
        <v>0</v>
      </c>
      <c r="AE286" s="61">
        <f t="shared" si="172"/>
        <v>0</v>
      </c>
      <c r="AF286" s="61">
        <f t="shared" si="165"/>
        <v>0</v>
      </c>
      <c r="AG286" s="61">
        <f t="shared" si="167"/>
        <v>0</v>
      </c>
      <c r="AH286" s="61">
        <f t="shared" si="173"/>
        <v>0</v>
      </c>
      <c r="AI286" s="61">
        <f t="shared" si="173"/>
        <v>0</v>
      </c>
      <c r="AJ286" s="61">
        <f t="shared" si="173"/>
        <v>0</v>
      </c>
      <c r="AK286" s="61">
        <f t="shared" si="173"/>
        <v>0</v>
      </c>
      <c r="AL286" s="61">
        <f t="shared" si="173"/>
        <v>0</v>
      </c>
      <c r="AM286" s="61">
        <f t="shared" si="173"/>
        <v>0</v>
      </c>
      <c r="AN286" s="61">
        <f t="shared" si="173"/>
        <v>0</v>
      </c>
      <c r="AO286" s="61">
        <f t="shared" si="173"/>
        <v>0</v>
      </c>
      <c r="AP286" s="61">
        <f t="shared" si="173"/>
        <v>0</v>
      </c>
      <c r="AQ286" s="61"/>
    </row>
    <row r="287" spans="2:43" x14ac:dyDescent="0.25">
      <c r="E287" s="91"/>
      <c r="F287" s="91"/>
      <c r="G287" s="91"/>
      <c r="I287" s="180">
        <f>NCC!$T$36</f>
        <v>0</v>
      </c>
    </row>
  </sheetData>
  <phoneticPr fontId="2" type="noConversion"/>
  <conditionalFormatting sqref="F175:F183 Y131:AB131 AC3:AP5 E93:E123 M170:X172 F8:F16 AQ3 Y48:AB48 Y90:AB90 E134:E164 Y5:AB5 G51:G81 E175:E205 Y46:AB46 M46:X48 Y88:AB88 M88:X90 Y129:AB129 M129:X131 F51:F59 E257:G287 G93:G123 G134:G164 E8:E38 Y3:AB3 M3:X5 E51:E81 G8:G38 AC46:AP48 AQ46 AC88:AP90 AQ88 AC129:AP131 AQ129 AC170:AP172 AQ170 Y172:AB172 Y170:AB170 M252:AQ253 F93:F101 M211:AQ212 F134:F142 G175:G205 M254:AP254 M213:AP213 E216:G246">
    <cfRule type="cellIs" dxfId="24" priority="1" stopIfTrue="1" operator="lessThanOrEqual">
      <formula>0</formula>
    </cfRule>
  </conditionalFormatting>
  <conditionalFormatting sqref="M51:AQ82 M93:AQ122 M134:AQ163 M175:AQ204 M216:AQ245 M257:AQ286 M8:AQ37">
    <cfRule type="cellIs" dxfId="23" priority="2" stopIfTrue="1" operator="equal">
      <formula>0</formula>
    </cfRule>
  </conditionalFormatting>
  <pageMargins left="0.75" right="0.75" top="1" bottom="1" header="0.5" footer="0.5"/>
  <pageSetup orientation="portrait" r:id="rId1"/>
  <headerFooter alignWithMargins="0"/>
  <ignoredErrors>
    <ignoredError sqref="F8:F1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AQ287"/>
  <sheetViews>
    <sheetView showGridLines="0" zoomScale="75" workbookViewId="0">
      <pane xSplit="12" ySplit="2" topLeftCell="M3" activePane="bottomRight" state="frozen"/>
      <selection pane="topRight" activeCell="L1" sqref="L1"/>
      <selection pane="bottomLeft" activeCell="A3" sqref="A3"/>
      <selection pane="bottomRight" activeCell="K6" sqref="K6"/>
    </sheetView>
  </sheetViews>
  <sheetFormatPr defaultRowHeight="15" x14ac:dyDescent="0.25"/>
  <cols>
    <col min="1" max="1" width="2" style="55" customWidth="1"/>
    <col min="2" max="3" width="9.7109375" style="55" bestFit="1" customWidth="1"/>
    <col min="4" max="4" width="3.140625" style="55" customWidth="1"/>
    <col min="5" max="5" width="6.42578125" style="56" bestFit="1" customWidth="1"/>
    <col min="6" max="6" width="7.140625" style="56" bestFit="1" customWidth="1"/>
    <col min="7" max="7" width="7.140625" style="56" customWidth="1"/>
    <col min="8" max="8" width="8.140625" style="56" bestFit="1" customWidth="1"/>
    <col min="9" max="9" width="6.7109375" style="56" customWidth="1"/>
    <col min="10" max="10" width="6" style="56" bestFit="1" customWidth="1"/>
    <col min="11" max="11" width="7.5703125" style="56" bestFit="1" customWidth="1"/>
    <col min="12" max="12" width="1.42578125" style="56" customWidth="1"/>
    <col min="13" max="13" width="9.7109375" style="56" bestFit="1" customWidth="1"/>
    <col min="14" max="18" width="8.5703125" style="56" bestFit="1" customWidth="1"/>
    <col min="19" max="24" width="9.7109375" style="56" bestFit="1" customWidth="1"/>
    <col min="25" max="42" width="8.5703125" style="56" bestFit="1" customWidth="1"/>
    <col min="43" max="43" width="9.7109375" style="56" bestFit="1" customWidth="1"/>
    <col min="44" max="16384" width="9.140625" style="55"/>
  </cols>
  <sheetData>
    <row r="2" spans="2:43" s="52" customFormat="1" x14ac:dyDescent="0.25">
      <c r="E2" s="53"/>
      <c r="F2" s="53"/>
      <c r="G2" s="53"/>
      <c r="H2" s="53"/>
      <c r="I2" s="53"/>
      <c r="J2" s="53"/>
      <c r="K2" s="53"/>
      <c r="L2" s="53"/>
      <c r="M2" s="181">
        <v>0.29166666666424135</v>
      </c>
      <c r="N2" s="181">
        <v>0.3125</v>
      </c>
      <c r="O2" s="181">
        <v>0.33333333333575899</v>
      </c>
      <c r="P2" s="181">
        <v>0.35416666667151703</v>
      </c>
      <c r="Q2" s="181">
        <v>0.37500000000727601</v>
      </c>
      <c r="R2" s="181">
        <v>0.395833333343034</v>
      </c>
      <c r="S2" s="181">
        <v>0.41666666667879299</v>
      </c>
      <c r="T2" s="181">
        <v>0.43750000001455203</v>
      </c>
      <c r="U2" s="181">
        <v>0.45833333335031001</v>
      </c>
      <c r="V2" s="181">
        <v>0.479166666686069</v>
      </c>
      <c r="W2" s="181">
        <v>0.50000000002182798</v>
      </c>
      <c r="X2" s="181">
        <v>0.52083333335758597</v>
      </c>
      <c r="Y2" s="181">
        <v>0.54166666669334496</v>
      </c>
      <c r="Z2" s="181">
        <v>0.56250000002910305</v>
      </c>
      <c r="AA2" s="181">
        <v>0.58333333336486204</v>
      </c>
      <c r="AB2" s="181">
        <v>0.60416666670062102</v>
      </c>
      <c r="AC2" s="181">
        <v>0.62500000003637901</v>
      </c>
      <c r="AD2" s="181">
        <v>0.645833333372138</v>
      </c>
      <c r="AE2" s="181">
        <v>0.66666666670789698</v>
      </c>
      <c r="AF2" s="181">
        <v>0.68750000004365497</v>
      </c>
      <c r="AG2" s="181">
        <v>0.70833333337941395</v>
      </c>
      <c r="AH2" s="181">
        <v>0.72916666671517305</v>
      </c>
      <c r="AI2" s="181">
        <v>0.75000000005093104</v>
      </c>
      <c r="AJ2" s="181">
        <v>0.77083333338669002</v>
      </c>
      <c r="AK2" s="181">
        <v>0.79166666672244901</v>
      </c>
      <c r="AL2" s="181">
        <v>0.81250000005820699</v>
      </c>
      <c r="AM2" s="181">
        <v>0.83333333339396598</v>
      </c>
      <c r="AN2" s="181">
        <v>0.85416666672972497</v>
      </c>
      <c r="AO2" s="181">
        <v>0.87500000006548295</v>
      </c>
      <c r="AP2" s="181">
        <v>0.89583333340124205</v>
      </c>
      <c r="AQ2" s="181"/>
    </row>
    <row r="3" spans="2:43" s="52" customFormat="1" x14ac:dyDescent="0.25">
      <c r="E3" s="53"/>
      <c r="F3" s="53"/>
      <c r="G3" s="53"/>
      <c r="H3" s="53"/>
      <c r="I3" s="53"/>
      <c r="J3" s="53"/>
      <c r="K3" s="58" t="s">
        <v>32</v>
      </c>
      <c r="L3" s="53"/>
      <c r="M3" s="84">
        <f>G8</f>
        <v>0</v>
      </c>
      <c r="N3" s="84">
        <f>M3+G9</f>
        <v>0</v>
      </c>
      <c r="O3" s="84">
        <f>N3+G10</f>
        <v>0</v>
      </c>
      <c r="P3" s="84">
        <f>+O3+G11</f>
        <v>0</v>
      </c>
      <c r="Q3" s="84">
        <f>P3+G12</f>
        <v>0</v>
      </c>
      <c r="R3" s="84">
        <f>Q3+G13</f>
        <v>0</v>
      </c>
      <c r="S3" s="84">
        <f>R3+G14</f>
        <v>0</v>
      </c>
      <c r="T3" s="84">
        <f>S3+G15</f>
        <v>0</v>
      </c>
      <c r="U3" s="84">
        <f>T3+G16-G8</f>
        <v>0</v>
      </c>
      <c r="V3" s="84">
        <f>U3+G17-G9</f>
        <v>0</v>
      </c>
      <c r="W3" s="84">
        <f>V3+G18-G10</f>
        <v>0</v>
      </c>
      <c r="X3" s="84">
        <f>W3+G19-G11</f>
        <v>0</v>
      </c>
      <c r="Y3" s="84">
        <f>X3+G20-G12</f>
        <v>0</v>
      </c>
      <c r="Z3" s="84">
        <f>Y3+G21-G13</f>
        <v>0</v>
      </c>
      <c r="AA3" s="84">
        <f>Z3+G22-G14</f>
        <v>0</v>
      </c>
      <c r="AB3" s="84">
        <f>AA3+G23-G15</f>
        <v>0</v>
      </c>
      <c r="AC3" s="84">
        <f>AB3+G24-G16</f>
        <v>0</v>
      </c>
      <c r="AD3" s="84">
        <f>AC3+G25-G17</f>
        <v>0</v>
      </c>
      <c r="AE3" s="84">
        <f>AD3+G26-G18</f>
        <v>0</v>
      </c>
      <c r="AF3" s="84">
        <f>AE3+G27-G19</f>
        <v>0</v>
      </c>
      <c r="AG3" s="84">
        <f>AF3+G28-G20</f>
        <v>0</v>
      </c>
      <c r="AH3" s="84">
        <f>AG3+G29-G21</f>
        <v>0</v>
      </c>
      <c r="AI3" s="84">
        <f>AH3+G30-G22</f>
        <v>0</v>
      </c>
      <c r="AJ3" s="84">
        <f>AI3+G31-G23</f>
        <v>0</v>
      </c>
      <c r="AK3" s="84">
        <f>AJ3+G32-G24</f>
        <v>0</v>
      </c>
      <c r="AL3" s="84">
        <f>AK3+G33-G25</f>
        <v>0</v>
      </c>
      <c r="AM3" s="84">
        <f>AL3+G34-G26</f>
        <v>0</v>
      </c>
      <c r="AN3" s="84">
        <f>AM3+G35-G27</f>
        <v>0</v>
      </c>
      <c r="AO3" s="84">
        <f>AN3+G36-G28</f>
        <v>0</v>
      </c>
      <c r="AP3" s="84">
        <f>AO3+G37-G29</f>
        <v>0</v>
      </c>
      <c r="AQ3" s="84">
        <f>SUM(M3:AP3)/8.5</f>
        <v>0</v>
      </c>
    </row>
    <row r="4" spans="2:43" x14ac:dyDescent="0.25">
      <c r="J4" s="57"/>
      <c r="K4" s="58" t="s">
        <v>31</v>
      </c>
      <c r="M4" s="84">
        <f>F8</f>
        <v>0</v>
      </c>
      <c r="N4" s="84">
        <f>M4+F9</f>
        <v>0</v>
      </c>
      <c r="O4" s="84">
        <f>N4+F10</f>
        <v>0</v>
      </c>
      <c r="P4" s="84">
        <f>O4+F11</f>
        <v>0</v>
      </c>
      <c r="Q4" s="84">
        <f>P4+F12</f>
        <v>0</v>
      </c>
      <c r="R4" s="84">
        <f>Q4+F13</f>
        <v>0</v>
      </c>
      <c r="S4" s="84">
        <f>R4+F14</f>
        <v>0</v>
      </c>
      <c r="T4" s="84">
        <f>S4+F15</f>
        <v>0</v>
      </c>
      <c r="U4" s="84">
        <f>T4+F16</f>
        <v>0</v>
      </c>
      <c r="V4" s="84">
        <f>U4</f>
        <v>0</v>
      </c>
      <c r="W4" s="84">
        <f>V4</f>
        <v>0</v>
      </c>
      <c r="X4" s="84">
        <f>W4</f>
        <v>0</v>
      </c>
      <c r="Y4" s="96"/>
      <c r="Z4" s="96"/>
      <c r="AA4" s="96"/>
      <c r="AB4" s="96"/>
      <c r="AC4" s="84">
        <f t="shared" ref="AC4:AN4" si="0">M4</f>
        <v>0</v>
      </c>
      <c r="AD4" s="84">
        <f t="shared" si="0"/>
        <v>0</v>
      </c>
      <c r="AE4" s="84">
        <f t="shared" si="0"/>
        <v>0</v>
      </c>
      <c r="AF4" s="84">
        <f t="shared" si="0"/>
        <v>0</v>
      </c>
      <c r="AG4" s="84">
        <f t="shared" si="0"/>
        <v>0</v>
      </c>
      <c r="AH4" s="84">
        <f t="shared" si="0"/>
        <v>0</v>
      </c>
      <c r="AI4" s="84">
        <f t="shared" si="0"/>
        <v>0</v>
      </c>
      <c r="AJ4" s="84">
        <f t="shared" si="0"/>
        <v>0</v>
      </c>
      <c r="AK4" s="84">
        <f t="shared" si="0"/>
        <v>0</v>
      </c>
      <c r="AL4" s="84">
        <f t="shared" si="0"/>
        <v>0</v>
      </c>
      <c r="AM4" s="84">
        <f t="shared" si="0"/>
        <v>0</v>
      </c>
      <c r="AN4" s="84">
        <f t="shared" si="0"/>
        <v>0</v>
      </c>
      <c r="AO4" s="84"/>
      <c r="AP4" s="84"/>
      <c r="AQ4" s="182"/>
    </row>
    <row r="5" spans="2:43" s="57" customFormat="1" ht="17.25" customHeight="1" x14ac:dyDescent="0.25">
      <c r="K5" s="58" t="s">
        <v>13</v>
      </c>
      <c r="M5" s="84"/>
      <c r="N5" s="84"/>
      <c r="O5" s="84"/>
      <c r="P5" s="84"/>
      <c r="Q5" s="84"/>
      <c r="R5" s="84"/>
      <c r="S5" s="84"/>
      <c r="T5" s="84"/>
      <c r="U5" s="84">
        <f>M4</f>
        <v>0</v>
      </c>
      <c r="V5" s="84">
        <f>N4</f>
        <v>0</v>
      </c>
      <c r="W5" s="84">
        <f>O4</f>
        <v>0</v>
      </c>
      <c r="X5" s="84">
        <f>P4</f>
        <v>0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>
        <f>AC4</f>
        <v>0</v>
      </c>
      <c r="AL5" s="84">
        <f>AD4</f>
        <v>0</v>
      </c>
      <c r="AM5" s="84">
        <f>AE4</f>
        <v>0</v>
      </c>
      <c r="AN5" s="84">
        <f>AF4</f>
        <v>0</v>
      </c>
      <c r="AO5" s="84"/>
      <c r="AP5" s="85"/>
      <c r="AQ5" s="86"/>
    </row>
    <row r="6" spans="2:43" s="57" customFormat="1" ht="17.25" customHeight="1" x14ac:dyDescent="0.25">
      <c r="B6" s="57" t="s">
        <v>14</v>
      </c>
      <c r="E6" s="59" t="s">
        <v>8</v>
      </c>
      <c r="F6" s="59" t="s">
        <v>15</v>
      </c>
      <c r="G6" s="59" t="s">
        <v>32</v>
      </c>
      <c r="H6" s="59" t="s">
        <v>16</v>
      </c>
      <c r="J6" s="58" t="s">
        <v>9</v>
      </c>
      <c r="K6" s="58">
        <f>SUM(M6:AP6)/16</f>
        <v>0</v>
      </c>
      <c r="M6" s="87">
        <f t="shared" ref="M6:AP6" si="1">SUM(M8:M37)+M4+M3-M5</f>
        <v>0</v>
      </c>
      <c r="N6" s="87">
        <f t="shared" si="1"/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87">
        <f t="shared" si="1"/>
        <v>0</v>
      </c>
      <c r="V6" s="87">
        <f t="shared" si="1"/>
        <v>0</v>
      </c>
      <c r="W6" s="87">
        <f t="shared" si="1"/>
        <v>0</v>
      </c>
      <c r="X6" s="87">
        <f t="shared" si="1"/>
        <v>0</v>
      </c>
      <c r="Y6" s="87">
        <f t="shared" si="1"/>
        <v>0</v>
      </c>
      <c r="Z6" s="87">
        <f t="shared" si="1"/>
        <v>0</v>
      </c>
      <c r="AA6" s="87">
        <f t="shared" si="1"/>
        <v>0</v>
      </c>
      <c r="AB6" s="87">
        <f t="shared" si="1"/>
        <v>0</v>
      </c>
      <c r="AC6" s="87">
        <f t="shared" si="1"/>
        <v>0</v>
      </c>
      <c r="AD6" s="87">
        <f t="shared" si="1"/>
        <v>0</v>
      </c>
      <c r="AE6" s="87">
        <f t="shared" si="1"/>
        <v>0</v>
      </c>
      <c r="AF6" s="87">
        <f t="shared" si="1"/>
        <v>0</v>
      </c>
      <c r="AG6" s="87">
        <f t="shared" si="1"/>
        <v>0</v>
      </c>
      <c r="AH6" s="87">
        <f t="shared" si="1"/>
        <v>0</v>
      </c>
      <c r="AI6" s="87">
        <f t="shared" si="1"/>
        <v>0</v>
      </c>
      <c r="AJ6" s="87">
        <f t="shared" si="1"/>
        <v>0</v>
      </c>
      <c r="AK6" s="87">
        <f t="shared" si="1"/>
        <v>0</v>
      </c>
      <c r="AL6" s="87">
        <f t="shared" si="1"/>
        <v>0</v>
      </c>
      <c r="AM6" s="87">
        <f t="shared" si="1"/>
        <v>0</v>
      </c>
      <c r="AN6" s="87">
        <f t="shared" si="1"/>
        <v>0</v>
      </c>
      <c r="AO6" s="87">
        <f t="shared" si="1"/>
        <v>0</v>
      </c>
      <c r="AP6" s="87">
        <f t="shared" si="1"/>
        <v>0</v>
      </c>
      <c r="AQ6" s="87"/>
    </row>
    <row r="7" spans="2:43" s="88" customFormat="1" x14ac:dyDescent="0.25">
      <c r="E7" s="178">
        <f>SUM(E8:E37)</f>
        <v>0</v>
      </c>
      <c r="F7" s="178">
        <f>SUM(F8:F37)</f>
        <v>0</v>
      </c>
      <c r="G7" s="178">
        <f>SUM(G8:G37)</f>
        <v>0</v>
      </c>
      <c r="H7" s="178">
        <f>SUM(H8:H37)</f>
        <v>0</v>
      </c>
      <c r="I7" s="89"/>
      <c r="J7" s="89"/>
      <c r="K7" s="58" t="s">
        <v>7</v>
      </c>
      <c r="L7" s="89"/>
      <c r="M7" s="180">
        <f>SUMMARY!$E$6</f>
        <v>0</v>
      </c>
      <c r="N7" s="180">
        <f>SUMMARY!$E$7</f>
        <v>0</v>
      </c>
      <c r="O7" s="180">
        <f>SUMMARY!$E$8</f>
        <v>0</v>
      </c>
      <c r="P7" s="180">
        <f>SUMMARY!$E$9</f>
        <v>0</v>
      </c>
      <c r="Q7" s="180">
        <f>SUMMARY!$E$10</f>
        <v>0</v>
      </c>
      <c r="R7" s="180">
        <f>SUMMARY!$E$11</f>
        <v>0</v>
      </c>
      <c r="S7" s="180">
        <f>SUMMARY!$E$12</f>
        <v>0</v>
      </c>
      <c r="T7" s="180">
        <f>SUMMARY!$E$13</f>
        <v>0</v>
      </c>
      <c r="U7" s="180">
        <f>SUMMARY!$E$14</f>
        <v>0</v>
      </c>
      <c r="V7" s="180">
        <f>SUMMARY!$E$15</f>
        <v>0</v>
      </c>
      <c r="W7" s="180">
        <f>SUMMARY!$E$16</f>
        <v>0</v>
      </c>
      <c r="X7" s="180">
        <f>SUMMARY!$E$17</f>
        <v>0</v>
      </c>
      <c r="Y7" s="180">
        <f>SUMMARY!$E$18</f>
        <v>0</v>
      </c>
      <c r="Z7" s="180">
        <f>SUMMARY!$E$19</f>
        <v>0</v>
      </c>
      <c r="AA7" s="180">
        <f>SUMMARY!$E$20</f>
        <v>0</v>
      </c>
      <c r="AB7" s="180">
        <f>SUMMARY!$E$21</f>
        <v>0</v>
      </c>
      <c r="AC7" s="180">
        <f>SUMMARY!$E$22</f>
        <v>0</v>
      </c>
      <c r="AD7" s="180">
        <f>SUMMARY!$E$23</f>
        <v>0</v>
      </c>
      <c r="AE7" s="180">
        <f>SUMMARY!$E$24</f>
        <v>0</v>
      </c>
      <c r="AF7" s="180">
        <f>SUMMARY!$E$25</f>
        <v>0</v>
      </c>
      <c r="AG7" s="180">
        <f>SUMMARY!$E$26</f>
        <v>0</v>
      </c>
      <c r="AH7" s="180">
        <f>SUMMARY!$E$27</f>
        <v>0</v>
      </c>
      <c r="AI7" s="180">
        <f>SUMMARY!$E$28</f>
        <v>0</v>
      </c>
      <c r="AJ7" s="180">
        <f>SUMMARY!$E$29</f>
        <v>0</v>
      </c>
      <c r="AK7" s="180">
        <f>SUMMARY!$E$30</f>
        <v>0</v>
      </c>
      <c r="AL7" s="180">
        <f>SUMMARY!$E$31</f>
        <v>0</v>
      </c>
      <c r="AM7" s="180">
        <f>SUMMARY!$E$32</f>
        <v>0</v>
      </c>
      <c r="AN7" s="180">
        <f>SUMMARY!$E$33</f>
        <v>0</v>
      </c>
      <c r="AO7" s="180">
        <f>SUMMARY!$E$34</f>
        <v>0</v>
      </c>
      <c r="AP7" s="180">
        <f>SUMMARY!$E$35</f>
        <v>0</v>
      </c>
      <c r="AQ7" s="90"/>
    </row>
    <row r="8" spans="2:43" x14ac:dyDescent="0.25">
      <c r="B8" s="54">
        <v>0.29166666666424135</v>
      </c>
      <c r="C8" s="54">
        <v>0.645833333372138</v>
      </c>
      <c r="D8" s="60"/>
      <c r="E8" s="91">
        <f>SUMMARY!P6</f>
        <v>0</v>
      </c>
      <c r="F8" s="91"/>
      <c r="G8" s="91"/>
      <c r="H8" s="92">
        <f t="shared" ref="H8:H37" si="2">SUM(E8:G8)</f>
        <v>0</v>
      </c>
      <c r="I8" s="180">
        <f>M$6-M$7</f>
        <v>0</v>
      </c>
      <c r="M8" s="61">
        <f t="shared" ref="M8:V17" si="3">IF(AND(M$2&gt;=$B8,M$2&lt;$C8),$E8,0)</f>
        <v>0</v>
      </c>
      <c r="N8" s="61">
        <f t="shared" si="3"/>
        <v>0</v>
      </c>
      <c r="O8" s="61">
        <f t="shared" si="3"/>
        <v>0</v>
      </c>
      <c r="P8" s="61">
        <f t="shared" si="3"/>
        <v>0</v>
      </c>
      <c r="Q8" s="61">
        <f t="shared" si="3"/>
        <v>0</v>
      </c>
      <c r="R8" s="61">
        <f t="shared" si="3"/>
        <v>0</v>
      </c>
      <c r="S8" s="61">
        <f t="shared" si="3"/>
        <v>0</v>
      </c>
      <c r="T8" s="61">
        <f t="shared" si="3"/>
        <v>0</v>
      </c>
      <c r="U8" s="93">
        <f t="shared" si="3"/>
        <v>0</v>
      </c>
      <c r="V8" s="93">
        <f t="shared" si="3"/>
        <v>0</v>
      </c>
      <c r="W8" s="93">
        <f t="shared" ref="W8:AC17" si="4">IF(AND(W$2&gt;=$B8,W$2&lt;$C8),$E8,0)</f>
        <v>0</v>
      </c>
      <c r="X8" s="93">
        <f t="shared" si="4"/>
        <v>0</v>
      </c>
      <c r="Y8" s="93">
        <f t="shared" si="4"/>
        <v>0</v>
      </c>
      <c r="Z8" s="93">
        <f t="shared" si="4"/>
        <v>0</v>
      </c>
      <c r="AA8" s="93">
        <f t="shared" si="4"/>
        <v>0</v>
      </c>
      <c r="AB8" s="93">
        <f t="shared" si="4"/>
        <v>0</v>
      </c>
      <c r="AC8" s="93">
        <f t="shared" si="4"/>
        <v>0</v>
      </c>
      <c r="AD8" s="93">
        <f>IF(AND(AD$2&gt;=$B8,AD$2&lt;$C8),#REF!,0)</f>
        <v>0</v>
      </c>
      <c r="AE8" s="93">
        <f>IF(AND(AE$2&gt;=$B8,AE$2&lt;$C8),#REF!,0)</f>
        <v>0</v>
      </c>
      <c r="AF8" s="93">
        <f>IF(AND(AF$2&gt;=$B8,AF$2&lt;$C8),#REF!,0)</f>
        <v>0</v>
      </c>
      <c r="AG8" s="93">
        <f>IF(AND(AG$2&gt;=$B8,AG$2&lt;$C8),#REF!,0)</f>
        <v>0</v>
      </c>
      <c r="AH8" s="93">
        <f>IF(AND(AH$2&gt;=$B8,AH$2&lt;$C8),#REF!,0)</f>
        <v>0</v>
      </c>
      <c r="AI8" s="93">
        <f>IF(AND(AI$2&gt;=$B8,AI$2&lt;$C8),#REF!,0)</f>
        <v>0</v>
      </c>
      <c r="AJ8" s="93">
        <f>IF(AND(AJ$2&gt;=$B8,AJ$2&lt;$C8),#REF!,0)</f>
        <v>0</v>
      </c>
      <c r="AK8" s="93">
        <f>IF(AND(AK$2&gt;=$B8,AK$2&lt;$C8),#REF!,0)</f>
        <v>0</v>
      </c>
      <c r="AL8" s="93">
        <f>IF(AND(AL$2&gt;=$B8,AL$2&lt;$C8),#REF!,0)</f>
        <v>0</v>
      </c>
      <c r="AM8" s="93">
        <f>IF(AND(AM$2&gt;=$B8,AM$2&lt;$C8),#REF!,0)</f>
        <v>0</v>
      </c>
      <c r="AN8" s="93">
        <f>IF(AND(AN$2&gt;=$B8,AN$2&lt;$C8),#REF!,0)</f>
        <v>0</v>
      </c>
      <c r="AO8" s="93">
        <f>IF(AND(AO$2&gt;=$B8,AO$2&lt;$C8),#REF!,0)</f>
        <v>0</v>
      </c>
      <c r="AP8" s="93">
        <f>IF(AND(AP$2&gt;=$B8,AP$2&lt;$C8),#REF!,0)</f>
        <v>0</v>
      </c>
      <c r="AQ8" s="93"/>
    </row>
    <row r="9" spans="2:43" x14ac:dyDescent="0.25">
      <c r="B9" s="54">
        <v>0.3125</v>
      </c>
      <c r="C9" s="54">
        <v>0.66666666670789698</v>
      </c>
      <c r="D9" s="60"/>
      <c r="E9" s="91">
        <f>SUMMARY!P7</f>
        <v>0</v>
      </c>
      <c r="F9" s="91"/>
      <c r="G9" s="91"/>
      <c r="H9" s="92">
        <f t="shared" si="2"/>
        <v>0</v>
      </c>
      <c r="I9" s="180">
        <f>N$6-N$7</f>
        <v>0</v>
      </c>
      <c r="M9" s="61">
        <f t="shared" si="3"/>
        <v>0</v>
      </c>
      <c r="N9" s="61">
        <f t="shared" si="3"/>
        <v>0</v>
      </c>
      <c r="O9" s="61">
        <f t="shared" si="3"/>
        <v>0</v>
      </c>
      <c r="P9" s="61">
        <f t="shared" si="3"/>
        <v>0</v>
      </c>
      <c r="Q9" s="61">
        <f t="shared" si="3"/>
        <v>0</v>
      </c>
      <c r="R9" s="61">
        <f t="shared" si="3"/>
        <v>0</v>
      </c>
      <c r="S9" s="61">
        <f t="shared" si="3"/>
        <v>0</v>
      </c>
      <c r="T9" s="61">
        <f t="shared" si="3"/>
        <v>0</v>
      </c>
      <c r="U9" s="61">
        <f t="shared" si="3"/>
        <v>0</v>
      </c>
      <c r="V9" s="61">
        <f t="shared" si="3"/>
        <v>0</v>
      </c>
      <c r="W9" s="61">
        <f t="shared" si="4"/>
        <v>0</v>
      </c>
      <c r="X9" s="61">
        <f t="shared" si="4"/>
        <v>0</v>
      </c>
      <c r="Y9" s="61">
        <f t="shared" si="4"/>
        <v>0</v>
      </c>
      <c r="Z9" s="61">
        <f t="shared" si="4"/>
        <v>0</v>
      </c>
      <c r="AA9" s="61">
        <f t="shared" si="4"/>
        <v>0</v>
      </c>
      <c r="AB9" s="61">
        <f t="shared" si="4"/>
        <v>0</v>
      </c>
      <c r="AC9" s="61">
        <f t="shared" si="4"/>
        <v>0</v>
      </c>
      <c r="AD9" s="61">
        <f t="shared" ref="AD9:AP9" si="5">IF(AND(AD$2&gt;=$B9,AD$2&lt;$C9),$E9,0)</f>
        <v>0</v>
      </c>
      <c r="AE9" s="61">
        <f t="shared" si="5"/>
        <v>0</v>
      </c>
      <c r="AF9" s="61">
        <f t="shared" si="5"/>
        <v>0</v>
      </c>
      <c r="AG9" s="61">
        <f t="shared" si="5"/>
        <v>0</v>
      </c>
      <c r="AH9" s="61">
        <f t="shared" si="5"/>
        <v>0</v>
      </c>
      <c r="AI9" s="61">
        <f t="shared" si="5"/>
        <v>0</v>
      </c>
      <c r="AJ9" s="61">
        <f t="shared" si="5"/>
        <v>0</v>
      </c>
      <c r="AK9" s="61">
        <f t="shared" si="5"/>
        <v>0</v>
      </c>
      <c r="AL9" s="61">
        <f t="shared" si="5"/>
        <v>0</v>
      </c>
      <c r="AM9" s="61">
        <f t="shared" si="5"/>
        <v>0</v>
      </c>
      <c r="AN9" s="61">
        <f t="shared" si="5"/>
        <v>0</v>
      </c>
      <c r="AO9" s="61">
        <f t="shared" si="5"/>
        <v>0</v>
      </c>
      <c r="AP9" s="61">
        <f t="shared" si="5"/>
        <v>0</v>
      </c>
      <c r="AQ9" s="61"/>
    </row>
    <row r="10" spans="2:43" x14ac:dyDescent="0.25">
      <c r="B10" s="54">
        <v>0.33333333333575865</v>
      </c>
      <c r="C10" s="54">
        <v>0.68750000004365597</v>
      </c>
      <c r="D10" s="60"/>
      <c r="E10" s="91">
        <f>SUMMARY!P8</f>
        <v>0</v>
      </c>
      <c r="F10" s="91"/>
      <c r="G10" s="91"/>
      <c r="H10" s="92">
        <f t="shared" si="2"/>
        <v>0</v>
      </c>
      <c r="I10" s="180">
        <f>O$6-O$7</f>
        <v>0</v>
      </c>
      <c r="M10" s="61">
        <f t="shared" si="3"/>
        <v>0</v>
      </c>
      <c r="N10" s="61">
        <f t="shared" si="3"/>
        <v>0</v>
      </c>
      <c r="O10" s="61">
        <f t="shared" si="3"/>
        <v>0</v>
      </c>
      <c r="P10" s="61">
        <f t="shared" si="3"/>
        <v>0</v>
      </c>
      <c r="Q10" s="61">
        <f t="shared" si="3"/>
        <v>0</v>
      </c>
      <c r="R10" s="61">
        <f t="shared" si="3"/>
        <v>0</v>
      </c>
      <c r="S10" s="61">
        <f t="shared" si="3"/>
        <v>0</v>
      </c>
      <c r="T10" s="61">
        <f t="shared" si="3"/>
        <v>0</v>
      </c>
      <c r="U10" s="61">
        <f t="shared" si="3"/>
        <v>0</v>
      </c>
      <c r="V10" s="61">
        <f t="shared" si="3"/>
        <v>0</v>
      </c>
      <c r="W10" s="61">
        <f t="shared" si="4"/>
        <v>0</v>
      </c>
      <c r="X10" s="61">
        <f t="shared" si="4"/>
        <v>0</v>
      </c>
      <c r="Y10" s="61">
        <f t="shared" si="4"/>
        <v>0</v>
      </c>
      <c r="Z10" s="61">
        <f t="shared" si="4"/>
        <v>0</v>
      </c>
      <c r="AA10" s="61">
        <f t="shared" si="4"/>
        <v>0</v>
      </c>
      <c r="AB10" s="61">
        <f t="shared" si="4"/>
        <v>0</v>
      </c>
      <c r="AC10" s="61">
        <f t="shared" si="4"/>
        <v>0</v>
      </c>
      <c r="AD10" s="61">
        <f t="shared" ref="AD10:AE37" si="6">IF(AND(AD$2&gt;=$B10,AD$2&lt;$C10),$E10,0)</f>
        <v>0</v>
      </c>
      <c r="AE10" s="61">
        <f t="shared" si="6"/>
        <v>0</v>
      </c>
      <c r="AF10" s="61"/>
      <c r="AG10" s="61">
        <f t="shared" ref="AG10:AP10" si="7">IF(AND(AG$2&gt;=$B10,AG$2&lt;$C10),$E10,0)</f>
        <v>0</v>
      </c>
      <c r="AH10" s="61">
        <f t="shared" si="7"/>
        <v>0</v>
      </c>
      <c r="AI10" s="61">
        <f t="shared" si="7"/>
        <v>0</v>
      </c>
      <c r="AJ10" s="61">
        <f t="shared" si="7"/>
        <v>0</v>
      </c>
      <c r="AK10" s="61">
        <f t="shared" si="7"/>
        <v>0</v>
      </c>
      <c r="AL10" s="61">
        <f t="shared" si="7"/>
        <v>0</v>
      </c>
      <c r="AM10" s="61">
        <f t="shared" si="7"/>
        <v>0</v>
      </c>
      <c r="AN10" s="61">
        <f t="shared" si="7"/>
        <v>0</v>
      </c>
      <c r="AO10" s="61">
        <f t="shared" si="7"/>
        <v>0</v>
      </c>
      <c r="AP10" s="61">
        <f t="shared" si="7"/>
        <v>0</v>
      </c>
      <c r="AQ10" s="61"/>
    </row>
    <row r="11" spans="2:43" x14ac:dyDescent="0.25">
      <c r="B11" s="54">
        <v>0.35416666666424135</v>
      </c>
      <c r="C11" s="54">
        <v>0.70833333337941495</v>
      </c>
      <c r="D11" s="60"/>
      <c r="E11" s="91">
        <f>SUMMARY!P9</f>
        <v>0</v>
      </c>
      <c r="F11" s="91"/>
      <c r="G11" s="91"/>
      <c r="H11" s="92">
        <f t="shared" si="2"/>
        <v>0</v>
      </c>
      <c r="I11" s="180">
        <f>P$6-P$7</f>
        <v>0</v>
      </c>
      <c r="M11" s="61">
        <f t="shared" si="3"/>
        <v>0</v>
      </c>
      <c r="N11" s="61">
        <f t="shared" si="3"/>
        <v>0</v>
      </c>
      <c r="O11" s="61">
        <f t="shared" si="3"/>
        <v>0</v>
      </c>
      <c r="P11" s="61">
        <f t="shared" si="3"/>
        <v>0</v>
      </c>
      <c r="Q11" s="61">
        <f t="shared" si="3"/>
        <v>0</v>
      </c>
      <c r="R11" s="61">
        <f t="shared" si="3"/>
        <v>0</v>
      </c>
      <c r="S11" s="61">
        <f t="shared" si="3"/>
        <v>0</v>
      </c>
      <c r="T11" s="61">
        <f t="shared" si="3"/>
        <v>0</v>
      </c>
      <c r="U11" s="61">
        <f t="shared" si="3"/>
        <v>0</v>
      </c>
      <c r="V11" s="61">
        <f t="shared" si="3"/>
        <v>0</v>
      </c>
      <c r="W11" s="61">
        <f t="shared" si="4"/>
        <v>0</v>
      </c>
      <c r="X11" s="61">
        <f t="shared" si="4"/>
        <v>0</v>
      </c>
      <c r="Y11" s="61">
        <f t="shared" si="4"/>
        <v>0</v>
      </c>
      <c r="Z11" s="61">
        <f t="shared" si="4"/>
        <v>0</v>
      </c>
      <c r="AA11" s="61">
        <f t="shared" si="4"/>
        <v>0</v>
      </c>
      <c r="AB11" s="61">
        <f t="shared" si="4"/>
        <v>0</v>
      </c>
      <c r="AC11" s="61">
        <f t="shared" si="4"/>
        <v>0</v>
      </c>
      <c r="AD11" s="61">
        <f t="shared" si="6"/>
        <v>0</v>
      </c>
      <c r="AE11" s="61">
        <f t="shared" si="6"/>
        <v>0</v>
      </c>
      <c r="AF11" s="61">
        <f t="shared" ref="AF11:AF37" si="8">IF(AND(AF$2&gt;=$B11,AF$2&lt;$C11),$E11,0)</f>
        <v>0</v>
      </c>
      <c r="AG11" s="61"/>
      <c r="AH11" s="61">
        <f t="shared" ref="AH11:AP11" si="9">IF(AND(AH$2&gt;=$B11,AH$2&lt;$C11),$E11,0)</f>
        <v>0</v>
      </c>
      <c r="AI11" s="61">
        <f t="shared" si="9"/>
        <v>0</v>
      </c>
      <c r="AJ11" s="61">
        <f t="shared" si="9"/>
        <v>0</v>
      </c>
      <c r="AK11" s="61">
        <f t="shared" si="9"/>
        <v>0</v>
      </c>
      <c r="AL11" s="61">
        <f t="shared" si="9"/>
        <v>0</v>
      </c>
      <c r="AM11" s="61">
        <f t="shared" si="9"/>
        <v>0</v>
      </c>
      <c r="AN11" s="61">
        <f t="shared" si="9"/>
        <v>0</v>
      </c>
      <c r="AO11" s="61">
        <f t="shared" si="9"/>
        <v>0</v>
      </c>
      <c r="AP11" s="61">
        <f t="shared" si="9"/>
        <v>0</v>
      </c>
      <c r="AQ11" s="61"/>
    </row>
    <row r="12" spans="2:43" x14ac:dyDescent="0.25">
      <c r="B12" s="54">
        <v>0.375</v>
      </c>
      <c r="C12" s="54">
        <v>0.72916666671517405</v>
      </c>
      <c r="D12" s="60"/>
      <c r="E12" s="91">
        <f>SUMMARY!P10</f>
        <v>0</v>
      </c>
      <c r="F12" s="91"/>
      <c r="G12" s="91"/>
      <c r="H12" s="92">
        <f t="shared" si="2"/>
        <v>0</v>
      </c>
      <c r="I12" s="180">
        <f>Q$6-Q$7</f>
        <v>0</v>
      </c>
      <c r="M12" s="61">
        <f t="shared" si="3"/>
        <v>0</v>
      </c>
      <c r="N12" s="61">
        <f t="shared" si="3"/>
        <v>0</v>
      </c>
      <c r="O12" s="61">
        <f t="shared" si="3"/>
        <v>0</v>
      </c>
      <c r="P12" s="61">
        <f t="shared" si="3"/>
        <v>0</v>
      </c>
      <c r="Q12" s="61">
        <f t="shared" si="3"/>
        <v>0</v>
      </c>
      <c r="R12" s="61">
        <f t="shared" si="3"/>
        <v>0</v>
      </c>
      <c r="S12" s="61">
        <f t="shared" si="3"/>
        <v>0</v>
      </c>
      <c r="T12" s="61">
        <f t="shared" si="3"/>
        <v>0</v>
      </c>
      <c r="U12" s="61">
        <f t="shared" si="3"/>
        <v>0</v>
      </c>
      <c r="V12" s="61">
        <f t="shared" si="3"/>
        <v>0</v>
      </c>
      <c r="W12" s="61">
        <f t="shared" si="4"/>
        <v>0</v>
      </c>
      <c r="X12" s="61">
        <f t="shared" si="4"/>
        <v>0</v>
      </c>
      <c r="Y12" s="61">
        <f t="shared" si="4"/>
        <v>0</v>
      </c>
      <c r="Z12" s="61">
        <f t="shared" si="4"/>
        <v>0</v>
      </c>
      <c r="AA12" s="61">
        <f t="shared" si="4"/>
        <v>0</v>
      </c>
      <c r="AB12" s="61">
        <f t="shared" si="4"/>
        <v>0</v>
      </c>
      <c r="AC12" s="61">
        <f t="shared" si="4"/>
        <v>0</v>
      </c>
      <c r="AD12" s="61">
        <f t="shared" si="6"/>
        <v>0</v>
      </c>
      <c r="AE12" s="61">
        <f t="shared" si="6"/>
        <v>0</v>
      </c>
      <c r="AF12" s="61">
        <f t="shared" si="8"/>
        <v>0</v>
      </c>
      <c r="AG12" s="61">
        <f t="shared" ref="AG12:AG37" si="10">IF(AND(AG$2&gt;=$B12,AG$2&lt;$C12),$E12,0)</f>
        <v>0</v>
      </c>
      <c r="AH12" s="61"/>
      <c r="AI12" s="61">
        <f t="shared" ref="AI12:AP12" si="11">IF(AND(AI$2&gt;=$B12,AI$2&lt;$C12),$E12,0)</f>
        <v>0</v>
      </c>
      <c r="AJ12" s="61">
        <f t="shared" si="11"/>
        <v>0</v>
      </c>
      <c r="AK12" s="61">
        <f t="shared" si="11"/>
        <v>0</v>
      </c>
      <c r="AL12" s="61">
        <f t="shared" si="11"/>
        <v>0</v>
      </c>
      <c r="AM12" s="61">
        <f t="shared" si="11"/>
        <v>0</v>
      </c>
      <c r="AN12" s="61">
        <f t="shared" si="11"/>
        <v>0</v>
      </c>
      <c r="AO12" s="61">
        <f t="shared" si="11"/>
        <v>0</v>
      </c>
      <c r="AP12" s="61">
        <f t="shared" si="11"/>
        <v>0</v>
      </c>
      <c r="AQ12" s="61"/>
    </row>
    <row r="13" spans="2:43" x14ac:dyDescent="0.25">
      <c r="B13" s="54">
        <v>0.39583333333575865</v>
      </c>
      <c r="C13" s="54">
        <v>0.75000000005093304</v>
      </c>
      <c r="D13" s="60"/>
      <c r="E13" s="91">
        <f>SUMMARY!P11</f>
        <v>0</v>
      </c>
      <c r="F13" s="91"/>
      <c r="G13" s="91"/>
      <c r="H13" s="92">
        <f t="shared" si="2"/>
        <v>0</v>
      </c>
      <c r="I13" s="180">
        <f>R$6-R$7</f>
        <v>0</v>
      </c>
      <c r="M13" s="61">
        <f t="shared" si="3"/>
        <v>0</v>
      </c>
      <c r="N13" s="61">
        <f t="shared" si="3"/>
        <v>0</v>
      </c>
      <c r="O13" s="61">
        <f t="shared" si="3"/>
        <v>0</v>
      </c>
      <c r="P13" s="61">
        <f t="shared" si="3"/>
        <v>0</v>
      </c>
      <c r="Q13" s="61">
        <f t="shared" si="3"/>
        <v>0</v>
      </c>
      <c r="R13" s="61">
        <f t="shared" si="3"/>
        <v>0</v>
      </c>
      <c r="S13" s="61">
        <f t="shared" si="3"/>
        <v>0</v>
      </c>
      <c r="T13" s="61">
        <f t="shared" si="3"/>
        <v>0</v>
      </c>
      <c r="U13" s="61">
        <f t="shared" si="3"/>
        <v>0</v>
      </c>
      <c r="V13" s="61">
        <f t="shared" si="3"/>
        <v>0</v>
      </c>
      <c r="W13" s="61">
        <f t="shared" si="4"/>
        <v>0</v>
      </c>
      <c r="X13" s="61">
        <f t="shared" si="4"/>
        <v>0</v>
      </c>
      <c r="Y13" s="61">
        <f t="shared" si="4"/>
        <v>0</v>
      </c>
      <c r="Z13" s="61">
        <f t="shared" si="4"/>
        <v>0</v>
      </c>
      <c r="AA13" s="61">
        <f t="shared" si="4"/>
        <v>0</v>
      </c>
      <c r="AB13" s="61">
        <f t="shared" si="4"/>
        <v>0</v>
      </c>
      <c r="AC13" s="61">
        <f t="shared" si="4"/>
        <v>0</v>
      </c>
      <c r="AD13" s="61">
        <f t="shared" si="6"/>
        <v>0</v>
      </c>
      <c r="AE13" s="61">
        <f t="shared" si="6"/>
        <v>0</v>
      </c>
      <c r="AF13" s="61">
        <f t="shared" si="8"/>
        <v>0</v>
      </c>
      <c r="AG13" s="61">
        <f t="shared" si="10"/>
        <v>0</v>
      </c>
      <c r="AH13" s="61">
        <f t="shared" ref="AH13:AH37" si="12">IF(AND(AH$2&gt;=$B13,AH$2&lt;$C13),$E13,0)</f>
        <v>0</v>
      </c>
      <c r="AI13" s="61"/>
      <c r="AJ13" s="61">
        <f t="shared" ref="AJ13:AP13" si="13">IF(AND(AJ$2&gt;=$B13,AJ$2&lt;$C13),$E13,0)</f>
        <v>0</v>
      </c>
      <c r="AK13" s="61">
        <f t="shared" si="13"/>
        <v>0</v>
      </c>
      <c r="AL13" s="61">
        <f t="shared" si="13"/>
        <v>0</v>
      </c>
      <c r="AM13" s="61">
        <f t="shared" si="13"/>
        <v>0</v>
      </c>
      <c r="AN13" s="61">
        <f t="shared" si="13"/>
        <v>0</v>
      </c>
      <c r="AO13" s="61">
        <f t="shared" si="13"/>
        <v>0</v>
      </c>
      <c r="AP13" s="61">
        <f t="shared" si="13"/>
        <v>0</v>
      </c>
      <c r="AQ13" s="61"/>
    </row>
    <row r="14" spans="2:43" x14ac:dyDescent="0.25">
      <c r="B14" s="54">
        <v>0.41666666666424135</v>
      </c>
      <c r="C14" s="54">
        <v>0.77083333338669202</v>
      </c>
      <c r="D14" s="60"/>
      <c r="E14" s="91">
        <f>SUMMARY!P12</f>
        <v>0</v>
      </c>
      <c r="F14" s="91"/>
      <c r="G14" s="91"/>
      <c r="H14" s="92">
        <f t="shared" si="2"/>
        <v>0</v>
      </c>
      <c r="I14" s="180">
        <f>S$6-S$7</f>
        <v>0</v>
      </c>
      <c r="M14" s="61">
        <f t="shared" si="3"/>
        <v>0</v>
      </c>
      <c r="N14" s="61">
        <f t="shared" si="3"/>
        <v>0</v>
      </c>
      <c r="O14" s="61">
        <f t="shared" si="3"/>
        <v>0</v>
      </c>
      <c r="P14" s="61">
        <f t="shared" si="3"/>
        <v>0</v>
      </c>
      <c r="Q14" s="61">
        <f t="shared" si="3"/>
        <v>0</v>
      </c>
      <c r="R14" s="61">
        <f t="shared" si="3"/>
        <v>0</v>
      </c>
      <c r="S14" s="61">
        <f t="shared" si="3"/>
        <v>0</v>
      </c>
      <c r="T14" s="61">
        <f t="shared" si="3"/>
        <v>0</v>
      </c>
      <c r="U14" s="61">
        <f t="shared" si="3"/>
        <v>0</v>
      </c>
      <c r="V14" s="61">
        <f t="shared" si="3"/>
        <v>0</v>
      </c>
      <c r="W14" s="61">
        <f t="shared" si="4"/>
        <v>0</v>
      </c>
      <c r="X14" s="61">
        <f t="shared" si="4"/>
        <v>0</v>
      </c>
      <c r="Y14" s="61">
        <f t="shared" si="4"/>
        <v>0</v>
      </c>
      <c r="Z14" s="61">
        <f t="shared" si="4"/>
        <v>0</v>
      </c>
      <c r="AA14" s="61">
        <f t="shared" si="4"/>
        <v>0</v>
      </c>
      <c r="AB14" s="61">
        <f t="shared" si="4"/>
        <v>0</v>
      </c>
      <c r="AC14" s="61">
        <f t="shared" si="4"/>
        <v>0</v>
      </c>
      <c r="AD14" s="61">
        <f t="shared" si="6"/>
        <v>0</v>
      </c>
      <c r="AE14" s="61">
        <f t="shared" si="6"/>
        <v>0</v>
      </c>
      <c r="AF14" s="61">
        <f t="shared" si="8"/>
        <v>0</v>
      </c>
      <c r="AG14" s="61">
        <f t="shared" si="10"/>
        <v>0</v>
      </c>
      <c r="AH14" s="61">
        <f t="shared" si="12"/>
        <v>0</v>
      </c>
      <c r="AI14" s="61">
        <f t="shared" ref="AI14:AI37" si="14">IF(AND(AI$2&gt;=$B14,AI$2&lt;$C14),$E14,0)</f>
        <v>0</v>
      </c>
      <c r="AJ14" s="61"/>
      <c r="AK14" s="61">
        <f t="shared" ref="AK14:AP14" si="15">IF(AND(AK$2&gt;=$B14,AK$2&lt;$C14),$E14,0)</f>
        <v>0</v>
      </c>
      <c r="AL14" s="61">
        <f t="shared" si="15"/>
        <v>0</v>
      </c>
      <c r="AM14" s="61">
        <f t="shared" si="15"/>
        <v>0</v>
      </c>
      <c r="AN14" s="61">
        <f t="shared" si="15"/>
        <v>0</v>
      </c>
      <c r="AO14" s="61">
        <f t="shared" si="15"/>
        <v>0</v>
      </c>
      <c r="AP14" s="61">
        <f t="shared" si="15"/>
        <v>0</v>
      </c>
      <c r="AQ14" s="61"/>
    </row>
    <row r="15" spans="2:43" x14ac:dyDescent="0.25">
      <c r="B15" s="54">
        <v>0.4375</v>
      </c>
      <c r="C15" s="54">
        <v>0.79166666672245101</v>
      </c>
      <c r="D15" s="60"/>
      <c r="E15" s="91">
        <f>SUMMARY!P13</f>
        <v>0</v>
      </c>
      <c r="F15" s="91"/>
      <c r="G15" s="91"/>
      <c r="H15" s="92">
        <f t="shared" si="2"/>
        <v>0</v>
      </c>
      <c r="I15" s="180">
        <f>T$6-T$7</f>
        <v>0</v>
      </c>
      <c r="M15" s="61">
        <f t="shared" si="3"/>
        <v>0</v>
      </c>
      <c r="N15" s="61">
        <f t="shared" si="3"/>
        <v>0</v>
      </c>
      <c r="O15" s="61">
        <f t="shared" si="3"/>
        <v>0</v>
      </c>
      <c r="P15" s="61">
        <f t="shared" si="3"/>
        <v>0</v>
      </c>
      <c r="Q15" s="61">
        <f t="shared" si="3"/>
        <v>0</v>
      </c>
      <c r="R15" s="61">
        <f t="shared" si="3"/>
        <v>0</v>
      </c>
      <c r="S15" s="61">
        <f t="shared" si="3"/>
        <v>0</v>
      </c>
      <c r="T15" s="61">
        <f t="shared" si="3"/>
        <v>0</v>
      </c>
      <c r="U15" s="61">
        <f t="shared" si="3"/>
        <v>0</v>
      </c>
      <c r="V15" s="61">
        <f t="shared" si="3"/>
        <v>0</v>
      </c>
      <c r="W15" s="61">
        <f t="shared" si="4"/>
        <v>0</v>
      </c>
      <c r="X15" s="61">
        <f t="shared" si="4"/>
        <v>0</v>
      </c>
      <c r="Y15" s="61">
        <f t="shared" si="4"/>
        <v>0</v>
      </c>
      <c r="Z15" s="61">
        <f t="shared" si="4"/>
        <v>0</v>
      </c>
      <c r="AA15" s="61">
        <f t="shared" si="4"/>
        <v>0</v>
      </c>
      <c r="AB15" s="61">
        <f t="shared" si="4"/>
        <v>0</v>
      </c>
      <c r="AC15" s="61">
        <f t="shared" si="4"/>
        <v>0</v>
      </c>
      <c r="AD15" s="61">
        <f t="shared" si="6"/>
        <v>0</v>
      </c>
      <c r="AE15" s="61">
        <f t="shared" si="6"/>
        <v>0</v>
      </c>
      <c r="AF15" s="61">
        <f t="shared" si="8"/>
        <v>0</v>
      </c>
      <c r="AG15" s="61">
        <f t="shared" si="10"/>
        <v>0</v>
      </c>
      <c r="AH15" s="61">
        <f t="shared" si="12"/>
        <v>0</v>
      </c>
      <c r="AI15" s="61">
        <f t="shared" si="14"/>
        <v>0</v>
      </c>
      <c r="AJ15" s="61">
        <f t="shared" ref="AJ15:AJ37" si="16">IF(AND(AJ$2&gt;=$B15,AJ$2&lt;$C15),$E15,0)</f>
        <v>0</v>
      </c>
      <c r="AK15" s="61"/>
      <c r="AL15" s="61">
        <f>IF(AND(AL$2&gt;=$B15,AL$2&lt;$C15),$E15,0)</f>
        <v>0</v>
      </c>
      <c r="AM15" s="61">
        <f>IF(AND(AM$2&gt;=$B15,AM$2&lt;$C15),$E15,0)</f>
        <v>0</v>
      </c>
      <c r="AN15" s="61">
        <f>IF(AND(AN$2&gt;=$B15,AN$2&lt;$C15),$E15,0)</f>
        <v>0</v>
      </c>
      <c r="AO15" s="61">
        <f>IF(AND(AO$2&gt;=$B15,AO$2&lt;$C15),$E15,0)</f>
        <v>0</v>
      </c>
      <c r="AP15" s="61">
        <f>IF(AND(AP$2&gt;=$B15,AP$2&lt;$C15),$E15,0)</f>
        <v>0</v>
      </c>
      <c r="AQ15" s="61"/>
    </row>
    <row r="16" spans="2:43" x14ac:dyDescent="0.25">
      <c r="B16" s="54">
        <v>0.45833333333575865</v>
      </c>
      <c r="C16" s="54">
        <v>0.81250000005820999</v>
      </c>
      <c r="D16" s="60"/>
      <c r="E16" s="91">
        <f>SUMMARY!P14</f>
        <v>0</v>
      </c>
      <c r="F16" s="91"/>
      <c r="G16" s="91"/>
      <c r="H16" s="92">
        <f t="shared" si="2"/>
        <v>0</v>
      </c>
      <c r="I16" s="180">
        <f>U$6-U$7</f>
        <v>0</v>
      </c>
      <c r="M16" s="61">
        <f t="shared" si="3"/>
        <v>0</v>
      </c>
      <c r="N16" s="61">
        <f t="shared" si="3"/>
        <v>0</v>
      </c>
      <c r="O16" s="61">
        <f t="shared" si="3"/>
        <v>0</v>
      </c>
      <c r="P16" s="61">
        <f t="shared" si="3"/>
        <v>0</v>
      </c>
      <c r="Q16" s="61">
        <f t="shared" si="3"/>
        <v>0</v>
      </c>
      <c r="R16" s="61">
        <f t="shared" si="3"/>
        <v>0</v>
      </c>
      <c r="S16" s="61">
        <f t="shared" si="3"/>
        <v>0</v>
      </c>
      <c r="T16" s="61">
        <f t="shared" si="3"/>
        <v>0</v>
      </c>
      <c r="U16" s="61">
        <f t="shared" si="3"/>
        <v>0</v>
      </c>
      <c r="V16" s="61">
        <f t="shared" si="3"/>
        <v>0</v>
      </c>
      <c r="W16" s="61">
        <f t="shared" si="4"/>
        <v>0</v>
      </c>
      <c r="X16" s="61">
        <f t="shared" si="4"/>
        <v>0</v>
      </c>
      <c r="Y16" s="61">
        <f t="shared" si="4"/>
        <v>0</v>
      </c>
      <c r="Z16" s="61">
        <f t="shared" si="4"/>
        <v>0</v>
      </c>
      <c r="AA16" s="61">
        <f t="shared" si="4"/>
        <v>0</v>
      </c>
      <c r="AB16" s="61">
        <f t="shared" si="4"/>
        <v>0</v>
      </c>
      <c r="AC16" s="61">
        <f t="shared" si="4"/>
        <v>0</v>
      </c>
      <c r="AD16" s="61">
        <f t="shared" si="6"/>
        <v>0</v>
      </c>
      <c r="AE16" s="61">
        <f t="shared" si="6"/>
        <v>0</v>
      </c>
      <c r="AF16" s="61">
        <f t="shared" si="8"/>
        <v>0</v>
      </c>
      <c r="AG16" s="61">
        <f t="shared" si="10"/>
        <v>0</v>
      </c>
      <c r="AH16" s="61">
        <f t="shared" si="12"/>
        <v>0</v>
      </c>
      <c r="AI16" s="61">
        <f t="shared" si="14"/>
        <v>0</v>
      </c>
      <c r="AJ16" s="61">
        <f t="shared" si="16"/>
        <v>0</v>
      </c>
      <c r="AK16" s="61">
        <f t="shared" ref="AK16:AK37" si="17">IF(AND(AK$2&gt;=$B16,AK$2&lt;$C16),$E16,0)</f>
        <v>0</v>
      </c>
      <c r="AL16" s="61"/>
      <c r="AM16" s="61">
        <f>IF(AND(AM$2&gt;=$B16,AM$2&lt;$C16),$E16,0)</f>
        <v>0</v>
      </c>
      <c r="AN16" s="61">
        <f>IF(AND(AN$2&gt;=$B16,AN$2&lt;$C16),$E16,0)</f>
        <v>0</v>
      </c>
      <c r="AO16" s="61">
        <f>IF(AND(AO$2&gt;=$B16,AO$2&lt;$C16),$E16,0)</f>
        <v>0</v>
      </c>
      <c r="AP16" s="61">
        <f>IF(AND(AP$2&gt;=$B16,AP$2&lt;$C16),$E16,0)</f>
        <v>0</v>
      </c>
      <c r="AQ16" s="61"/>
    </row>
    <row r="17" spans="2:43" x14ac:dyDescent="0.25">
      <c r="B17" s="54">
        <v>0.47916666666424135</v>
      </c>
      <c r="C17" s="54">
        <v>0.83333333339396898</v>
      </c>
      <c r="D17" s="60"/>
      <c r="E17" s="91">
        <f>SUMMARY!P15</f>
        <v>0</v>
      </c>
      <c r="G17" s="91"/>
      <c r="H17" s="92">
        <f t="shared" si="2"/>
        <v>0</v>
      </c>
      <c r="I17" s="180">
        <f>V$6-V$7</f>
        <v>0</v>
      </c>
      <c r="M17" s="61">
        <f t="shared" si="3"/>
        <v>0</v>
      </c>
      <c r="N17" s="61">
        <f t="shared" si="3"/>
        <v>0</v>
      </c>
      <c r="O17" s="61">
        <f t="shared" si="3"/>
        <v>0</v>
      </c>
      <c r="P17" s="61">
        <f t="shared" si="3"/>
        <v>0</v>
      </c>
      <c r="Q17" s="61">
        <f t="shared" si="3"/>
        <v>0</v>
      </c>
      <c r="R17" s="61">
        <f t="shared" si="3"/>
        <v>0</v>
      </c>
      <c r="S17" s="61">
        <f t="shared" si="3"/>
        <v>0</v>
      </c>
      <c r="T17" s="61">
        <f t="shared" si="3"/>
        <v>0</v>
      </c>
      <c r="U17" s="61">
        <f t="shared" si="3"/>
        <v>0</v>
      </c>
      <c r="V17" s="61">
        <f t="shared" si="3"/>
        <v>0</v>
      </c>
      <c r="W17" s="61">
        <f t="shared" si="4"/>
        <v>0</v>
      </c>
      <c r="X17" s="61">
        <f t="shared" si="4"/>
        <v>0</v>
      </c>
      <c r="Y17" s="61">
        <f t="shared" si="4"/>
        <v>0</v>
      </c>
      <c r="Z17" s="61">
        <f t="shared" si="4"/>
        <v>0</v>
      </c>
      <c r="AA17" s="61">
        <f t="shared" si="4"/>
        <v>0</v>
      </c>
      <c r="AB17" s="61">
        <f t="shared" si="4"/>
        <v>0</v>
      </c>
      <c r="AC17" s="61">
        <f t="shared" si="4"/>
        <v>0</v>
      </c>
      <c r="AD17" s="61">
        <f t="shared" si="6"/>
        <v>0</v>
      </c>
      <c r="AE17" s="61">
        <f t="shared" si="6"/>
        <v>0</v>
      </c>
      <c r="AF17" s="61">
        <f t="shared" si="8"/>
        <v>0</v>
      </c>
      <c r="AG17" s="61">
        <f t="shared" si="10"/>
        <v>0</v>
      </c>
      <c r="AH17" s="61">
        <f t="shared" si="12"/>
        <v>0</v>
      </c>
      <c r="AI17" s="61">
        <f t="shared" si="14"/>
        <v>0</v>
      </c>
      <c r="AJ17" s="61">
        <f t="shared" si="16"/>
        <v>0</v>
      </c>
      <c r="AK17" s="61">
        <f t="shared" si="17"/>
        <v>0</v>
      </c>
      <c r="AL17" s="61">
        <f t="shared" ref="AL17:AL37" si="18">IF(AND(AL$2&gt;=$B17,AL$2&lt;$C17),$E17,0)</f>
        <v>0</v>
      </c>
      <c r="AM17" s="61"/>
      <c r="AN17" s="61">
        <f>IF(AND(AN$2&gt;=$B17,AN$2&lt;$C17),$E17,0)</f>
        <v>0</v>
      </c>
      <c r="AO17" s="61">
        <f>IF(AND(AO$2&gt;=$B17,AO$2&lt;$C17),$E17,0)</f>
        <v>0</v>
      </c>
      <c r="AP17" s="61">
        <f>IF(AND(AP$2&gt;=$B17,AP$2&lt;$C17),$E17,0)</f>
        <v>0</v>
      </c>
      <c r="AQ17" s="61"/>
    </row>
    <row r="18" spans="2:43" x14ac:dyDescent="0.25">
      <c r="B18" s="54">
        <v>0.5</v>
      </c>
      <c r="C18" s="54">
        <v>0.85416666672972796</v>
      </c>
      <c r="D18" s="60"/>
      <c r="E18" s="91">
        <f>SUMMARY!P16</f>
        <v>0</v>
      </c>
      <c r="G18" s="91"/>
      <c r="H18" s="92">
        <f t="shared" si="2"/>
        <v>0</v>
      </c>
      <c r="I18" s="180">
        <f>W$6-W$7</f>
        <v>0</v>
      </c>
      <c r="M18" s="61">
        <f t="shared" ref="M18:V27" si="19">IF(AND(M$2&gt;=$B18,M$2&lt;$C18),$E18,0)</f>
        <v>0</v>
      </c>
      <c r="N18" s="61">
        <f t="shared" si="19"/>
        <v>0</v>
      </c>
      <c r="O18" s="61">
        <f t="shared" si="19"/>
        <v>0</v>
      </c>
      <c r="P18" s="61">
        <f t="shared" si="19"/>
        <v>0</v>
      </c>
      <c r="Q18" s="61">
        <f t="shared" si="19"/>
        <v>0</v>
      </c>
      <c r="R18" s="61">
        <f t="shared" si="19"/>
        <v>0</v>
      </c>
      <c r="S18" s="61">
        <f t="shared" si="19"/>
        <v>0</v>
      </c>
      <c r="T18" s="61">
        <f t="shared" si="19"/>
        <v>0</v>
      </c>
      <c r="U18" s="61">
        <f t="shared" si="19"/>
        <v>0</v>
      </c>
      <c r="V18" s="61">
        <f t="shared" si="19"/>
        <v>0</v>
      </c>
      <c r="W18" s="61">
        <f t="shared" ref="W18:AC27" si="20">IF(AND(W$2&gt;=$B18,W$2&lt;$C18),$E18,0)</f>
        <v>0</v>
      </c>
      <c r="X18" s="61">
        <f t="shared" si="20"/>
        <v>0</v>
      </c>
      <c r="Y18" s="61">
        <f t="shared" si="20"/>
        <v>0</v>
      </c>
      <c r="Z18" s="61">
        <f t="shared" si="20"/>
        <v>0</v>
      </c>
      <c r="AA18" s="61">
        <f t="shared" si="20"/>
        <v>0</v>
      </c>
      <c r="AB18" s="61">
        <f t="shared" si="20"/>
        <v>0</v>
      </c>
      <c r="AC18" s="61">
        <f t="shared" si="20"/>
        <v>0</v>
      </c>
      <c r="AD18" s="61">
        <f t="shared" si="6"/>
        <v>0</v>
      </c>
      <c r="AE18" s="61">
        <f t="shared" si="6"/>
        <v>0</v>
      </c>
      <c r="AF18" s="61">
        <f t="shared" si="8"/>
        <v>0</v>
      </c>
      <c r="AG18" s="61">
        <f t="shared" si="10"/>
        <v>0</v>
      </c>
      <c r="AH18" s="61">
        <f t="shared" si="12"/>
        <v>0</v>
      </c>
      <c r="AI18" s="61">
        <f t="shared" si="14"/>
        <v>0</v>
      </c>
      <c r="AJ18" s="61">
        <f t="shared" si="16"/>
        <v>0</v>
      </c>
      <c r="AK18" s="61">
        <f t="shared" si="17"/>
        <v>0</v>
      </c>
      <c r="AL18" s="61">
        <f t="shared" si="18"/>
        <v>0</v>
      </c>
      <c r="AM18" s="61">
        <f t="shared" ref="AM18:AM37" si="21">IF(AND(AM$2&gt;=$B18,AM$2&lt;$C18),$E18,0)</f>
        <v>0</v>
      </c>
      <c r="AN18" s="61"/>
      <c r="AO18" s="61">
        <f>IF(AND(AO$2&gt;=$B18,AO$2&lt;$C18),$E18,0)</f>
        <v>0</v>
      </c>
      <c r="AP18" s="61">
        <f>IF(AND(AP$2&gt;=$B18,AP$2&lt;$C18),$E18,0)</f>
        <v>0</v>
      </c>
      <c r="AQ18" s="61"/>
    </row>
    <row r="19" spans="2:43" x14ac:dyDescent="0.25">
      <c r="B19" s="54">
        <v>0.52083333333575865</v>
      </c>
      <c r="C19" s="54">
        <v>0.87500000006548695</v>
      </c>
      <c r="D19" s="60"/>
      <c r="E19" s="91">
        <f>SUMMARY!P17</f>
        <v>0</v>
      </c>
      <c r="G19" s="91"/>
      <c r="H19" s="92">
        <f t="shared" si="2"/>
        <v>0</v>
      </c>
      <c r="I19" s="180">
        <f>X$6-X$7</f>
        <v>0</v>
      </c>
      <c r="M19" s="61">
        <f t="shared" si="19"/>
        <v>0</v>
      </c>
      <c r="N19" s="61">
        <f t="shared" si="19"/>
        <v>0</v>
      </c>
      <c r="O19" s="61">
        <f t="shared" si="19"/>
        <v>0</v>
      </c>
      <c r="P19" s="61">
        <f t="shared" si="19"/>
        <v>0</v>
      </c>
      <c r="Q19" s="61">
        <f t="shared" si="19"/>
        <v>0</v>
      </c>
      <c r="R19" s="61">
        <f t="shared" si="19"/>
        <v>0</v>
      </c>
      <c r="S19" s="61">
        <f t="shared" si="19"/>
        <v>0</v>
      </c>
      <c r="T19" s="61">
        <f t="shared" si="19"/>
        <v>0</v>
      </c>
      <c r="U19" s="61">
        <f t="shared" si="19"/>
        <v>0</v>
      </c>
      <c r="V19" s="61">
        <f t="shared" si="19"/>
        <v>0</v>
      </c>
      <c r="W19" s="61">
        <f t="shared" si="20"/>
        <v>0</v>
      </c>
      <c r="X19" s="61">
        <f t="shared" si="20"/>
        <v>0</v>
      </c>
      <c r="Y19" s="61">
        <f t="shared" si="20"/>
        <v>0</v>
      </c>
      <c r="Z19" s="61">
        <f t="shared" si="20"/>
        <v>0</v>
      </c>
      <c r="AA19" s="61">
        <f t="shared" si="20"/>
        <v>0</v>
      </c>
      <c r="AB19" s="61">
        <f t="shared" si="20"/>
        <v>0</v>
      </c>
      <c r="AC19" s="61">
        <f t="shared" si="20"/>
        <v>0</v>
      </c>
      <c r="AD19" s="61">
        <f t="shared" si="6"/>
        <v>0</v>
      </c>
      <c r="AE19" s="61">
        <f t="shared" si="6"/>
        <v>0</v>
      </c>
      <c r="AF19" s="61">
        <f t="shared" si="8"/>
        <v>0</v>
      </c>
      <c r="AG19" s="61">
        <f t="shared" si="10"/>
        <v>0</v>
      </c>
      <c r="AH19" s="61">
        <f t="shared" si="12"/>
        <v>0</v>
      </c>
      <c r="AI19" s="61">
        <f t="shared" si="14"/>
        <v>0</v>
      </c>
      <c r="AJ19" s="61">
        <f t="shared" si="16"/>
        <v>0</v>
      </c>
      <c r="AK19" s="61">
        <f t="shared" si="17"/>
        <v>0</v>
      </c>
      <c r="AL19" s="61">
        <f t="shared" si="18"/>
        <v>0</v>
      </c>
      <c r="AM19" s="61">
        <f t="shared" si="21"/>
        <v>0</v>
      </c>
      <c r="AN19" s="61">
        <f t="shared" ref="AN19:AN37" si="22">IF(AND(AN$2&gt;=$B19,AN$2&lt;$C19),$E19,0)</f>
        <v>0</v>
      </c>
      <c r="AO19" s="61"/>
      <c r="AP19" s="61">
        <f>IF(AND(AP$2&gt;=$B19,AP$2&lt;$C19),$E19,0)</f>
        <v>0</v>
      </c>
      <c r="AQ19" s="61"/>
    </row>
    <row r="20" spans="2:43" x14ac:dyDescent="0.25">
      <c r="B20" s="54">
        <v>0.54166666666424135</v>
      </c>
      <c r="C20" s="54">
        <v>0.89583333340124605</v>
      </c>
      <c r="D20" s="60"/>
      <c r="E20" s="91">
        <f>SUMMARY!P18</f>
        <v>0</v>
      </c>
      <c r="G20" s="91"/>
      <c r="H20" s="92">
        <f t="shared" si="2"/>
        <v>0</v>
      </c>
      <c r="I20" s="180">
        <f>Y$6-Y$7</f>
        <v>0</v>
      </c>
      <c r="M20" s="61">
        <f t="shared" si="19"/>
        <v>0</v>
      </c>
      <c r="N20" s="61">
        <f t="shared" si="19"/>
        <v>0</v>
      </c>
      <c r="O20" s="61">
        <f t="shared" si="19"/>
        <v>0</v>
      </c>
      <c r="P20" s="61">
        <f t="shared" si="19"/>
        <v>0</v>
      </c>
      <c r="Q20" s="61">
        <f t="shared" si="19"/>
        <v>0</v>
      </c>
      <c r="R20" s="61">
        <f t="shared" si="19"/>
        <v>0</v>
      </c>
      <c r="S20" s="61">
        <f t="shared" si="19"/>
        <v>0</v>
      </c>
      <c r="T20" s="61">
        <f t="shared" si="19"/>
        <v>0</v>
      </c>
      <c r="U20" s="61">
        <f t="shared" si="19"/>
        <v>0</v>
      </c>
      <c r="V20" s="61">
        <f t="shared" si="19"/>
        <v>0</v>
      </c>
      <c r="W20" s="61">
        <f t="shared" si="20"/>
        <v>0</v>
      </c>
      <c r="X20" s="61">
        <f t="shared" si="20"/>
        <v>0</v>
      </c>
      <c r="Y20" s="61">
        <f t="shared" si="20"/>
        <v>0</v>
      </c>
      <c r="Z20" s="61">
        <f t="shared" si="20"/>
        <v>0</v>
      </c>
      <c r="AA20" s="61">
        <f t="shared" si="20"/>
        <v>0</v>
      </c>
      <c r="AB20" s="61">
        <f t="shared" si="20"/>
        <v>0</v>
      </c>
      <c r="AC20" s="61">
        <f t="shared" si="20"/>
        <v>0</v>
      </c>
      <c r="AD20" s="61">
        <f t="shared" si="6"/>
        <v>0</v>
      </c>
      <c r="AE20" s="61">
        <f t="shared" si="6"/>
        <v>0</v>
      </c>
      <c r="AF20" s="61">
        <f t="shared" si="8"/>
        <v>0</v>
      </c>
      <c r="AG20" s="61">
        <f t="shared" si="10"/>
        <v>0</v>
      </c>
      <c r="AH20" s="61">
        <f t="shared" si="12"/>
        <v>0</v>
      </c>
      <c r="AI20" s="61">
        <f t="shared" si="14"/>
        <v>0</v>
      </c>
      <c r="AJ20" s="61">
        <f t="shared" si="16"/>
        <v>0</v>
      </c>
      <c r="AK20" s="61">
        <f t="shared" si="17"/>
        <v>0</v>
      </c>
      <c r="AL20" s="61">
        <f t="shared" si="18"/>
        <v>0</v>
      </c>
      <c r="AM20" s="61">
        <f t="shared" si="21"/>
        <v>0</v>
      </c>
      <c r="AN20" s="61">
        <f t="shared" si="22"/>
        <v>0</v>
      </c>
      <c r="AO20" s="61">
        <f t="shared" ref="AO20:AO37" si="23">IF(AND(AO$2&gt;=$B20,AO$2&lt;$C20),$E20,0)</f>
        <v>0</v>
      </c>
      <c r="AP20" s="61"/>
      <c r="AQ20" s="61"/>
    </row>
    <row r="21" spans="2:43" x14ac:dyDescent="0.25">
      <c r="B21" s="54">
        <v>0.5625</v>
      </c>
      <c r="C21" s="54">
        <v>0.91666666673700503</v>
      </c>
      <c r="D21" s="60"/>
      <c r="E21" s="91">
        <f>SUMMARY!P19</f>
        <v>0</v>
      </c>
      <c r="G21" s="91"/>
      <c r="H21" s="92">
        <f t="shared" si="2"/>
        <v>0</v>
      </c>
      <c r="I21" s="180">
        <f>Z$6-Z$7</f>
        <v>0</v>
      </c>
      <c r="M21" s="61">
        <f t="shared" si="19"/>
        <v>0</v>
      </c>
      <c r="N21" s="61">
        <f t="shared" si="19"/>
        <v>0</v>
      </c>
      <c r="O21" s="61">
        <f t="shared" si="19"/>
        <v>0</v>
      </c>
      <c r="P21" s="61">
        <f t="shared" si="19"/>
        <v>0</v>
      </c>
      <c r="Q21" s="61">
        <f t="shared" si="19"/>
        <v>0</v>
      </c>
      <c r="R21" s="61">
        <f t="shared" si="19"/>
        <v>0</v>
      </c>
      <c r="S21" s="61">
        <f t="shared" si="19"/>
        <v>0</v>
      </c>
      <c r="T21" s="61">
        <f t="shared" si="19"/>
        <v>0</v>
      </c>
      <c r="U21" s="61">
        <f t="shared" si="19"/>
        <v>0</v>
      </c>
      <c r="V21" s="61">
        <f t="shared" si="19"/>
        <v>0</v>
      </c>
      <c r="W21" s="61">
        <f t="shared" si="20"/>
        <v>0</v>
      </c>
      <c r="X21" s="61">
        <f t="shared" si="20"/>
        <v>0</v>
      </c>
      <c r="Y21" s="61">
        <f t="shared" si="20"/>
        <v>0</v>
      </c>
      <c r="Z21" s="61">
        <f t="shared" si="20"/>
        <v>0</v>
      </c>
      <c r="AA21" s="61">
        <f t="shared" si="20"/>
        <v>0</v>
      </c>
      <c r="AB21" s="61">
        <f t="shared" si="20"/>
        <v>0</v>
      </c>
      <c r="AC21" s="61">
        <f t="shared" si="20"/>
        <v>0</v>
      </c>
      <c r="AD21" s="61">
        <f t="shared" si="6"/>
        <v>0</v>
      </c>
      <c r="AE21" s="61">
        <f t="shared" si="6"/>
        <v>0</v>
      </c>
      <c r="AF21" s="61">
        <f t="shared" si="8"/>
        <v>0</v>
      </c>
      <c r="AG21" s="61">
        <f t="shared" si="10"/>
        <v>0</v>
      </c>
      <c r="AH21" s="61">
        <f t="shared" si="12"/>
        <v>0</v>
      </c>
      <c r="AI21" s="61">
        <f t="shared" si="14"/>
        <v>0</v>
      </c>
      <c r="AJ21" s="61">
        <f t="shared" si="16"/>
        <v>0</v>
      </c>
      <c r="AK21" s="61">
        <f t="shared" si="17"/>
        <v>0</v>
      </c>
      <c r="AL21" s="61">
        <f t="shared" si="18"/>
        <v>0</v>
      </c>
      <c r="AM21" s="61">
        <f t="shared" si="21"/>
        <v>0</v>
      </c>
      <c r="AN21" s="61">
        <f t="shared" si="22"/>
        <v>0</v>
      </c>
      <c r="AO21" s="61">
        <f t="shared" si="23"/>
        <v>0</v>
      </c>
      <c r="AP21" s="61">
        <f t="shared" ref="AP21:AP37" si="24">IF(AND(AP$2&gt;=$B21,AP$2&lt;$C21),$E21,0)</f>
        <v>0</v>
      </c>
      <c r="AQ21" s="61"/>
    </row>
    <row r="22" spans="2:43" x14ac:dyDescent="0.25">
      <c r="B22" s="54">
        <v>0.58333333333575899</v>
      </c>
      <c r="C22" s="54">
        <v>0.93750000007276402</v>
      </c>
      <c r="D22" s="60"/>
      <c r="E22" s="91"/>
      <c r="G22" s="91"/>
      <c r="H22" s="92">
        <f t="shared" si="2"/>
        <v>0</v>
      </c>
      <c r="I22" s="180">
        <f>AA$6-AA$7</f>
        <v>0</v>
      </c>
      <c r="M22" s="61">
        <f t="shared" si="19"/>
        <v>0</v>
      </c>
      <c r="N22" s="61">
        <f t="shared" si="19"/>
        <v>0</v>
      </c>
      <c r="O22" s="61">
        <f t="shared" si="19"/>
        <v>0</v>
      </c>
      <c r="P22" s="61">
        <f t="shared" si="19"/>
        <v>0</v>
      </c>
      <c r="Q22" s="61">
        <f t="shared" si="19"/>
        <v>0</v>
      </c>
      <c r="R22" s="61">
        <f t="shared" si="19"/>
        <v>0</v>
      </c>
      <c r="S22" s="61">
        <f t="shared" si="19"/>
        <v>0</v>
      </c>
      <c r="T22" s="61">
        <f t="shared" si="19"/>
        <v>0</v>
      </c>
      <c r="U22" s="61">
        <f t="shared" si="19"/>
        <v>0</v>
      </c>
      <c r="V22" s="61">
        <f t="shared" si="19"/>
        <v>0</v>
      </c>
      <c r="W22" s="61">
        <f t="shared" si="20"/>
        <v>0</v>
      </c>
      <c r="X22" s="61">
        <f t="shared" si="20"/>
        <v>0</v>
      </c>
      <c r="Y22" s="61">
        <f t="shared" si="20"/>
        <v>0</v>
      </c>
      <c r="Z22" s="61">
        <f t="shared" si="20"/>
        <v>0</v>
      </c>
      <c r="AA22" s="61">
        <f t="shared" si="20"/>
        <v>0</v>
      </c>
      <c r="AB22" s="61">
        <f t="shared" si="20"/>
        <v>0</v>
      </c>
      <c r="AC22" s="61">
        <f t="shared" si="20"/>
        <v>0</v>
      </c>
      <c r="AD22" s="61">
        <f t="shared" si="6"/>
        <v>0</v>
      </c>
      <c r="AE22" s="61">
        <f t="shared" si="6"/>
        <v>0</v>
      </c>
      <c r="AF22" s="61">
        <f t="shared" si="8"/>
        <v>0</v>
      </c>
      <c r="AG22" s="61">
        <f t="shared" si="10"/>
        <v>0</v>
      </c>
      <c r="AH22" s="61">
        <f t="shared" si="12"/>
        <v>0</v>
      </c>
      <c r="AI22" s="61">
        <f t="shared" si="14"/>
        <v>0</v>
      </c>
      <c r="AJ22" s="61">
        <f t="shared" si="16"/>
        <v>0</v>
      </c>
      <c r="AK22" s="61">
        <f t="shared" si="17"/>
        <v>0</v>
      </c>
      <c r="AL22" s="61">
        <f t="shared" si="18"/>
        <v>0</v>
      </c>
      <c r="AM22" s="61">
        <f t="shared" si="21"/>
        <v>0</v>
      </c>
      <c r="AN22" s="61">
        <f t="shared" si="22"/>
        <v>0</v>
      </c>
      <c r="AO22" s="61">
        <f t="shared" si="23"/>
        <v>0</v>
      </c>
      <c r="AP22" s="61">
        <f t="shared" si="24"/>
        <v>0</v>
      </c>
      <c r="AQ22" s="61"/>
    </row>
    <row r="23" spans="2:43" x14ac:dyDescent="0.25">
      <c r="B23" s="54">
        <v>0.60416666667151697</v>
      </c>
      <c r="C23" s="54">
        <v>0.958333333408523</v>
      </c>
      <c r="D23" s="60"/>
      <c r="E23" s="91"/>
      <c r="G23" s="91"/>
      <c r="H23" s="92">
        <f t="shared" si="2"/>
        <v>0</v>
      </c>
      <c r="I23" s="180">
        <f>AB$6-AB$7</f>
        <v>0</v>
      </c>
      <c r="M23" s="61">
        <f t="shared" si="19"/>
        <v>0</v>
      </c>
      <c r="N23" s="61">
        <f t="shared" si="19"/>
        <v>0</v>
      </c>
      <c r="O23" s="61">
        <f t="shared" si="19"/>
        <v>0</v>
      </c>
      <c r="P23" s="61">
        <f t="shared" si="19"/>
        <v>0</v>
      </c>
      <c r="Q23" s="61">
        <f t="shared" si="19"/>
        <v>0</v>
      </c>
      <c r="R23" s="61">
        <f t="shared" si="19"/>
        <v>0</v>
      </c>
      <c r="S23" s="61">
        <f t="shared" si="19"/>
        <v>0</v>
      </c>
      <c r="T23" s="61">
        <f t="shared" si="19"/>
        <v>0</v>
      </c>
      <c r="U23" s="61">
        <f t="shared" si="19"/>
        <v>0</v>
      </c>
      <c r="V23" s="61">
        <f t="shared" si="19"/>
        <v>0</v>
      </c>
      <c r="W23" s="61">
        <f t="shared" si="20"/>
        <v>0</v>
      </c>
      <c r="X23" s="61">
        <f t="shared" si="20"/>
        <v>0</v>
      </c>
      <c r="Y23" s="61">
        <f t="shared" si="20"/>
        <v>0</v>
      </c>
      <c r="Z23" s="61">
        <f t="shared" si="20"/>
        <v>0</v>
      </c>
      <c r="AA23" s="61">
        <f t="shared" si="20"/>
        <v>0</v>
      </c>
      <c r="AB23" s="61">
        <f t="shared" si="20"/>
        <v>0</v>
      </c>
      <c r="AC23" s="61">
        <f t="shared" si="20"/>
        <v>0</v>
      </c>
      <c r="AD23" s="61">
        <f t="shared" si="6"/>
        <v>0</v>
      </c>
      <c r="AE23" s="61">
        <f t="shared" si="6"/>
        <v>0</v>
      </c>
      <c r="AF23" s="61">
        <f t="shared" si="8"/>
        <v>0</v>
      </c>
      <c r="AG23" s="61">
        <f t="shared" si="10"/>
        <v>0</v>
      </c>
      <c r="AH23" s="61">
        <f t="shared" si="12"/>
        <v>0</v>
      </c>
      <c r="AI23" s="61">
        <f t="shared" si="14"/>
        <v>0</v>
      </c>
      <c r="AJ23" s="61">
        <f t="shared" si="16"/>
        <v>0</v>
      </c>
      <c r="AK23" s="61">
        <f t="shared" si="17"/>
        <v>0</v>
      </c>
      <c r="AL23" s="61">
        <f t="shared" si="18"/>
        <v>0</v>
      </c>
      <c r="AM23" s="61">
        <f t="shared" si="21"/>
        <v>0</v>
      </c>
      <c r="AN23" s="61">
        <f t="shared" si="22"/>
        <v>0</v>
      </c>
      <c r="AO23" s="61">
        <f t="shared" si="23"/>
        <v>0</v>
      </c>
      <c r="AP23" s="61">
        <f t="shared" si="24"/>
        <v>0</v>
      </c>
      <c r="AQ23" s="61"/>
    </row>
    <row r="24" spans="2:43" x14ac:dyDescent="0.25">
      <c r="B24" s="54">
        <v>0.62500000000727596</v>
      </c>
      <c r="C24" s="54">
        <v>0.97916666674428199</v>
      </c>
      <c r="D24" s="60"/>
      <c r="E24" s="91"/>
      <c r="G24" s="91"/>
      <c r="H24" s="92">
        <f t="shared" si="2"/>
        <v>0</v>
      </c>
      <c r="I24" s="180">
        <f>AC$6-AC$7</f>
        <v>0</v>
      </c>
      <c r="M24" s="61">
        <f t="shared" si="19"/>
        <v>0</v>
      </c>
      <c r="N24" s="61">
        <f t="shared" si="19"/>
        <v>0</v>
      </c>
      <c r="O24" s="61">
        <f t="shared" si="19"/>
        <v>0</v>
      </c>
      <c r="P24" s="61">
        <f t="shared" si="19"/>
        <v>0</v>
      </c>
      <c r="Q24" s="61">
        <f t="shared" si="19"/>
        <v>0</v>
      </c>
      <c r="R24" s="61">
        <f t="shared" si="19"/>
        <v>0</v>
      </c>
      <c r="S24" s="61">
        <f t="shared" si="19"/>
        <v>0</v>
      </c>
      <c r="T24" s="61">
        <f t="shared" si="19"/>
        <v>0</v>
      </c>
      <c r="U24" s="61">
        <f t="shared" si="19"/>
        <v>0</v>
      </c>
      <c r="V24" s="61">
        <f t="shared" si="19"/>
        <v>0</v>
      </c>
      <c r="W24" s="61">
        <f t="shared" si="20"/>
        <v>0</v>
      </c>
      <c r="X24" s="61">
        <f t="shared" si="20"/>
        <v>0</v>
      </c>
      <c r="Y24" s="61">
        <f t="shared" si="20"/>
        <v>0</v>
      </c>
      <c r="Z24" s="61">
        <f t="shared" si="20"/>
        <v>0</v>
      </c>
      <c r="AA24" s="61">
        <f t="shared" si="20"/>
        <v>0</v>
      </c>
      <c r="AB24" s="61">
        <f t="shared" si="20"/>
        <v>0</v>
      </c>
      <c r="AC24" s="61">
        <f t="shared" si="20"/>
        <v>0</v>
      </c>
      <c r="AD24" s="61">
        <f t="shared" si="6"/>
        <v>0</v>
      </c>
      <c r="AE24" s="61">
        <f t="shared" si="6"/>
        <v>0</v>
      </c>
      <c r="AF24" s="61">
        <f t="shared" si="8"/>
        <v>0</v>
      </c>
      <c r="AG24" s="61">
        <f t="shared" si="10"/>
        <v>0</v>
      </c>
      <c r="AH24" s="61">
        <f t="shared" si="12"/>
        <v>0</v>
      </c>
      <c r="AI24" s="61">
        <f t="shared" si="14"/>
        <v>0</v>
      </c>
      <c r="AJ24" s="61">
        <f t="shared" si="16"/>
        <v>0</v>
      </c>
      <c r="AK24" s="61">
        <f t="shared" si="17"/>
        <v>0</v>
      </c>
      <c r="AL24" s="61">
        <f t="shared" si="18"/>
        <v>0</v>
      </c>
      <c r="AM24" s="61">
        <f t="shared" si="21"/>
        <v>0</v>
      </c>
      <c r="AN24" s="61">
        <f t="shared" si="22"/>
        <v>0</v>
      </c>
      <c r="AO24" s="61">
        <f t="shared" si="23"/>
        <v>0</v>
      </c>
      <c r="AP24" s="61">
        <f t="shared" si="24"/>
        <v>0</v>
      </c>
      <c r="AQ24" s="61"/>
    </row>
    <row r="25" spans="2:43" x14ac:dyDescent="0.25">
      <c r="B25" s="54">
        <v>0.64583333334303406</v>
      </c>
      <c r="C25" s="54">
        <v>1.00000000008004</v>
      </c>
      <c r="D25" s="60"/>
      <c r="E25" s="91"/>
      <c r="G25" s="91"/>
      <c r="H25" s="92">
        <f t="shared" si="2"/>
        <v>0</v>
      </c>
      <c r="I25" s="180">
        <f>AD$6-AD$7</f>
        <v>0</v>
      </c>
      <c r="M25" s="61">
        <f t="shared" si="19"/>
        <v>0</v>
      </c>
      <c r="N25" s="61">
        <f t="shared" si="19"/>
        <v>0</v>
      </c>
      <c r="O25" s="61">
        <f t="shared" si="19"/>
        <v>0</v>
      </c>
      <c r="P25" s="61">
        <f t="shared" si="19"/>
        <v>0</v>
      </c>
      <c r="Q25" s="61">
        <f t="shared" si="19"/>
        <v>0</v>
      </c>
      <c r="R25" s="61">
        <f t="shared" si="19"/>
        <v>0</v>
      </c>
      <c r="S25" s="61">
        <f t="shared" si="19"/>
        <v>0</v>
      </c>
      <c r="T25" s="61">
        <f t="shared" si="19"/>
        <v>0</v>
      </c>
      <c r="U25" s="61">
        <f t="shared" si="19"/>
        <v>0</v>
      </c>
      <c r="V25" s="61">
        <f t="shared" si="19"/>
        <v>0</v>
      </c>
      <c r="W25" s="61">
        <f t="shared" si="20"/>
        <v>0</v>
      </c>
      <c r="X25" s="61">
        <f t="shared" si="20"/>
        <v>0</v>
      </c>
      <c r="Y25" s="61">
        <f t="shared" si="20"/>
        <v>0</v>
      </c>
      <c r="Z25" s="61">
        <f t="shared" si="20"/>
        <v>0</v>
      </c>
      <c r="AA25" s="61">
        <f t="shared" si="20"/>
        <v>0</v>
      </c>
      <c r="AB25" s="61">
        <f t="shared" si="20"/>
        <v>0</v>
      </c>
      <c r="AC25" s="61">
        <f t="shared" si="20"/>
        <v>0</v>
      </c>
      <c r="AD25" s="61">
        <f t="shared" si="6"/>
        <v>0</v>
      </c>
      <c r="AE25" s="61">
        <f t="shared" si="6"/>
        <v>0</v>
      </c>
      <c r="AF25" s="61">
        <f t="shared" si="8"/>
        <v>0</v>
      </c>
      <c r="AG25" s="61">
        <f t="shared" si="10"/>
        <v>0</v>
      </c>
      <c r="AH25" s="61">
        <f t="shared" si="12"/>
        <v>0</v>
      </c>
      <c r="AI25" s="61">
        <f t="shared" si="14"/>
        <v>0</v>
      </c>
      <c r="AJ25" s="61">
        <f t="shared" si="16"/>
        <v>0</v>
      </c>
      <c r="AK25" s="61">
        <f t="shared" si="17"/>
        <v>0</v>
      </c>
      <c r="AL25" s="61">
        <f t="shared" si="18"/>
        <v>0</v>
      </c>
      <c r="AM25" s="61">
        <f t="shared" si="21"/>
        <v>0</v>
      </c>
      <c r="AN25" s="61">
        <f t="shared" si="22"/>
        <v>0</v>
      </c>
      <c r="AO25" s="61">
        <f t="shared" si="23"/>
        <v>0</v>
      </c>
      <c r="AP25" s="61">
        <f t="shared" si="24"/>
        <v>0</v>
      </c>
      <c r="AQ25" s="61"/>
    </row>
    <row r="26" spans="2:43" x14ac:dyDescent="0.25">
      <c r="B26" s="54">
        <v>0.66666666667879304</v>
      </c>
      <c r="C26" s="54">
        <v>1.0208333334158</v>
      </c>
      <c r="D26" s="60"/>
      <c r="E26" s="91"/>
      <c r="G26" s="91"/>
      <c r="H26" s="92">
        <f t="shared" si="2"/>
        <v>0</v>
      </c>
      <c r="I26" s="180">
        <f>AE$6-AE$7</f>
        <v>0</v>
      </c>
      <c r="M26" s="61">
        <f t="shared" si="19"/>
        <v>0</v>
      </c>
      <c r="N26" s="61">
        <f t="shared" si="19"/>
        <v>0</v>
      </c>
      <c r="O26" s="61">
        <f t="shared" si="19"/>
        <v>0</v>
      </c>
      <c r="P26" s="61">
        <f t="shared" si="19"/>
        <v>0</v>
      </c>
      <c r="Q26" s="61">
        <f t="shared" si="19"/>
        <v>0</v>
      </c>
      <c r="R26" s="61">
        <f t="shared" si="19"/>
        <v>0</v>
      </c>
      <c r="S26" s="61">
        <f t="shared" si="19"/>
        <v>0</v>
      </c>
      <c r="T26" s="61">
        <f t="shared" si="19"/>
        <v>0</v>
      </c>
      <c r="U26" s="61">
        <f t="shared" si="19"/>
        <v>0</v>
      </c>
      <c r="V26" s="61">
        <f t="shared" si="19"/>
        <v>0</v>
      </c>
      <c r="W26" s="61">
        <f t="shared" si="20"/>
        <v>0</v>
      </c>
      <c r="X26" s="61">
        <f t="shared" si="20"/>
        <v>0</v>
      </c>
      <c r="Y26" s="61">
        <f t="shared" si="20"/>
        <v>0</v>
      </c>
      <c r="Z26" s="61">
        <f t="shared" si="20"/>
        <v>0</v>
      </c>
      <c r="AA26" s="61">
        <f t="shared" si="20"/>
        <v>0</v>
      </c>
      <c r="AB26" s="61">
        <f t="shared" si="20"/>
        <v>0</v>
      </c>
      <c r="AC26" s="61">
        <f t="shared" si="20"/>
        <v>0</v>
      </c>
      <c r="AD26" s="61">
        <f t="shared" si="6"/>
        <v>0</v>
      </c>
      <c r="AE26" s="61">
        <f t="shared" si="6"/>
        <v>0</v>
      </c>
      <c r="AF26" s="61">
        <f t="shared" si="8"/>
        <v>0</v>
      </c>
      <c r="AG26" s="61">
        <f t="shared" si="10"/>
        <v>0</v>
      </c>
      <c r="AH26" s="61">
        <f t="shared" si="12"/>
        <v>0</v>
      </c>
      <c r="AI26" s="61">
        <f t="shared" si="14"/>
        <v>0</v>
      </c>
      <c r="AJ26" s="61">
        <f t="shared" si="16"/>
        <v>0</v>
      </c>
      <c r="AK26" s="61">
        <f t="shared" si="17"/>
        <v>0</v>
      </c>
      <c r="AL26" s="61">
        <f t="shared" si="18"/>
        <v>0</v>
      </c>
      <c r="AM26" s="61">
        <f t="shared" si="21"/>
        <v>0</v>
      </c>
      <c r="AN26" s="61">
        <f t="shared" si="22"/>
        <v>0</v>
      </c>
      <c r="AO26" s="61">
        <f t="shared" si="23"/>
        <v>0</v>
      </c>
      <c r="AP26" s="61">
        <f t="shared" si="24"/>
        <v>0</v>
      </c>
      <c r="AQ26" s="61"/>
    </row>
    <row r="27" spans="2:43" x14ac:dyDescent="0.25">
      <c r="B27" s="54">
        <v>0.68750000001455203</v>
      </c>
      <c r="C27" s="54">
        <v>1.0416666667515599</v>
      </c>
      <c r="D27" s="60"/>
      <c r="E27" s="91"/>
      <c r="G27" s="91"/>
      <c r="H27" s="92">
        <f t="shared" si="2"/>
        <v>0</v>
      </c>
      <c r="I27" s="180">
        <f>AF$6-AF$7</f>
        <v>0</v>
      </c>
      <c r="M27" s="61">
        <f t="shared" si="19"/>
        <v>0</v>
      </c>
      <c r="N27" s="61">
        <f t="shared" si="19"/>
        <v>0</v>
      </c>
      <c r="O27" s="61">
        <f t="shared" si="19"/>
        <v>0</v>
      </c>
      <c r="P27" s="61">
        <f t="shared" si="19"/>
        <v>0</v>
      </c>
      <c r="Q27" s="61">
        <f t="shared" si="19"/>
        <v>0</v>
      </c>
      <c r="R27" s="61">
        <f t="shared" si="19"/>
        <v>0</v>
      </c>
      <c r="S27" s="61">
        <f t="shared" si="19"/>
        <v>0</v>
      </c>
      <c r="T27" s="61">
        <f t="shared" si="19"/>
        <v>0</v>
      </c>
      <c r="U27" s="61">
        <f t="shared" si="19"/>
        <v>0</v>
      </c>
      <c r="V27" s="61">
        <f t="shared" si="19"/>
        <v>0</v>
      </c>
      <c r="W27" s="61">
        <f t="shared" si="20"/>
        <v>0</v>
      </c>
      <c r="X27" s="61">
        <f t="shared" si="20"/>
        <v>0</v>
      </c>
      <c r="Y27" s="61">
        <f t="shared" si="20"/>
        <v>0</v>
      </c>
      <c r="Z27" s="61">
        <f t="shared" si="20"/>
        <v>0</v>
      </c>
      <c r="AA27" s="61">
        <f t="shared" si="20"/>
        <v>0</v>
      </c>
      <c r="AB27" s="61">
        <f t="shared" si="20"/>
        <v>0</v>
      </c>
      <c r="AC27" s="61">
        <f t="shared" si="20"/>
        <v>0</v>
      </c>
      <c r="AD27" s="61">
        <f t="shared" si="6"/>
        <v>0</v>
      </c>
      <c r="AE27" s="61">
        <f t="shared" si="6"/>
        <v>0</v>
      </c>
      <c r="AF27" s="61">
        <f t="shared" si="8"/>
        <v>0</v>
      </c>
      <c r="AG27" s="61">
        <f t="shared" si="10"/>
        <v>0</v>
      </c>
      <c r="AH27" s="61">
        <f t="shared" si="12"/>
        <v>0</v>
      </c>
      <c r="AI27" s="61">
        <f t="shared" si="14"/>
        <v>0</v>
      </c>
      <c r="AJ27" s="61">
        <f t="shared" si="16"/>
        <v>0</v>
      </c>
      <c r="AK27" s="61">
        <f t="shared" si="17"/>
        <v>0</v>
      </c>
      <c r="AL27" s="61">
        <f t="shared" si="18"/>
        <v>0</v>
      </c>
      <c r="AM27" s="61">
        <f t="shared" si="21"/>
        <v>0</v>
      </c>
      <c r="AN27" s="61">
        <f t="shared" si="22"/>
        <v>0</v>
      </c>
      <c r="AO27" s="61">
        <f t="shared" si="23"/>
        <v>0</v>
      </c>
      <c r="AP27" s="61">
        <f t="shared" si="24"/>
        <v>0</v>
      </c>
      <c r="AQ27" s="61"/>
    </row>
    <row r="28" spans="2:43" x14ac:dyDescent="0.25">
      <c r="B28" s="54">
        <v>0.70833333335031001</v>
      </c>
      <c r="C28" s="54">
        <v>1.0625000000873199</v>
      </c>
      <c r="D28" s="60"/>
      <c r="E28" s="91"/>
      <c r="G28" s="91"/>
      <c r="H28" s="92">
        <f t="shared" si="2"/>
        <v>0</v>
      </c>
      <c r="I28" s="180">
        <f>AG$6-AG$7</f>
        <v>0</v>
      </c>
      <c r="M28" s="61">
        <f t="shared" ref="M28:V37" si="25">IF(AND(M$2&gt;=$B28,M$2&lt;$C28),$E28,0)</f>
        <v>0</v>
      </c>
      <c r="N28" s="61">
        <f t="shared" si="25"/>
        <v>0</v>
      </c>
      <c r="O28" s="61">
        <f t="shared" si="25"/>
        <v>0</v>
      </c>
      <c r="P28" s="61">
        <f t="shared" si="25"/>
        <v>0</v>
      </c>
      <c r="Q28" s="61">
        <f t="shared" si="25"/>
        <v>0</v>
      </c>
      <c r="R28" s="61">
        <f t="shared" si="25"/>
        <v>0</v>
      </c>
      <c r="S28" s="61">
        <f t="shared" si="25"/>
        <v>0</v>
      </c>
      <c r="T28" s="61">
        <f t="shared" si="25"/>
        <v>0</v>
      </c>
      <c r="U28" s="61">
        <f t="shared" si="25"/>
        <v>0</v>
      </c>
      <c r="V28" s="61">
        <f t="shared" si="25"/>
        <v>0</v>
      </c>
      <c r="W28" s="61">
        <f t="shared" ref="W28:AC37" si="26">IF(AND(W$2&gt;=$B28,W$2&lt;$C28),$E28,0)</f>
        <v>0</v>
      </c>
      <c r="X28" s="61">
        <f t="shared" si="26"/>
        <v>0</v>
      </c>
      <c r="Y28" s="61">
        <f t="shared" si="26"/>
        <v>0</v>
      </c>
      <c r="Z28" s="61">
        <f t="shared" si="26"/>
        <v>0</v>
      </c>
      <c r="AA28" s="61">
        <f t="shared" si="26"/>
        <v>0</v>
      </c>
      <c r="AB28" s="61">
        <f t="shared" si="26"/>
        <v>0</v>
      </c>
      <c r="AC28" s="61">
        <f t="shared" si="26"/>
        <v>0</v>
      </c>
      <c r="AD28" s="61">
        <f t="shared" si="6"/>
        <v>0</v>
      </c>
      <c r="AE28" s="61">
        <f t="shared" si="6"/>
        <v>0</v>
      </c>
      <c r="AF28" s="61">
        <f t="shared" si="8"/>
        <v>0</v>
      </c>
      <c r="AG28" s="61">
        <f t="shared" si="10"/>
        <v>0</v>
      </c>
      <c r="AH28" s="61">
        <f t="shared" si="12"/>
        <v>0</v>
      </c>
      <c r="AI28" s="61">
        <f t="shared" si="14"/>
        <v>0</v>
      </c>
      <c r="AJ28" s="61">
        <f t="shared" si="16"/>
        <v>0</v>
      </c>
      <c r="AK28" s="61">
        <f t="shared" si="17"/>
        <v>0</v>
      </c>
      <c r="AL28" s="61">
        <f t="shared" si="18"/>
        <v>0</v>
      </c>
      <c r="AM28" s="61">
        <f t="shared" si="21"/>
        <v>0</v>
      </c>
      <c r="AN28" s="61">
        <f t="shared" si="22"/>
        <v>0</v>
      </c>
      <c r="AO28" s="61">
        <f t="shared" si="23"/>
        <v>0</v>
      </c>
      <c r="AP28" s="61">
        <f t="shared" si="24"/>
        <v>0</v>
      </c>
      <c r="AQ28" s="61"/>
    </row>
    <row r="29" spans="2:43" x14ac:dyDescent="0.25">
      <c r="B29" s="54">
        <v>0.729166666686069</v>
      </c>
      <c r="C29" s="54">
        <v>1.0833333334230799</v>
      </c>
      <c r="D29" s="60"/>
      <c r="E29" s="91"/>
      <c r="G29" s="91"/>
      <c r="H29" s="92">
        <f t="shared" si="2"/>
        <v>0</v>
      </c>
      <c r="I29" s="180">
        <f>AH$6-AH$7</f>
        <v>0</v>
      </c>
      <c r="M29" s="61">
        <f t="shared" si="25"/>
        <v>0</v>
      </c>
      <c r="N29" s="61">
        <f t="shared" si="25"/>
        <v>0</v>
      </c>
      <c r="O29" s="61">
        <f t="shared" si="25"/>
        <v>0</v>
      </c>
      <c r="P29" s="61">
        <f t="shared" si="25"/>
        <v>0</v>
      </c>
      <c r="Q29" s="61">
        <f t="shared" si="25"/>
        <v>0</v>
      </c>
      <c r="R29" s="61">
        <f t="shared" si="25"/>
        <v>0</v>
      </c>
      <c r="S29" s="61">
        <f t="shared" si="25"/>
        <v>0</v>
      </c>
      <c r="T29" s="61">
        <f t="shared" si="25"/>
        <v>0</v>
      </c>
      <c r="U29" s="61">
        <f t="shared" si="25"/>
        <v>0</v>
      </c>
      <c r="V29" s="61">
        <f t="shared" si="25"/>
        <v>0</v>
      </c>
      <c r="W29" s="61">
        <f t="shared" si="26"/>
        <v>0</v>
      </c>
      <c r="X29" s="61">
        <f t="shared" si="26"/>
        <v>0</v>
      </c>
      <c r="Y29" s="61">
        <f t="shared" si="26"/>
        <v>0</v>
      </c>
      <c r="Z29" s="61">
        <f t="shared" si="26"/>
        <v>0</v>
      </c>
      <c r="AA29" s="61">
        <f t="shared" si="26"/>
        <v>0</v>
      </c>
      <c r="AB29" s="61">
        <f t="shared" si="26"/>
        <v>0</v>
      </c>
      <c r="AC29" s="61">
        <f t="shared" si="26"/>
        <v>0</v>
      </c>
      <c r="AD29" s="61">
        <f t="shared" si="6"/>
        <v>0</v>
      </c>
      <c r="AE29" s="61">
        <f t="shared" si="6"/>
        <v>0</v>
      </c>
      <c r="AF29" s="61">
        <f t="shared" si="8"/>
        <v>0</v>
      </c>
      <c r="AG29" s="61">
        <f t="shared" si="10"/>
        <v>0</v>
      </c>
      <c r="AH29" s="61">
        <f t="shared" si="12"/>
        <v>0</v>
      </c>
      <c r="AI29" s="61">
        <f t="shared" si="14"/>
        <v>0</v>
      </c>
      <c r="AJ29" s="61">
        <f t="shared" si="16"/>
        <v>0</v>
      </c>
      <c r="AK29" s="61">
        <f t="shared" si="17"/>
        <v>0</v>
      </c>
      <c r="AL29" s="61">
        <f t="shared" si="18"/>
        <v>0</v>
      </c>
      <c r="AM29" s="61">
        <f t="shared" si="21"/>
        <v>0</v>
      </c>
      <c r="AN29" s="61">
        <f t="shared" si="22"/>
        <v>0</v>
      </c>
      <c r="AO29" s="61">
        <f t="shared" si="23"/>
        <v>0</v>
      </c>
      <c r="AP29" s="61">
        <f t="shared" si="24"/>
        <v>0</v>
      </c>
      <c r="AQ29" s="61"/>
    </row>
    <row r="30" spans="2:43" x14ac:dyDescent="0.25">
      <c r="B30" s="54">
        <v>0.75000000002182798</v>
      </c>
      <c r="C30" s="54">
        <v>1.1041666667588399</v>
      </c>
      <c r="D30" s="60"/>
      <c r="E30" s="91"/>
      <c r="G30" s="91"/>
      <c r="H30" s="92">
        <f t="shared" si="2"/>
        <v>0</v>
      </c>
      <c r="I30" s="180">
        <f>AI$6-AI$7</f>
        <v>0</v>
      </c>
      <c r="M30" s="61">
        <f t="shared" si="25"/>
        <v>0</v>
      </c>
      <c r="N30" s="61">
        <f t="shared" si="25"/>
        <v>0</v>
      </c>
      <c r="O30" s="61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61">
        <f t="shared" si="25"/>
        <v>0</v>
      </c>
      <c r="T30" s="61">
        <f t="shared" si="25"/>
        <v>0</v>
      </c>
      <c r="U30" s="61">
        <f t="shared" si="25"/>
        <v>0</v>
      </c>
      <c r="V30" s="61">
        <f t="shared" si="25"/>
        <v>0</v>
      </c>
      <c r="W30" s="61">
        <f t="shared" si="26"/>
        <v>0</v>
      </c>
      <c r="X30" s="61">
        <f t="shared" si="26"/>
        <v>0</v>
      </c>
      <c r="Y30" s="61">
        <f t="shared" si="26"/>
        <v>0</v>
      </c>
      <c r="Z30" s="61">
        <f t="shared" si="26"/>
        <v>0</v>
      </c>
      <c r="AA30" s="61">
        <f t="shared" si="26"/>
        <v>0</v>
      </c>
      <c r="AB30" s="61">
        <f t="shared" si="26"/>
        <v>0</v>
      </c>
      <c r="AC30" s="61">
        <f t="shared" si="26"/>
        <v>0</v>
      </c>
      <c r="AD30" s="61">
        <f t="shared" si="6"/>
        <v>0</v>
      </c>
      <c r="AE30" s="61">
        <f t="shared" si="6"/>
        <v>0</v>
      </c>
      <c r="AF30" s="61">
        <f t="shared" si="8"/>
        <v>0</v>
      </c>
      <c r="AG30" s="61">
        <f t="shared" si="10"/>
        <v>0</v>
      </c>
      <c r="AH30" s="61">
        <f t="shared" si="12"/>
        <v>0</v>
      </c>
      <c r="AI30" s="61">
        <f t="shared" si="14"/>
        <v>0</v>
      </c>
      <c r="AJ30" s="61">
        <f t="shared" si="16"/>
        <v>0</v>
      </c>
      <c r="AK30" s="61">
        <f t="shared" si="17"/>
        <v>0</v>
      </c>
      <c r="AL30" s="61">
        <f t="shared" si="18"/>
        <v>0</v>
      </c>
      <c r="AM30" s="61">
        <f t="shared" si="21"/>
        <v>0</v>
      </c>
      <c r="AN30" s="61">
        <f t="shared" si="22"/>
        <v>0</v>
      </c>
      <c r="AO30" s="61">
        <f t="shared" si="23"/>
        <v>0</v>
      </c>
      <c r="AP30" s="61">
        <f t="shared" si="24"/>
        <v>0</v>
      </c>
      <c r="AQ30" s="61"/>
    </row>
    <row r="31" spans="2:43" x14ac:dyDescent="0.25">
      <c r="B31" s="54">
        <v>0.77083333335758597</v>
      </c>
      <c r="C31" s="54">
        <v>1.1250000000945899</v>
      </c>
      <c r="D31" s="60"/>
      <c r="E31" s="91"/>
      <c r="G31" s="91"/>
      <c r="H31" s="92">
        <f t="shared" si="2"/>
        <v>0</v>
      </c>
      <c r="I31" s="180">
        <f>AJ$6-AJ$7</f>
        <v>0</v>
      </c>
      <c r="M31" s="61">
        <f t="shared" si="25"/>
        <v>0</v>
      </c>
      <c r="N31" s="61">
        <f t="shared" si="25"/>
        <v>0</v>
      </c>
      <c r="O31" s="61">
        <f t="shared" si="25"/>
        <v>0</v>
      </c>
      <c r="P31" s="61">
        <f t="shared" si="25"/>
        <v>0</v>
      </c>
      <c r="Q31" s="61">
        <f t="shared" si="25"/>
        <v>0</v>
      </c>
      <c r="R31" s="61">
        <f t="shared" si="25"/>
        <v>0</v>
      </c>
      <c r="S31" s="61">
        <f t="shared" si="25"/>
        <v>0</v>
      </c>
      <c r="T31" s="61">
        <f t="shared" si="25"/>
        <v>0</v>
      </c>
      <c r="U31" s="61">
        <f t="shared" si="25"/>
        <v>0</v>
      </c>
      <c r="V31" s="61">
        <f t="shared" si="25"/>
        <v>0</v>
      </c>
      <c r="W31" s="61">
        <f t="shared" si="26"/>
        <v>0</v>
      </c>
      <c r="X31" s="61">
        <f t="shared" si="26"/>
        <v>0</v>
      </c>
      <c r="Y31" s="61">
        <f t="shared" si="26"/>
        <v>0</v>
      </c>
      <c r="Z31" s="61">
        <f t="shared" si="26"/>
        <v>0</v>
      </c>
      <c r="AA31" s="61">
        <f t="shared" si="26"/>
        <v>0</v>
      </c>
      <c r="AB31" s="61">
        <f t="shared" si="26"/>
        <v>0</v>
      </c>
      <c r="AC31" s="61">
        <f t="shared" si="26"/>
        <v>0</v>
      </c>
      <c r="AD31" s="61">
        <f t="shared" si="6"/>
        <v>0</v>
      </c>
      <c r="AE31" s="61">
        <f t="shared" si="6"/>
        <v>0</v>
      </c>
      <c r="AF31" s="61">
        <f t="shared" si="8"/>
        <v>0</v>
      </c>
      <c r="AG31" s="61">
        <f t="shared" si="10"/>
        <v>0</v>
      </c>
      <c r="AH31" s="61">
        <f t="shared" si="12"/>
        <v>0</v>
      </c>
      <c r="AI31" s="61">
        <f t="shared" si="14"/>
        <v>0</v>
      </c>
      <c r="AJ31" s="61">
        <f t="shared" si="16"/>
        <v>0</v>
      </c>
      <c r="AK31" s="61">
        <f t="shared" si="17"/>
        <v>0</v>
      </c>
      <c r="AL31" s="61">
        <f t="shared" si="18"/>
        <v>0</v>
      </c>
      <c r="AM31" s="61">
        <f t="shared" si="21"/>
        <v>0</v>
      </c>
      <c r="AN31" s="61">
        <f t="shared" si="22"/>
        <v>0</v>
      </c>
      <c r="AO31" s="61">
        <f t="shared" si="23"/>
        <v>0</v>
      </c>
      <c r="AP31" s="61">
        <f t="shared" si="24"/>
        <v>0</v>
      </c>
      <c r="AQ31" s="61"/>
    </row>
    <row r="32" spans="2:43" x14ac:dyDescent="0.25">
      <c r="B32" s="54">
        <v>0.79166666669334496</v>
      </c>
      <c r="C32" s="54">
        <v>1.1458333334303501</v>
      </c>
      <c r="D32" s="60"/>
      <c r="E32" s="91"/>
      <c r="G32" s="91"/>
      <c r="H32" s="92">
        <f t="shared" si="2"/>
        <v>0</v>
      </c>
      <c r="I32" s="180">
        <f>AK$6-AK$7</f>
        <v>0</v>
      </c>
      <c r="M32" s="61">
        <f t="shared" si="25"/>
        <v>0</v>
      </c>
      <c r="N32" s="61">
        <f t="shared" si="25"/>
        <v>0</v>
      </c>
      <c r="O32" s="61">
        <f t="shared" si="25"/>
        <v>0</v>
      </c>
      <c r="P32" s="61">
        <f t="shared" si="25"/>
        <v>0</v>
      </c>
      <c r="Q32" s="61">
        <f t="shared" si="25"/>
        <v>0</v>
      </c>
      <c r="R32" s="61">
        <f t="shared" si="25"/>
        <v>0</v>
      </c>
      <c r="S32" s="61">
        <f t="shared" si="25"/>
        <v>0</v>
      </c>
      <c r="T32" s="61">
        <f t="shared" si="25"/>
        <v>0</v>
      </c>
      <c r="U32" s="61">
        <f t="shared" si="25"/>
        <v>0</v>
      </c>
      <c r="V32" s="61">
        <f t="shared" si="25"/>
        <v>0</v>
      </c>
      <c r="W32" s="61">
        <f t="shared" si="26"/>
        <v>0</v>
      </c>
      <c r="X32" s="61">
        <f t="shared" si="26"/>
        <v>0</v>
      </c>
      <c r="Y32" s="61">
        <f t="shared" si="26"/>
        <v>0</v>
      </c>
      <c r="Z32" s="61">
        <f t="shared" si="26"/>
        <v>0</v>
      </c>
      <c r="AA32" s="61">
        <f t="shared" si="26"/>
        <v>0</v>
      </c>
      <c r="AB32" s="61">
        <f t="shared" si="26"/>
        <v>0</v>
      </c>
      <c r="AC32" s="61">
        <f t="shared" si="26"/>
        <v>0</v>
      </c>
      <c r="AD32" s="61">
        <f t="shared" si="6"/>
        <v>0</v>
      </c>
      <c r="AE32" s="61">
        <f t="shared" si="6"/>
        <v>0</v>
      </c>
      <c r="AF32" s="61">
        <f t="shared" si="8"/>
        <v>0</v>
      </c>
      <c r="AG32" s="61">
        <f t="shared" si="10"/>
        <v>0</v>
      </c>
      <c r="AH32" s="61">
        <f t="shared" si="12"/>
        <v>0</v>
      </c>
      <c r="AI32" s="61">
        <f t="shared" si="14"/>
        <v>0</v>
      </c>
      <c r="AJ32" s="61">
        <f t="shared" si="16"/>
        <v>0</v>
      </c>
      <c r="AK32" s="61">
        <f t="shared" si="17"/>
        <v>0</v>
      </c>
      <c r="AL32" s="61">
        <f t="shared" si="18"/>
        <v>0</v>
      </c>
      <c r="AM32" s="61">
        <f t="shared" si="21"/>
        <v>0</v>
      </c>
      <c r="AN32" s="61">
        <f t="shared" si="22"/>
        <v>0</v>
      </c>
      <c r="AO32" s="61">
        <f t="shared" si="23"/>
        <v>0</v>
      </c>
      <c r="AP32" s="61">
        <f t="shared" si="24"/>
        <v>0</v>
      </c>
      <c r="AQ32" s="61"/>
    </row>
    <row r="33" spans="2:43" x14ac:dyDescent="0.25">
      <c r="B33" s="54">
        <v>0.81250000002910305</v>
      </c>
      <c r="C33" s="54">
        <v>1.1666666667661101</v>
      </c>
      <c r="D33" s="60"/>
      <c r="E33" s="91"/>
      <c r="G33" s="91"/>
      <c r="H33" s="92">
        <f t="shared" si="2"/>
        <v>0</v>
      </c>
      <c r="I33" s="180">
        <f>AL$6-AL$7</f>
        <v>0</v>
      </c>
      <c r="M33" s="61">
        <f t="shared" si="25"/>
        <v>0</v>
      </c>
      <c r="N33" s="61">
        <f t="shared" si="25"/>
        <v>0</v>
      </c>
      <c r="O33" s="61">
        <f t="shared" si="25"/>
        <v>0</v>
      </c>
      <c r="P33" s="61">
        <f t="shared" si="25"/>
        <v>0</v>
      </c>
      <c r="Q33" s="61">
        <f t="shared" si="25"/>
        <v>0</v>
      </c>
      <c r="R33" s="61">
        <f t="shared" si="25"/>
        <v>0</v>
      </c>
      <c r="S33" s="61">
        <f t="shared" si="25"/>
        <v>0</v>
      </c>
      <c r="T33" s="61">
        <f t="shared" si="25"/>
        <v>0</v>
      </c>
      <c r="U33" s="61">
        <f t="shared" si="25"/>
        <v>0</v>
      </c>
      <c r="V33" s="61">
        <f t="shared" si="25"/>
        <v>0</v>
      </c>
      <c r="W33" s="61">
        <f t="shared" si="26"/>
        <v>0</v>
      </c>
      <c r="X33" s="61">
        <f t="shared" si="26"/>
        <v>0</v>
      </c>
      <c r="Y33" s="61">
        <f t="shared" si="26"/>
        <v>0</v>
      </c>
      <c r="Z33" s="61">
        <f t="shared" si="26"/>
        <v>0</v>
      </c>
      <c r="AA33" s="61">
        <f t="shared" si="26"/>
        <v>0</v>
      </c>
      <c r="AB33" s="61">
        <f t="shared" si="26"/>
        <v>0</v>
      </c>
      <c r="AC33" s="61">
        <f t="shared" si="26"/>
        <v>0</v>
      </c>
      <c r="AD33" s="61">
        <f t="shared" si="6"/>
        <v>0</v>
      </c>
      <c r="AE33" s="61">
        <f t="shared" si="6"/>
        <v>0</v>
      </c>
      <c r="AF33" s="61">
        <f t="shared" si="8"/>
        <v>0</v>
      </c>
      <c r="AG33" s="61">
        <f t="shared" si="10"/>
        <v>0</v>
      </c>
      <c r="AH33" s="61">
        <f t="shared" si="12"/>
        <v>0</v>
      </c>
      <c r="AI33" s="61">
        <f t="shared" si="14"/>
        <v>0</v>
      </c>
      <c r="AJ33" s="61">
        <f t="shared" si="16"/>
        <v>0</v>
      </c>
      <c r="AK33" s="61">
        <f t="shared" si="17"/>
        <v>0</v>
      </c>
      <c r="AL33" s="61">
        <f t="shared" si="18"/>
        <v>0</v>
      </c>
      <c r="AM33" s="61">
        <f t="shared" si="21"/>
        <v>0</v>
      </c>
      <c r="AN33" s="61">
        <f t="shared" si="22"/>
        <v>0</v>
      </c>
      <c r="AO33" s="61">
        <f t="shared" si="23"/>
        <v>0</v>
      </c>
      <c r="AP33" s="61">
        <f t="shared" si="24"/>
        <v>0</v>
      </c>
      <c r="AQ33" s="61"/>
    </row>
    <row r="34" spans="2:43" x14ac:dyDescent="0.25">
      <c r="B34" s="54">
        <v>0.83333333336486204</v>
      </c>
      <c r="C34" s="54">
        <v>1.1875000001018701</v>
      </c>
      <c r="D34" s="60"/>
      <c r="E34" s="91"/>
      <c r="G34" s="91"/>
      <c r="H34" s="92">
        <f t="shared" si="2"/>
        <v>0</v>
      </c>
      <c r="I34" s="180">
        <f>AM$6-AM$7</f>
        <v>0</v>
      </c>
      <c r="M34" s="61">
        <f t="shared" si="25"/>
        <v>0</v>
      </c>
      <c r="N34" s="61">
        <f t="shared" si="25"/>
        <v>0</v>
      </c>
      <c r="O34" s="61">
        <f t="shared" si="25"/>
        <v>0</v>
      </c>
      <c r="P34" s="61">
        <f t="shared" si="25"/>
        <v>0</v>
      </c>
      <c r="Q34" s="61">
        <f t="shared" si="25"/>
        <v>0</v>
      </c>
      <c r="R34" s="61">
        <f t="shared" si="25"/>
        <v>0</v>
      </c>
      <c r="S34" s="61">
        <f t="shared" si="25"/>
        <v>0</v>
      </c>
      <c r="T34" s="61">
        <f t="shared" si="25"/>
        <v>0</v>
      </c>
      <c r="U34" s="61">
        <f t="shared" si="25"/>
        <v>0</v>
      </c>
      <c r="V34" s="61">
        <f t="shared" si="25"/>
        <v>0</v>
      </c>
      <c r="W34" s="61">
        <f t="shared" si="26"/>
        <v>0</v>
      </c>
      <c r="X34" s="61">
        <f t="shared" si="26"/>
        <v>0</v>
      </c>
      <c r="Y34" s="61">
        <f t="shared" si="26"/>
        <v>0</v>
      </c>
      <c r="Z34" s="61">
        <f t="shared" si="26"/>
        <v>0</v>
      </c>
      <c r="AA34" s="61">
        <f t="shared" si="26"/>
        <v>0</v>
      </c>
      <c r="AB34" s="61">
        <f t="shared" si="26"/>
        <v>0</v>
      </c>
      <c r="AC34" s="61">
        <f t="shared" si="26"/>
        <v>0</v>
      </c>
      <c r="AD34" s="61">
        <f t="shared" si="6"/>
        <v>0</v>
      </c>
      <c r="AE34" s="61">
        <f t="shared" si="6"/>
        <v>0</v>
      </c>
      <c r="AF34" s="61">
        <f t="shared" si="8"/>
        <v>0</v>
      </c>
      <c r="AG34" s="61">
        <f t="shared" si="10"/>
        <v>0</v>
      </c>
      <c r="AH34" s="61">
        <f t="shared" si="12"/>
        <v>0</v>
      </c>
      <c r="AI34" s="61">
        <f t="shared" si="14"/>
        <v>0</v>
      </c>
      <c r="AJ34" s="61">
        <f t="shared" si="16"/>
        <v>0</v>
      </c>
      <c r="AK34" s="61">
        <f t="shared" si="17"/>
        <v>0</v>
      </c>
      <c r="AL34" s="61">
        <f t="shared" si="18"/>
        <v>0</v>
      </c>
      <c r="AM34" s="61">
        <f t="shared" si="21"/>
        <v>0</v>
      </c>
      <c r="AN34" s="61">
        <f t="shared" si="22"/>
        <v>0</v>
      </c>
      <c r="AO34" s="61">
        <f t="shared" si="23"/>
        <v>0</v>
      </c>
      <c r="AP34" s="61">
        <f t="shared" si="24"/>
        <v>0</v>
      </c>
      <c r="AQ34" s="61"/>
    </row>
    <row r="35" spans="2:43" x14ac:dyDescent="0.25">
      <c r="B35" s="54">
        <v>0.85416666670062102</v>
      </c>
      <c r="C35" s="54">
        <v>1.2083333334376301</v>
      </c>
      <c r="D35" s="60"/>
      <c r="E35" s="91"/>
      <c r="G35" s="91"/>
      <c r="H35" s="92">
        <f t="shared" si="2"/>
        <v>0</v>
      </c>
      <c r="I35" s="180">
        <f>AN$6-AN$7</f>
        <v>0</v>
      </c>
      <c r="M35" s="61">
        <f t="shared" si="25"/>
        <v>0</v>
      </c>
      <c r="N35" s="61">
        <f t="shared" si="25"/>
        <v>0</v>
      </c>
      <c r="O35" s="61">
        <f t="shared" si="25"/>
        <v>0</v>
      </c>
      <c r="P35" s="61">
        <f t="shared" si="25"/>
        <v>0</v>
      </c>
      <c r="Q35" s="61">
        <f t="shared" si="25"/>
        <v>0</v>
      </c>
      <c r="R35" s="61">
        <f t="shared" si="25"/>
        <v>0</v>
      </c>
      <c r="S35" s="61">
        <f t="shared" si="25"/>
        <v>0</v>
      </c>
      <c r="T35" s="61">
        <f t="shared" si="25"/>
        <v>0</v>
      </c>
      <c r="U35" s="61">
        <f t="shared" si="25"/>
        <v>0</v>
      </c>
      <c r="V35" s="61">
        <f t="shared" si="25"/>
        <v>0</v>
      </c>
      <c r="W35" s="61">
        <f t="shared" si="26"/>
        <v>0</v>
      </c>
      <c r="X35" s="61">
        <f t="shared" si="26"/>
        <v>0</v>
      </c>
      <c r="Y35" s="61">
        <f t="shared" si="26"/>
        <v>0</v>
      </c>
      <c r="Z35" s="61">
        <f t="shared" si="26"/>
        <v>0</v>
      </c>
      <c r="AA35" s="61">
        <f t="shared" si="26"/>
        <v>0</v>
      </c>
      <c r="AB35" s="61">
        <f t="shared" si="26"/>
        <v>0</v>
      </c>
      <c r="AC35" s="61">
        <f t="shared" si="26"/>
        <v>0</v>
      </c>
      <c r="AD35" s="61">
        <f t="shared" si="6"/>
        <v>0</v>
      </c>
      <c r="AE35" s="61">
        <f t="shared" si="6"/>
        <v>0</v>
      </c>
      <c r="AF35" s="61">
        <f t="shared" si="8"/>
        <v>0</v>
      </c>
      <c r="AG35" s="61">
        <f t="shared" si="10"/>
        <v>0</v>
      </c>
      <c r="AH35" s="61">
        <f t="shared" si="12"/>
        <v>0</v>
      </c>
      <c r="AI35" s="61">
        <f t="shared" si="14"/>
        <v>0</v>
      </c>
      <c r="AJ35" s="61">
        <f t="shared" si="16"/>
        <v>0</v>
      </c>
      <c r="AK35" s="61">
        <f t="shared" si="17"/>
        <v>0</v>
      </c>
      <c r="AL35" s="61">
        <f t="shared" si="18"/>
        <v>0</v>
      </c>
      <c r="AM35" s="61">
        <f t="shared" si="21"/>
        <v>0</v>
      </c>
      <c r="AN35" s="61">
        <f t="shared" si="22"/>
        <v>0</v>
      </c>
      <c r="AO35" s="61">
        <f t="shared" si="23"/>
        <v>0</v>
      </c>
      <c r="AP35" s="61">
        <f t="shared" si="24"/>
        <v>0</v>
      </c>
      <c r="AQ35" s="61"/>
    </row>
    <row r="36" spans="2:43" x14ac:dyDescent="0.25">
      <c r="B36" s="54">
        <v>0.87500000003637901</v>
      </c>
      <c r="C36" s="54">
        <v>1.22916666677339</v>
      </c>
      <c r="D36" s="60"/>
      <c r="E36" s="91"/>
      <c r="G36" s="91"/>
      <c r="H36" s="92">
        <f t="shared" si="2"/>
        <v>0</v>
      </c>
      <c r="I36" s="180">
        <f>AO$6-AO$7</f>
        <v>0</v>
      </c>
      <c r="M36" s="61">
        <f t="shared" si="25"/>
        <v>0</v>
      </c>
      <c r="N36" s="61">
        <f t="shared" si="25"/>
        <v>0</v>
      </c>
      <c r="O36" s="61">
        <f t="shared" si="25"/>
        <v>0</v>
      </c>
      <c r="P36" s="61">
        <f t="shared" si="25"/>
        <v>0</v>
      </c>
      <c r="Q36" s="61">
        <f t="shared" si="25"/>
        <v>0</v>
      </c>
      <c r="R36" s="61">
        <f t="shared" si="25"/>
        <v>0</v>
      </c>
      <c r="S36" s="61">
        <f t="shared" si="25"/>
        <v>0</v>
      </c>
      <c r="T36" s="61">
        <f t="shared" si="25"/>
        <v>0</v>
      </c>
      <c r="U36" s="61">
        <f t="shared" si="25"/>
        <v>0</v>
      </c>
      <c r="V36" s="61">
        <f t="shared" si="25"/>
        <v>0</v>
      </c>
      <c r="W36" s="61">
        <f t="shared" si="26"/>
        <v>0</v>
      </c>
      <c r="X36" s="61">
        <f t="shared" si="26"/>
        <v>0</v>
      </c>
      <c r="Y36" s="61">
        <f t="shared" si="26"/>
        <v>0</v>
      </c>
      <c r="Z36" s="61">
        <f t="shared" si="26"/>
        <v>0</v>
      </c>
      <c r="AA36" s="61">
        <f t="shared" si="26"/>
        <v>0</v>
      </c>
      <c r="AB36" s="61">
        <f t="shared" si="26"/>
        <v>0</v>
      </c>
      <c r="AC36" s="61">
        <f t="shared" si="26"/>
        <v>0</v>
      </c>
      <c r="AD36" s="61">
        <f t="shared" si="6"/>
        <v>0</v>
      </c>
      <c r="AE36" s="61">
        <f t="shared" si="6"/>
        <v>0</v>
      </c>
      <c r="AF36" s="61">
        <f t="shared" si="8"/>
        <v>0</v>
      </c>
      <c r="AG36" s="61">
        <f t="shared" si="10"/>
        <v>0</v>
      </c>
      <c r="AH36" s="61">
        <f t="shared" si="12"/>
        <v>0</v>
      </c>
      <c r="AI36" s="61">
        <f t="shared" si="14"/>
        <v>0</v>
      </c>
      <c r="AJ36" s="61">
        <f t="shared" si="16"/>
        <v>0</v>
      </c>
      <c r="AK36" s="61">
        <f t="shared" si="17"/>
        <v>0</v>
      </c>
      <c r="AL36" s="61">
        <f t="shared" si="18"/>
        <v>0</v>
      </c>
      <c r="AM36" s="61">
        <f t="shared" si="21"/>
        <v>0</v>
      </c>
      <c r="AN36" s="61">
        <f t="shared" si="22"/>
        <v>0</v>
      </c>
      <c r="AO36" s="61">
        <f t="shared" si="23"/>
        <v>0</v>
      </c>
      <c r="AP36" s="61">
        <f t="shared" si="24"/>
        <v>0</v>
      </c>
      <c r="AQ36" s="61"/>
    </row>
    <row r="37" spans="2:43" x14ac:dyDescent="0.25">
      <c r="B37" s="54">
        <v>0.895833333372138</v>
      </c>
      <c r="C37" s="54">
        <v>1.25000000010915</v>
      </c>
      <c r="D37" s="60"/>
      <c r="E37" s="91"/>
      <c r="G37" s="91"/>
      <c r="H37" s="92">
        <f t="shared" si="2"/>
        <v>0</v>
      </c>
      <c r="I37" s="180">
        <f>AP$6-AP$7</f>
        <v>0</v>
      </c>
      <c r="M37" s="61">
        <f t="shared" si="25"/>
        <v>0</v>
      </c>
      <c r="N37" s="61">
        <f t="shared" si="25"/>
        <v>0</v>
      </c>
      <c r="O37" s="61">
        <f t="shared" si="25"/>
        <v>0</v>
      </c>
      <c r="P37" s="61">
        <f t="shared" si="25"/>
        <v>0</v>
      </c>
      <c r="Q37" s="61">
        <f t="shared" si="25"/>
        <v>0</v>
      </c>
      <c r="R37" s="61">
        <f t="shared" si="25"/>
        <v>0</v>
      </c>
      <c r="S37" s="61">
        <f t="shared" si="25"/>
        <v>0</v>
      </c>
      <c r="T37" s="61">
        <f t="shared" si="25"/>
        <v>0</v>
      </c>
      <c r="U37" s="61">
        <f t="shared" si="25"/>
        <v>0</v>
      </c>
      <c r="V37" s="61">
        <f t="shared" si="25"/>
        <v>0</v>
      </c>
      <c r="W37" s="61">
        <f t="shared" si="26"/>
        <v>0</v>
      </c>
      <c r="X37" s="61">
        <f t="shared" si="26"/>
        <v>0</v>
      </c>
      <c r="Y37" s="61">
        <f t="shared" si="26"/>
        <v>0</v>
      </c>
      <c r="Z37" s="61">
        <f t="shared" si="26"/>
        <v>0</v>
      </c>
      <c r="AA37" s="61">
        <f t="shared" si="26"/>
        <v>0</v>
      </c>
      <c r="AB37" s="61">
        <f t="shared" si="26"/>
        <v>0</v>
      </c>
      <c r="AC37" s="61">
        <f t="shared" si="26"/>
        <v>0</v>
      </c>
      <c r="AD37" s="61">
        <f t="shared" si="6"/>
        <v>0</v>
      </c>
      <c r="AE37" s="61">
        <f t="shared" si="6"/>
        <v>0</v>
      </c>
      <c r="AF37" s="61">
        <f t="shared" si="8"/>
        <v>0</v>
      </c>
      <c r="AG37" s="61">
        <f t="shared" si="10"/>
        <v>0</v>
      </c>
      <c r="AH37" s="61">
        <f t="shared" si="12"/>
        <v>0</v>
      </c>
      <c r="AI37" s="61">
        <f t="shared" si="14"/>
        <v>0</v>
      </c>
      <c r="AJ37" s="61">
        <f t="shared" si="16"/>
        <v>0</v>
      </c>
      <c r="AK37" s="61">
        <f t="shared" si="17"/>
        <v>0</v>
      </c>
      <c r="AL37" s="61">
        <f t="shared" si="18"/>
        <v>0</v>
      </c>
      <c r="AM37" s="61">
        <f t="shared" si="21"/>
        <v>0</v>
      </c>
      <c r="AN37" s="61">
        <f t="shared" si="22"/>
        <v>0</v>
      </c>
      <c r="AO37" s="61">
        <f t="shared" si="23"/>
        <v>0</v>
      </c>
      <c r="AP37" s="61">
        <f t="shared" si="24"/>
        <v>0</v>
      </c>
      <c r="AQ37" s="61"/>
    </row>
    <row r="38" spans="2:43" x14ac:dyDescent="0.25">
      <c r="E38" s="91"/>
      <c r="G38" s="91"/>
      <c r="I38" s="180"/>
    </row>
    <row r="39" spans="2:43" x14ac:dyDescent="0.25">
      <c r="B39" s="52"/>
      <c r="C39" s="52"/>
    </row>
    <row r="40" spans="2:43" x14ac:dyDescent="0.25">
      <c r="B40" s="52"/>
      <c r="C40" s="52"/>
      <c r="M40" s="180">
        <f t="shared" ref="M40:AP40" si="27">M$6-M$7</f>
        <v>0</v>
      </c>
      <c r="N40" s="180">
        <f t="shared" si="27"/>
        <v>0</v>
      </c>
      <c r="O40" s="180">
        <f t="shared" si="27"/>
        <v>0</v>
      </c>
      <c r="P40" s="180">
        <f t="shared" si="27"/>
        <v>0</v>
      </c>
      <c r="Q40" s="180">
        <f t="shared" si="27"/>
        <v>0</v>
      </c>
      <c r="R40" s="180">
        <f t="shared" si="27"/>
        <v>0</v>
      </c>
      <c r="S40" s="180">
        <f t="shared" si="27"/>
        <v>0</v>
      </c>
      <c r="T40" s="180">
        <f t="shared" si="27"/>
        <v>0</v>
      </c>
      <c r="U40" s="180">
        <f t="shared" si="27"/>
        <v>0</v>
      </c>
      <c r="V40" s="180">
        <f t="shared" si="27"/>
        <v>0</v>
      </c>
      <c r="W40" s="180">
        <f t="shared" si="27"/>
        <v>0</v>
      </c>
      <c r="X40" s="180">
        <f t="shared" si="27"/>
        <v>0</v>
      </c>
      <c r="Y40" s="180">
        <f t="shared" si="27"/>
        <v>0</v>
      </c>
      <c r="Z40" s="180">
        <f t="shared" si="27"/>
        <v>0</v>
      </c>
      <c r="AA40" s="180">
        <f t="shared" si="27"/>
        <v>0</v>
      </c>
      <c r="AB40" s="180">
        <f t="shared" si="27"/>
        <v>0</v>
      </c>
      <c r="AC40" s="180">
        <f t="shared" si="27"/>
        <v>0</v>
      </c>
      <c r="AD40" s="180">
        <f t="shared" si="27"/>
        <v>0</v>
      </c>
      <c r="AE40" s="180">
        <f t="shared" si="27"/>
        <v>0</v>
      </c>
      <c r="AF40" s="180">
        <f t="shared" si="27"/>
        <v>0</v>
      </c>
      <c r="AG40" s="180">
        <f t="shared" si="27"/>
        <v>0</v>
      </c>
      <c r="AH40" s="180">
        <f t="shared" si="27"/>
        <v>0</v>
      </c>
      <c r="AI40" s="180">
        <f t="shared" si="27"/>
        <v>0</v>
      </c>
      <c r="AJ40" s="180">
        <f t="shared" si="27"/>
        <v>0</v>
      </c>
      <c r="AK40" s="180">
        <f t="shared" si="27"/>
        <v>0</v>
      </c>
      <c r="AL40" s="180">
        <f t="shared" si="27"/>
        <v>0</v>
      </c>
      <c r="AM40" s="180">
        <f t="shared" si="27"/>
        <v>0</v>
      </c>
      <c r="AN40" s="180">
        <f t="shared" si="27"/>
        <v>0</v>
      </c>
      <c r="AO40" s="180">
        <f t="shared" si="27"/>
        <v>0</v>
      </c>
      <c r="AP40" s="180">
        <f t="shared" si="27"/>
        <v>0</v>
      </c>
    </row>
    <row r="41" spans="2:43" x14ac:dyDescent="0.25">
      <c r="B41" s="52"/>
      <c r="C41" s="52"/>
    </row>
    <row r="42" spans="2:43" x14ac:dyDescent="0.25">
      <c r="B42" s="52"/>
      <c r="C42" s="52"/>
    </row>
    <row r="43" spans="2:43" x14ac:dyDescent="0.25">
      <c r="B43" s="52"/>
      <c r="C43" s="52"/>
    </row>
    <row r="44" spans="2:43" x14ac:dyDescent="0.25">
      <c r="B44" s="52"/>
      <c r="C44" s="52"/>
    </row>
    <row r="45" spans="2:43" x14ac:dyDescent="0.25">
      <c r="B45" s="52"/>
      <c r="C45" s="52"/>
    </row>
    <row r="46" spans="2:43" s="52" customFormat="1" x14ac:dyDescent="0.25">
      <c r="E46" s="53"/>
      <c r="F46" s="53"/>
      <c r="G46" s="53"/>
      <c r="H46" s="53"/>
      <c r="I46" s="53"/>
      <c r="J46" s="53"/>
      <c r="K46" s="58" t="s">
        <v>32</v>
      </c>
      <c r="L46" s="53"/>
      <c r="M46" s="84">
        <f>G51</f>
        <v>0</v>
      </c>
      <c r="N46" s="84">
        <f>M46+G52</f>
        <v>0</v>
      </c>
      <c r="O46" s="84">
        <f>N46+G53</f>
        <v>0</v>
      </c>
      <c r="P46" s="84">
        <f>+O46+G54</f>
        <v>0</v>
      </c>
      <c r="Q46" s="84">
        <f>P46+G55</f>
        <v>0</v>
      </c>
      <c r="R46" s="84">
        <f>Q46+G56</f>
        <v>0</v>
      </c>
      <c r="S46" s="84">
        <f>R46+G57</f>
        <v>0</v>
      </c>
      <c r="T46" s="84">
        <f>S46+G58</f>
        <v>0</v>
      </c>
      <c r="U46" s="84">
        <f>T46+G59-G51</f>
        <v>0</v>
      </c>
      <c r="V46" s="84">
        <f>U46+G60-G52</f>
        <v>0</v>
      </c>
      <c r="W46" s="84">
        <f>V46+G61-G53</f>
        <v>0</v>
      </c>
      <c r="X46" s="84">
        <f>W46+G62-G54</f>
        <v>0</v>
      </c>
      <c r="Y46" s="84">
        <f>X46+G63-G55</f>
        <v>0</v>
      </c>
      <c r="Z46" s="84">
        <f>Y46+G64-G56</f>
        <v>0</v>
      </c>
      <c r="AA46" s="84">
        <f>Z46+G65-G57</f>
        <v>0</v>
      </c>
      <c r="AB46" s="84">
        <f>AA46+G66-G58</f>
        <v>0</v>
      </c>
      <c r="AC46" s="84">
        <f>AB46+G67-G59</f>
        <v>0</v>
      </c>
      <c r="AD46" s="84">
        <f>AC46+G68-G60</f>
        <v>0</v>
      </c>
      <c r="AE46" s="84">
        <f>AD46+G69-G61</f>
        <v>0</v>
      </c>
      <c r="AF46" s="84">
        <f>AE46+G70-G62</f>
        <v>0</v>
      </c>
      <c r="AG46" s="84">
        <f>AF46+G71-G63</f>
        <v>0</v>
      </c>
      <c r="AH46" s="84">
        <f>AG46+G72-G64</f>
        <v>0</v>
      </c>
      <c r="AI46" s="84">
        <f>AH46+G73-G65</f>
        <v>0</v>
      </c>
      <c r="AJ46" s="84">
        <f>AI46+G74-G66</f>
        <v>0</v>
      </c>
      <c r="AK46" s="84">
        <f>AJ46+G75-G67</f>
        <v>0</v>
      </c>
      <c r="AL46" s="84">
        <f>AK46+G76-G68</f>
        <v>0</v>
      </c>
      <c r="AM46" s="84">
        <f>AL46+G77-G69</f>
        <v>0</v>
      </c>
      <c r="AN46" s="84">
        <f>AM46+G78-G70</f>
        <v>0</v>
      </c>
      <c r="AO46" s="84">
        <f>AN46+G79-G71</f>
        <v>0</v>
      </c>
      <c r="AP46" s="84">
        <f>AO46+G80-G72</f>
        <v>0</v>
      </c>
      <c r="AQ46" s="84">
        <f>SUM(M46:AP46)/8.5</f>
        <v>0</v>
      </c>
    </row>
    <row r="47" spans="2:43" x14ac:dyDescent="0.25">
      <c r="J47" s="57"/>
      <c r="K47" s="58" t="s">
        <v>31</v>
      </c>
      <c r="M47" s="84">
        <f>F51</f>
        <v>0</v>
      </c>
      <c r="N47" s="84">
        <f>M47+F52</f>
        <v>0</v>
      </c>
      <c r="O47" s="84">
        <f>N47+F53</f>
        <v>0</v>
      </c>
      <c r="P47" s="84">
        <f>O47+F54</f>
        <v>0</v>
      </c>
      <c r="Q47" s="84">
        <f>P47+F55</f>
        <v>0</v>
      </c>
      <c r="R47" s="84">
        <f>Q47+F56</f>
        <v>0</v>
      </c>
      <c r="S47" s="84">
        <f>R47+F57</f>
        <v>0</v>
      </c>
      <c r="T47" s="84">
        <f>S47+F58</f>
        <v>0</v>
      </c>
      <c r="U47" s="84">
        <f>T47+F59</f>
        <v>0</v>
      </c>
      <c r="V47" s="84">
        <f>U47</f>
        <v>0</v>
      </c>
      <c r="W47" s="84">
        <f>V47</f>
        <v>0</v>
      </c>
      <c r="X47" s="84">
        <f>W47</f>
        <v>0</v>
      </c>
      <c r="Y47" s="96"/>
      <c r="Z47" s="96"/>
      <c r="AA47" s="96"/>
      <c r="AB47" s="96"/>
      <c r="AC47" s="84">
        <f t="shared" ref="AC47:AN47" si="28">M47</f>
        <v>0</v>
      </c>
      <c r="AD47" s="84">
        <f t="shared" si="28"/>
        <v>0</v>
      </c>
      <c r="AE47" s="84">
        <f t="shared" si="28"/>
        <v>0</v>
      </c>
      <c r="AF47" s="84">
        <f t="shared" si="28"/>
        <v>0</v>
      </c>
      <c r="AG47" s="84">
        <f t="shared" si="28"/>
        <v>0</v>
      </c>
      <c r="AH47" s="84">
        <f t="shared" si="28"/>
        <v>0</v>
      </c>
      <c r="AI47" s="84">
        <f t="shared" si="28"/>
        <v>0</v>
      </c>
      <c r="AJ47" s="84">
        <f t="shared" si="28"/>
        <v>0</v>
      </c>
      <c r="AK47" s="84">
        <f t="shared" si="28"/>
        <v>0</v>
      </c>
      <c r="AL47" s="84">
        <f t="shared" si="28"/>
        <v>0</v>
      </c>
      <c r="AM47" s="84">
        <f t="shared" si="28"/>
        <v>0</v>
      </c>
      <c r="AN47" s="84">
        <f t="shared" si="28"/>
        <v>0</v>
      </c>
      <c r="AO47" s="84"/>
      <c r="AP47" s="84"/>
      <c r="AQ47" s="182"/>
    </row>
    <row r="48" spans="2:43" s="57" customFormat="1" ht="17.25" customHeight="1" x14ac:dyDescent="0.25">
      <c r="K48" s="58" t="s">
        <v>13</v>
      </c>
      <c r="M48" s="84"/>
      <c r="N48" s="84"/>
      <c r="O48" s="84"/>
      <c r="P48" s="84"/>
      <c r="Q48" s="84"/>
      <c r="R48" s="84"/>
      <c r="S48" s="84"/>
      <c r="T48" s="84"/>
      <c r="U48" s="84">
        <f>M47</f>
        <v>0</v>
      </c>
      <c r="V48" s="84">
        <f>N47</f>
        <v>0</v>
      </c>
      <c r="W48" s="84">
        <f>O47</f>
        <v>0</v>
      </c>
      <c r="X48" s="84">
        <f>P47</f>
        <v>0</v>
      </c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>
        <f>AC47</f>
        <v>0</v>
      </c>
      <c r="AL48" s="84">
        <f>AD47</f>
        <v>0</v>
      </c>
      <c r="AM48" s="84">
        <f>AE47</f>
        <v>0</v>
      </c>
      <c r="AN48" s="84">
        <f>AF47</f>
        <v>0</v>
      </c>
      <c r="AO48" s="84"/>
      <c r="AP48" s="85"/>
      <c r="AQ48" s="86"/>
    </row>
    <row r="49" spans="2:43" s="57" customFormat="1" ht="17.25" customHeight="1" x14ac:dyDescent="0.25">
      <c r="B49" s="57" t="s">
        <v>17</v>
      </c>
      <c r="E49" s="59" t="s">
        <v>8</v>
      </c>
      <c r="F49" s="59" t="s">
        <v>15</v>
      </c>
      <c r="G49" s="59" t="s">
        <v>32</v>
      </c>
      <c r="H49" s="59" t="s">
        <v>16</v>
      </c>
      <c r="J49" s="58" t="s">
        <v>9</v>
      </c>
      <c r="K49" s="58">
        <f>SUM(M49:AP49)/16</f>
        <v>0</v>
      </c>
      <c r="M49" s="87">
        <f t="shared" ref="M49:AP49" si="29">SUM(M51:M80)+M47+M46-M48</f>
        <v>0</v>
      </c>
      <c r="N49" s="87">
        <f t="shared" si="29"/>
        <v>0</v>
      </c>
      <c r="O49" s="87">
        <f t="shared" si="29"/>
        <v>0</v>
      </c>
      <c r="P49" s="87">
        <f t="shared" si="29"/>
        <v>0</v>
      </c>
      <c r="Q49" s="87">
        <f t="shared" si="29"/>
        <v>0</v>
      </c>
      <c r="R49" s="87">
        <f t="shared" si="29"/>
        <v>0</v>
      </c>
      <c r="S49" s="87">
        <f t="shared" si="29"/>
        <v>0</v>
      </c>
      <c r="T49" s="87">
        <f t="shared" si="29"/>
        <v>0</v>
      </c>
      <c r="U49" s="87">
        <f t="shared" si="29"/>
        <v>0</v>
      </c>
      <c r="V49" s="87">
        <f t="shared" si="29"/>
        <v>0</v>
      </c>
      <c r="W49" s="87">
        <f t="shared" si="29"/>
        <v>0</v>
      </c>
      <c r="X49" s="87">
        <f t="shared" si="29"/>
        <v>0</v>
      </c>
      <c r="Y49" s="87">
        <f t="shared" si="29"/>
        <v>0</v>
      </c>
      <c r="Z49" s="87">
        <f t="shared" si="29"/>
        <v>0</v>
      </c>
      <c r="AA49" s="87">
        <f t="shared" si="29"/>
        <v>0</v>
      </c>
      <c r="AB49" s="87">
        <f t="shared" si="29"/>
        <v>0</v>
      </c>
      <c r="AC49" s="87">
        <f t="shared" si="29"/>
        <v>0</v>
      </c>
      <c r="AD49" s="87">
        <f t="shared" si="29"/>
        <v>0</v>
      </c>
      <c r="AE49" s="87">
        <f t="shared" si="29"/>
        <v>0</v>
      </c>
      <c r="AF49" s="87">
        <f t="shared" si="29"/>
        <v>0</v>
      </c>
      <c r="AG49" s="87">
        <f t="shared" si="29"/>
        <v>0</v>
      </c>
      <c r="AH49" s="87">
        <f t="shared" si="29"/>
        <v>0</v>
      </c>
      <c r="AI49" s="87">
        <f t="shared" si="29"/>
        <v>0</v>
      </c>
      <c r="AJ49" s="87">
        <f t="shared" si="29"/>
        <v>0</v>
      </c>
      <c r="AK49" s="87">
        <f t="shared" si="29"/>
        <v>0</v>
      </c>
      <c r="AL49" s="87">
        <f t="shared" si="29"/>
        <v>0</v>
      </c>
      <c r="AM49" s="87">
        <f t="shared" si="29"/>
        <v>0</v>
      </c>
      <c r="AN49" s="87">
        <f t="shared" si="29"/>
        <v>0</v>
      </c>
      <c r="AO49" s="87">
        <f t="shared" si="29"/>
        <v>0</v>
      </c>
      <c r="AP49" s="87">
        <f t="shared" si="29"/>
        <v>0</v>
      </c>
      <c r="AQ49" s="87"/>
    </row>
    <row r="50" spans="2:43" s="88" customFormat="1" x14ac:dyDescent="0.25">
      <c r="E50" s="178">
        <f>SUM(E51:E80)</f>
        <v>0</v>
      </c>
      <c r="F50" s="178">
        <f>SUM(F51:F80)</f>
        <v>0</v>
      </c>
      <c r="G50" s="178">
        <f>SUM(G51:G80)</f>
        <v>0</v>
      </c>
      <c r="H50" s="178">
        <f>SUM(H51:H80)</f>
        <v>0</v>
      </c>
      <c r="I50" s="89"/>
      <c r="J50" s="89"/>
      <c r="K50" s="58" t="s">
        <v>7</v>
      </c>
      <c r="L50" s="89"/>
      <c r="M50" s="180">
        <f>SUMMARY!$F$6</f>
        <v>0</v>
      </c>
      <c r="N50" s="180">
        <f>SUMMARY!$F$7</f>
        <v>0</v>
      </c>
      <c r="O50" s="180">
        <f>SUMMARY!$F$8</f>
        <v>0</v>
      </c>
      <c r="P50" s="180">
        <f>SUMMARY!$F$9</f>
        <v>0</v>
      </c>
      <c r="Q50" s="180">
        <f>SUMMARY!$F$10</f>
        <v>0</v>
      </c>
      <c r="R50" s="180">
        <f>SUMMARY!$F$11</f>
        <v>0</v>
      </c>
      <c r="S50" s="180">
        <f>SUMMARY!$F$12</f>
        <v>0</v>
      </c>
      <c r="T50" s="180">
        <f>SUMMARY!$F$13</f>
        <v>0</v>
      </c>
      <c r="U50" s="180">
        <f>SUMMARY!$F$14</f>
        <v>0</v>
      </c>
      <c r="V50" s="180">
        <f>SUMMARY!$F$15</f>
        <v>0</v>
      </c>
      <c r="W50" s="180">
        <f>SUMMARY!$F$16</f>
        <v>0</v>
      </c>
      <c r="X50" s="180">
        <f>SUMMARY!$F$17</f>
        <v>0</v>
      </c>
      <c r="Y50" s="180">
        <f>SUMMARY!$F$18</f>
        <v>0</v>
      </c>
      <c r="Z50" s="180">
        <f>SUMMARY!$F$19</f>
        <v>0</v>
      </c>
      <c r="AA50" s="180">
        <f>SUMMARY!$F$20</f>
        <v>0</v>
      </c>
      <c r="AB50" s="180">
        <f>SUMMARY!$F$21</f>
        <v>0</v>
      </c>
      <c r="AC50" s="180">
        <f>SUMMARY!$F$22</f>
        <v>0</v>
      </c>
      <c r="AD50" s="180">
        <f>SUMMARY!$F$23</f>
        <v>0</v>
      </c>
      <c r="AE50" s="180">
        <f>SUMMARY!$F$24</f>
        <v>0</v>
      </c>
      <c r="AF50" s="180">
        <f>SUMMARY!$F$25</f>
        <v>0</v>
      </c>
      <c r="AG50" s="180">
        <f>SUMMARY!$F$26</f>
        <v>0</v>
      </c>
      <c r="AH50" s="180">
        <f>SUMMARY!$F$27</f>
        <v>0</v>
      </c>
      <c r="AI50" s="180">
        <f>SUMMARY!$F$28</f>
        <v>0</v>
      </c>
      <c r="AJ50" s="180">
        <f>SUMMARY!$F$29</f>
        <v>0</v>
      </c>
      <c r="AK50" s="180">
        <f>SUMMARY!$F$30</f>
        <v>0</v>
      </c>
      <c r="AL50" s="180">
        <f>SUMMARY!$F$31</f>
        <v>0</v>
      </c>
      <c r="AM50" s="180">
        <f>SUMMARY!$F$32</f>
        <v>0</v>
      </c>
      <c r="AN50" s="180">
        <f>SUMMARY!$F$33</f>
        <v>0</v>
      </c>
      <c r="AO50" s="180">
        <f>SUMMARY!$F$34</f>
        <v>0</v>
      </c>
      <c r="AP50" s="180">
        <f>SUMMARY!$F$35</f>
        <v>0</v>
      </c>
      <c r="AQ50" s="180">
        <f>NCC!$O$36</f>
        <v>0</v>
      </c>
    </row>
    <row r="51" spans="2:43" x14ac:dyDescent="0.25">
      <c r="B51" s="54">
        <v>0.29166666666424135</v>
      </c>
      <c r="C51" s="54">
        <v>0.645833333372138</v>
      </c>
      <c r="D51" s="60"/>
      <c r="E51" s="91">
        <f>SUMMARY!Q6</f>
        <v>0</v>
      </c>
      <c r="F51" s="91"/>
      <c r="G51" s="91"/>
      <c r="H51" s="92">
        <f t="shared" ref="H51:H80" si="30">SUM(E51:G51)</f>
        <v>0</v>
      </c>
      <c r="I51" s="180">
        <f>M$49-M$50</f>
        <v>0</v>
      </c>
      <c r="M51" s="61">
        <f t="shared" ref="M51:V52" si="31">IF(AND(M$2&gt;=$B51,M$2&lt;$C51),$E51,0)</f>
        <v>0</v>
      </c>
      <c r="N51" s="61">
        <f t="shared" si="31"/>
        <v>0</v>
      </c>
      <c r="O51" s="61">
        <f t="shared" si="31"/>
        <v>0</v>
      </c>
      <c r="P51" s="61">
        <f t="shared" si="31"/>
        <v>0</v>
      </c>
      <c r="Q51" s="61">
        <f t="shared" si="31"/>
        <v>0</v>
      </c>
      <c r="R51" s="61">
        <f t="shared" si="31"/>
        <v>0</v>
      </c>
      <c r="S51" s="61">
        <f t="shared" si="31"/>
        <v>0</v>
      </c>
      <c r="T51" s="61">
        <f t="shared" si="31"/>
        <v>0</v>
      </c>
      <c r="U51" s="61">
        <f t="shared" si="31"/>
        <v>0</v>
      </c>
      <c r="V51" s="61">
        <f t="shared" si="31"/>
        <v>0</v>
      </c>
      <c r="W51" s="61">
        <f t="shared" ref="W51:AF52" si="32">IF(AND(W$2&gt;=$B51,W$2&lt;$C51),$E51,0)</f>
        <v>0</v>
      </c>
      <c r="X51" s="61">
        <f t="shared" si="32"/>
        <v>0</v>
      </c>
      <c r="Y51" s="61">
        <f t="shared" si="32"/>
        <v>0</v>
      </c>
      <c r="Z51" s="61">
        <f t="shared" si="32"/>
        <v>0</v>
      </c>
      <c r="AA51" s="61">
        <f t="shared" si="32"/>
        <v>0</v>
      </c>
      <c r="AB51" s="61">
        <f t="shared" si="32"/>
        <v>0</v>
      </c>
      <c r="AC51" s="61">
        <f t="shared" si="32"/>
        <v>0</v>
      </c>
      <c r="AD51" s="61">
        <f t="shared" si="32"/>
        <v>0</v>
      </c>
      <c r="AE51" s="61">
        <f t="shared" si="32"/>
        <v>0</v>
      </c>
      <c r="AF51" s="61">
        <f t="shared" si="32"/>
        <v>0</v>
      </c>
      <c r="AG51" s="61">
        <f t="shared" ref="AG51:AP52" si="33">IF(AND(AG$2&gt;=$B51,AG$2&lt;$C51),$E51,0)</f>
        <v>0</v>
      </c>
      <c r="AH51" s="61">
        <f t="shared" si="33"/>
        <v>0</v>
      </c>
      <c r="AI51" s="61">
        <f t="shared" si="33"/>
        <v>0</v>
      </c>
      <c r="AJ51" s="61">
        <f t="shared" si="33"/>
        <v>0</v>
      </c>
      <c r="AK51" s="61">
        <f t="shared" si="33"/>
        <v>0</v>
      </c>
      <c r="AL51" s="61">
        <f t="shared" si="33"/>
        <v>0</v>
      </c>
      <c r="AM51" s="61">
        <f t="shared" si="33"/>
        <v>0</v>
      </c>
      <c r="AN51" s="61">
        <f t="shared" si="33"/>
        <v>0</v>
      </c>
      <c r="AO51" s="61">
        <f t="shared" si="33"/>
        <v>0</v>
      </c>
      <c r="AP51" s="61">
        <f t="shared" si="33"/>
        <v>0</v>
      </c>
      <c r="AQ51" s="61"/>
    </row>
    <row r="52" spans="2:43" x14ac:dyDescent="0.25">
      <c r="B52" s="54">
        <v>0.3125</v>
      </c>
      <c r="C52" s="54">
        <v>0.66666666670789698</v>
      </c>
      <c r="D52" s="60"/>
      <c r="E52" s="91">
        <f>SUMMARY!Q7</f>
        <v>0</v>
      </c>
      <c r="F52" s="91"/>
      <c r="G52" s="91"/>
      <c r="H52" s="92">
        <f t="shared" si="30"/>
        <v>0</v>
      </c>
      <c r="I52" s="180">
        <f>N$49-N$50</f>
        <v>0</v>
      </c>
      <c r="M52" s="61">
        <f t="shared" si="31"/>
        <v>0</v>
      </c>
      <c r="N52" s="61">
        <f t="shared" si="31"/>
        <v>0</v>
      </c>
      <c r="O52" s="61">
        <f t="shared" si="31"/>
        <v>0</v>
      </c>
      <c r="P52" s="61">
        <f t="shared" si="31"/>
        <v>0</v>
      </c>
      <c r="Q52" s="61">
        <f t="shared" si="31"/>
        <v>0</v>
      </c>
      <c r="R52" s="61">
        <f t="shared" si="31"/>
        <v>0</v>
      </c>
      <c r="S52" s="61">
        <f t="shared" si="31"/>
        <v>0</v>
      </c>
      <c r="T52" s="61">
        <f t="shared" si="31"/>
        <v>0</v>
      </c>
      <c r="U52" s="61">
        <f t="shared" si="31"/>
        <v>0</v>
      </c>
      <c r="V52" s="61">
        <f t="shared" si="31"/>
        <v>0</v>
      </c>
      <c r="W52" s="61">
        <f t="shared" si="32"/>
        <v>0</v>
      </c>
      <c r="X52" s="61">
        <f t="shared" si="32"/>
        <v>0</v>
      </c>
      <c r="Y52" s="61">
        <f t="shared" si="32"/>
        <v>0</v>
      </c>
      <c r="Z52" s="61">
        <f t="shared" si="32"/>
        <v>0</v>
      </c>
      <c r="AA52" s="61">
        <f t="shared" si="32"/>
        <v>0</v>
      </c>
      <c r="AB52" s="61">
        <f t="shared" si="32"/>
        <v>0</v>
      </c>
      <c r="AC52" s="61">
        <f t="shared" si="32"/>
        <v>0</v>
      </c>
      <c r="AD52" s="61">
        <f t="shared" si="32"/>
        <v>0</v>
      </c>
      <c r="AE52" s="61">
        <f t="shared" si="32"/>
        <v>0</v>
      </c>
      <c r="AF52" s="61">
        <f t="shared" si="32"/>
        <v>0</v>
      </c>
      <c r="AG52" s="61">
        <f t="shared" si="33"/>
        <v>0</v>
      </c>
      <c r="AH52" s="61">
        <f t="shared" si="33"/>
        <v>0</v>
      </c>
      <c r="AI52" s="61">
        <f t="shared" si="33"/>
        <v>0</v>
      </c>
      <c r="AJ52" s="61">
        <f t="shared" si="33"/>
        <v>0</v>
      </c>
      <c r="AK52" s="61">
        <f t="shared" si="33"/>
        <v>0</v>
      </c>
      <c r="AL52" s="61">
        <f t="shared" si="33"/>
        <v>0</v>
      </c>
      <c r="AM52" s="61">
        <f t="shared" si="33"/>
        <v>0</v>
      </c>
      <c r="AN52" s="61">
        <f t="shared" si="33"/>
        <v>0</v>
      </c>
      <c r="AO52" s="61">
        <f t="shared" si="33"/>
        <v>0</v>
      </c>
      <c r="AP52" s="61">
        <f t="shared" si="33"/>
        <v>0</v>
      </c>
      <c r="AQ52" s="61"/>
    </row>
    <row r="53" spans="2:43" x14ac:dyDescent="0.25">
      <c r="B53" s="54">
        <v>0.33333333333575865</v>
      </c>
      <c r="C53" s="54">
        <v>0.68750000004365597</v>
      </c>
      <c r="D53" s="60"/>
      <c r="E53" s="91">
        <f>SUMMARY!Q8</f>
        <v>0</v>
      </c>
      <c r="F53" s="91"/>
      <c r="G53" s="91"/>
      <c r="H53" s="92">
        <f t="shared" si="30"/>
        <v>0</v>
      </c>
      <c r="I53" s="180">
        <f>O$49-O$50</f>
        <v>0</v>
      </c>
      <c r="M53" s="61">
        <f t="shared" ref="M53:V62" si="34">IF(AND(M$2&gt;=$B53,M$2&lt;$C53),$E53,0)</f>
        <v>0</v>
      </c>
      <c r="N53" s="61">
        <f t="shared" si="34"/>
        <v>0</v>
      </c>
      <c r="O53" s="61">
        <f t="shared" si="34"/>
        <v>0</v>
      </c>
      <c r="P53" s="61">
        <f t="shared" si="34"/>
        <v>0</v>
      </c>
      <c r="Q53" s="61">
        <f t="shared" si="34"/>
        <v>0</v>
      </c>
      <c r="R53" s="61">
        <f t="shared" si="34"/>
        <v>0</v>
      </c>
      <c r="S53" s="61">
        <f t="shared" si="34"/>
        <v>0</v>
      </c>
      <c r="T53" s="61">
        <f t="shared" si="34"/>
        <v>0</v>
      </c>
      <c r="U53" s="61">
        <f t="shared" si="34"/>
        <v>0</v>
      </c>
      <c r="V53" s="61">
        <f t="shared" si="34"/>
        <v>0</v>
      </c>
      <c r="W53" s="61">
        <f t="shared" ref="W53:AE62" si="35">IF(AND(W$2&gt;=$B53,W$2&lt;$C53),$E53,0)</f>
        <v>0</v>
      </c>
      <c r="X53" s="61">
        <f t="shared" si="35"/>
        <v>0</v>
      </c>
      <c r="Y53" s="61">
        <f t="shared" si="35"/>
        <v>0</v>
      </c>
      <c r="Z53" s="61">
        <f t="shared" si="35"/>
        <v>0</v>
      </c>
      <c r="AA53" s="61">
        <f t="shared" si="35"/>
        <v>0</v>
      </c>
      <c r="AB53" s="61">
        <f t="shared" si="35"/>
        <v>0</v>
      </c>
      <c r="AC53" s="61">
        <f t="shared" si="35"/>
        <v>0</v>
      </c>
      <c r="AD53" s="61">
        <f t="shared" si="35"/>
        <v>0</v>
      </c>
      <c r="AE53" s="61">
        <f t="shared" si="35"/>
        <v>0</v>
      </c>
      <c r="AF53" s="61"/>
      <c r="AG53" s="61">
        <f t="shared" ref="AG53:AP53" si="36">IF(AND(AG$2&gt;=$B53,AG$2&lt;$C53),$E53,0)</f>
        <v>0</v>
      </c>
      <c r="AH53" s="61">
        <f t="shared" si="36"/>
        <v>0</v>
      </c>
      <c r="AI53" s="61">
        <f t="shared" si="36"/>
        <v>0</v>
      </c>
      <c r="AJ53" s="61">
        <f t="shared" si="36"/>
        <v>0</v>
      </c>
      <c r="AK53" s="61">
        <f t="shared" si="36"/>
        <v>0</v>
      </c>
      <c r="AL53" s="61">
        <f t="shared" si="36"/>
        <v>0</v>
      </c>
      <c r="AM53" s="61">
        <f t="shared" si="36"/>
        <v>0</v>
      </c>
      <c r="AN53" s="61">
        <f t="shared" si="36"/>
        <v>0</v>
      </c>
      <c r="AO53" s="61">
        <f t="shared" si="36"/>
        <v>0</v>
      </c>
      <c r="AP53" s="61">
        <f t="shared" si="36"/>
        <v>0</v>
      </c>
      <c r="AQ53" s="61"/>
    </row>
    <row r="54" spans="2:43" x14ac:dyDescent="0.25">
      <c r="B54" s="54">
        <v>0.35416666666424135</v>
      </c>
      <c r="C54" s="54">
        <v>0.70833333337941495</v>
      </c>
      <c r="D54" s="60"/>
      <c r="E54" s="91">
        <f>SUMMARY!Q9</f>
        <v>0</v>
      </c>
      <c r="F54" s="91"/>
      <c r="G54" s="91"/>
      <c r="H54" s="92">
        <f t="shared" si="30"/>
        <v>0</v>
      </c>
      <c r="I54" s="180">
        <f>P$49-P$50</f>
        <v>0</v>
      </c>
      <c r="M54" s="61">
        <f t="shared" si="34"/>
        <v>0</v>
      </c>
      <c r="N54" s="61">
        <f t="shared" si="34"/>
        <v>0</v>
      </c>
      <c r="O54" s="61">
        <f t="shared" si="34"/>
        <v>0</v>
      </c>
      <c r="P54" s="61">
        <f t="shared" si="34"/>
        <v>0</v>
      </c>
      <c r="Q54" s="61">
        <f t="shared" si="34"/>
        <v>0</v>
      </c>
      <c r="R54" s="61">
        <f t="shared" si="34"/>
        <v>0</v>
      </c>
      <c r="S54" s="61">
        <f t="shared" si="34"/>
        <v>0</v>
      </c>
      <c r="T54" s="61">
        <f t="shared" si="34"/>
        <v>0</v>
      </c>
      <c r="U54" s="61">
        <f t="shared" si="34"/>
        <v>0</v>
      </c>
      <c r="V54" s="61">
        <f t="shared" si="34"/>
        <v>0</v>
      </c>
      <c r="W54" s="61">
        <f t="shared" si="35"/>
        <v>0</v>
      </c>
      <c r="X54" s="61">
        <f t="shared" si="35"/>
        <v>0</v>
      </c>
      <c r="Y54" s="61">
        <f t="shared" si="35"/>
        <v>0</v>
      </c>
      <c r="Z54" s="61">
        <f t="shared" si="35"/>
        <v>0</v>
      </c>
      <c r="AA54" s="61">
        <f t="shared" si="35"/>
        <v>0</v>
      </c>
      <c r="AB54" s="61">
        <f t="shared" si="35"/>
        <v>0</v>
      </c>
      <c r="AC54" s="61">
        <f t="shared" si="35"/>
        <v>0</v>
      </c>
      <c r="AD54" s="61">
        <f t="shared" si="35"/>
        <v>0</v>
      </c>
      <c r="AE54" s="61">
        <f t="shared" si="35"/>
        <v>0</v>
      </c>
      <c r="AF54" s="61">
        <f t="shared" ref="AF54:AF80" si="37">IF(AND(AF$2&gt;=$B54,AF$2&lt;$C54),$E54,0)</f>
        <v>0</v>
      </c>
      <c r="AG54" s="61"/>
      <c r="AH54" s="61">
        <f t="shared" ref="AH54:AP54" si="38">IF(AND(AH$2&gt;=$B54,AH$2&lt;$C54),$E54,0)</f>
        <v>0</v>
      </c>
      <c r="AI54" s="61">
        <f t="shared" si="38"/>
        <v>0</v>
      </c>
      <c r="AJ54" s="61">
        <f t="shared" si="38"/>
        <v>0</v>
      </c>
      <c r="AK54" s="61">
        <f t="shared" si="38"/>
        <v>0</v>
      </c>
      <c r="AL54" s="61">
        <f t="shared" si="38"/>
        <v>0</v>
      </c>
      <c r="AM54" s="61">
        <f t="shared" si="38"/>
        <v>0</v>
      </c>
      <c r="AN54" s="61">
        <f t="shared" si="38"/>
        <v>0</v>
      </c>
      <c r="AO54" s="61">
        <f t="shared" si="38"/>
        <v>0</v>
      </c>
      <c r="AP54" s="61">
        <f t="shared" si="38"/>
        <v>0</v>
      </c>
      <c r="AQ54" s="61"/>
    </row>
    <row r="55" spans="2:43" x14ac:dyDescent="0.25">
      <c r="B55" s="54">
        <v>0.375</v>
      </c>
      <c r="C55" s="54">
        <v>0.72916666671517405</v>
      </c>
      <c r="D55" s="60"/>
      <c r="E55" s="91">
        <f>SUMMARY!Q10</f>
        <v>0</v>
      </c>
      <c r="F55" s="91"/>
      <c r="G55" s="91"/>
      <c r="H55" s="92">
        <f t="shared" si="30"/>
        <v>0</v>
      </c>
      <c r="I55" s="180">
        <f>Q$49-Q$50</f>
        <v>0</v>
      </c>
      <c r="M55" s="61">
        <f t="shared" si="34"/>
        <v>0</v>
      </c>
      <c r="N55" s="61">
        <f t="shared" si="34"/>
        <v>0</v>
      </c>
      <c r="O55" s="61">
        <f t="shared" si="34"/>
        <v>0</v>
      </c>
      <c r="P55" s="61">
        <f t="shared" si="34"/>
        <v>0</v>
      </c>
      <c r="Q55" s="61">
        <f t="shared" si="34"/>
        <v>0</v>
      </c>
      <c r="R55" s="61">
        <f t="shared" si="34"/>
        <v>0</v>
      </c>
      <c r="S55" s="61">
        <f t="shared" si="34"/>
        <v>0</v>
      </c>
      <c r="T55" s="61">
        <f t="shared" si="34"/>
        <v>0</v>
      </c>
      <c r="U55" s="61">
        <f t="shared" si="34"/>
        <v>0</v>
      </c>
      <c r="V55" s="61">
        <f t="shared" si="34"/>
        <v>0</v>
      </c>
      <c r="W55" s="61">
        <f t="shared" si="35"/>
        <v>0</v>
      </c>
      <c r="X55" s="61">
        <f t="shared" si="35"/>
        <v>0</v>
      </c>
      <c r="Y55" s="61">
        <f t="shared" si="35"/>
        <v>0</v>
      </c>
      <c r="Z55" s="61">
        <f t="shared" si="35"/>
        <v>0</v>
      </c>
      <c r="AA55" s="61">
        <f t="shared" si="35"/>
        <v>0</v>
      </c>
      <c r="AB55" s="61">
        <f t="shared" si="35"/>
        <v>0</v>
      </c>
      <c r="AC55" s="61">
        <f t="shared" si="35"/>
        <v>0</v>
      </c>
      <c r="AD55" s="61">
        <f t="shared" si="35"/>
        <v>0</v>
      </c>
      <c r="AE55" s="61">
        <f t="shared" si="35"/>
        <v>0</v>
      </c>
      <c r="AF55" s="61">
        <f t="shared" si="37"/>
        <v>0</v>
      </c>
      <c r="AG55" s="61">
        <f t="shared" ref="AG55:AG80" si="39">IF(AND(AG$2&gt;=$B55,AG$2&lt;$C55),$E55,0)</f>
        <v>0</v>
      </c>
      <c r="AH55" s="61"/>
      <c r="AI55" s="61">
        <f t="shared" ref="AI55:AP55" si="40">IF(AND(AI$2&gt;=$B55,AI$2&lt;$C55),$E55,0)</f>
        <v>0</v>
      </c>
      <c r="AJ55" s="61">
        <f t="shared" si="40"/>
        <v>0</v>
      </c>
      <c r="AK55" s="61">
        <f t="shared" si="40"/>
        <v>0</v>
      </c>
      <c r="AL55" s="61">
        <f t="shared" si="40"/>
        <v>0</v>
      </c>
      <c r="AM55" s="61">
        <f t="shared" si="40"/>
        <v>0</v>
      </c>
      <c r="AN55" s="61">
        <f t="shared" si="40"/>
        <v>0</v>
      </c>
      <c r="AO55" s="61">
        <f t="shared" si="40"/>
        <v>0</v>
      </c>
      <c r="AP55" s="61">
        <f t="shared" si="40"/>
        <v>0</v>
      </c>
      <c r="AQ55" s="61"/>
    </row>
    <row r="56" spans="2:43" x14ac:dyDescent="0.25">
      <c r="B56" s="54">
        <v>0.39583333333575865</v>
      </c>
      <c r="C56" s="54">
        <v>0.75000000005093304</v>
      </c>
      <c r="D56" s="60"/>
      <c r="E56" s="91">
        <f>SUMMARY!Q11</f>
        <v>0</v>
      </c>
      <c r="F56" s="91"/>
      <c r="G56" s="91"/>
      <c r="H56" s="92">
        <f t="shared" si="30"/>
        <v>0</v>
      </c>
      <c r="I56" s="180">
        <f>R$49-R$50</f>
        <v>0</v>
      </c>
      <c r="M56" s="61">
        <f t="shared" si="34"/>
        <v>0</v>
      </c>
      <c r="N56" s="61">
        <f t="shared" si="34"/>
        <v>0</v>
      </c>
      <c r="O56" s="61">
        <f t="shared" si="34"/>
        <v>0</v>
      </c>
      <c r="P56" s="61">
        <f t="shared" si="34"/>
        <v>0</v>
      </c>
      <c r="Q56" s="61">
        <f t="shared" si="34"/>
        <v>0</v>
      </c>
      <c r="R56" s="61">
        <f t="shared" si="34"/>
        <v>0</v>
      </c>
      <c r="S56" s="61">
        <f t="shared" si="34"/>
        <v>0</v>
      </c>
      <c r="T56" s="61">
        <f t="shared" si="34"/>
        <v>0</v>
      </c>
      <c r="U56" s="61">
        <f t="shared" si="34"/>
        <v>0</v>
      </c>
      <c r="V56" s="61">
        <f t="shared" si="34"/>
        <v>0</v>
      </c>
      <c r="W56" s="61">
        <f t="shared" si="35"/>
        <v>0</v>
      </c>
      <c r="X56" s="61">
        <f t="shared" si="35"/>
        <v>0</v>
      </c>
      <c r="Y56" s="61">
        <f t="shared" si="35"/>
        <v>0</v>
      </c>
      <c r="Z56" s="61">
        <f t="shared" si="35"/>
        <v>0</v>
      </c>
      <c r="AA56" s="61">
        <f t="shared" si="35"/>
        <v>0</v>
      </c>
      <c r="AB56" s="61">
        <f t="shared" si="35"/>
        <v>0</v>
      </c>
      <c r="AC56" s="61">
        <f t="shared" si="35"/>
        <v>0</v>
      </c>
      <c r="AD56" s="61">
        <f t="shared" si="35"/>
        <v>0</v>
      </c>
      <c r="AE56" s="61">
        <f t="shared" si="35"/>
        <v>0</v>
      </c>
      <c r="AF56" s="61">
        <f t="shared" si="37"/>
        <v>0</v>
      </c>
      <c r="AG56" s="61">
        <f t="shared" si="39"/>
        <v>0</v>
      </c>
      <c r="AH56" s="61">
        <f t="shared" ref="AH56:AH80" si="41">IF(AND(AH$2&gt;=$B56,AH$2&lt;$C56),$E56,0)</f>
        <v>0</v>
      </c>
      <c r="AI56" s="61"/>
      <c r="AJ56" s="61">
        <f t="shared" ref="AJ56:AP56" si="42">IF(AND(AJ$2&gt;=$B56,AJ$2&lt;$C56),$E56,0)</f>
        <v>0</v>
      </c>
      <c r="AK56" s="61">
        <f t="shared" si="42"/>
        <v>0</v>
      </c>
      <c r="AL56" s="61">
        <f t="shared" si="42"/>
        <v>0</v>
      </c>
      <c r="AM56" s="61">
        <f t="shared" si="42"/>
        <v>0</v>
      </c>
      <c r="AN56" s="61">
        <f t="shared" si="42"/>
        <v>0</v>
      </c>
      <c r="AO56" s="61">
        <f t="shared" si="42"/>
        <v>0</v>
      </c>
      <c r="AP56" s="61">
        <f t="shared" si="42"/>
        <v>0</v>
      </c>
      <c r="AQ56" s="61"/>
    </row>
    <row r="57" spans="2:43" x14ac:dyDescent="0.25">
      <c r="B57" s="54">
        <v>0.41666666666424135</v>
      </c>
      <c r="C57" s="54">
        <v>0.77083333338669202</v>
      </c>
      <c r="D57" s="60"/>
      <c r="E57" s="91">
        <f>SUMMARY!Q12</f>
        <v>0</v>
      </c>
      <c r="F57" s="91"/>
      <c r="G57" s="91"/>
      <c r="H57" s="92">
        <f t="shared" si="30"/>
        <v>0</v>
      </c>
      <c r="I57" s="180">
        <f>S$49-S$50</f>
        <v>0</v>
      </c>
      <c r="M57" s="61">
        <f t="shared" si="34"/>
        <v>0</v>
      </c>
      <c r="N57" s="61">
        <f t="shared" si="34"/>
        <v>0</v>
      </c>
      <c r="O57" s="61">
        <f t="shared" si="34"/>
        <v>0</v>
      </c>
      <c r="P57" s="61">
        <f t="shared" si="34"/>
        <v>0</v>
      </c>
      <c r="Q57" s="61">
        <f t="shared" si="34"/>
        <v>0</v>
      </c>
      <c r="R57" s="61">
        <f t="shared" si="34"/>
        <v>0</v>
      </c>
      <c r="S57" s="61">
        <f t="shared" si="34"/>
        <v>0</v>
      </c>
      <c r="T57" s="61">
        <f t="shared" si="34"/>
        <v>0</v>
      </c>
      <c r="U57" s="61">
        <f t="shared" si="34"/>
        <v>0</v>
      </c>
      <c r="V57" s="61">
        <f t="shared" si="34"/>
        <v>0</v>
      </c>
      <c r="W57" s="61">
        <f t="shared" si="35"/>
        <v>0</v>
      </c>
      <c r="X57" s="61">
        <f t="shared" si="35"/>
        <v>0</v>
      </c>
      <c r="Y57" s="61">
        <f t="shared" si="35"/>
        <v>0</v>
      </c>
      <c r="Z57" s="61">
        <f t="shared" si="35"/>
        <v>0</v>
      </c>
      <c r="AA57" s="61">
        <f t="shared" si="35"/>
        <v>0</v>
      </c>
      <c r="AB57" s="61">
        <f t="shared" si="35"/>
        <v>0</v>
      </c>
      <c r="AC57" s="61">
        <f t="shared" si="35"/>
        <v>0</v>
      </c>
      <c r="AD57" s="61">
        <f t="shared" si="35"/>
        <v>0</v>
      </c>
      <c r="AE57" s="61">
        <f t="shared" si="35"/>
        <v>0</v>
      </c>
      <c r="AF57" s="61">
        <f t="shared" si="37"/>
        <v>0</v>
      </c>
      <c r="AG57" s="61">
        <f t="shared" si="39"/>
        <v>0</v>
      </c>
      <c r="AH57" s="61">
        <f t="shared" si="41"/>
        <v>0</v>
      </c>
      <c r="AI57" s="61">
        <f t="shared" ref="AI57:AI80" si="43">IF(AND(AI$2&gt;=$B57,AI$2&lt;$C57),$E57,0)</f>
        <v>0</v>
      </c>
      <c r="AJ57" s="61"/>
      <c r="AK57" s="61">
        <f t="shared" ref="AK57:AP57" si="44">IF(AND(AK$2&gt;=$B57,AK$2&lt;$C57),$E57,0)</f>
        <v>0</v>
      </c>
      <c r="AL57" s="61">
        <f t="shared" si="44"/>
        <v>0</v>
      </c>
      <c r="AM57" s="61">
        <f t="shared" si="44"/>
        <v>0</v>
      </c>
      <c r="AN57" s="61">
        <f t="shared" si="44"/>
        <v>0</v>
      </c>
      <c r="AO57" s="61">
        <f t="shared" si="44"/>
        <v>0</v>
      </c>
      <c r="AP57" s="61">
        <f t="shared" si="44"/>
        <v>0</v>
      </c>
      <c r="AQ57" s="61"/>
    </row>
    <row r="58" spans="2:43" x14ac:dyDescent="0.25">
      <c r="B58" s="54">
        <v>0.4375</v>
      </c>
      <c r="C58" s="54">
        <v>0.79166666672245101</v>
      </c>
      <c r="D58" s="60"/>
      <c r="E58" s="91">
        <f>SUMMARY!Q13</f>
        <v>0</v>
      </c>
      <c r="F58" s="91"/>
      <c r="G58" s="91"/>
      <c r="H58" s="92">
        <f t="shared" si="30"/>
        <v>0</v>
      </c>
      <c r="I58" s="180">
        <f>T$49-T$50</f>
        <v>0</v>
      </c>
      <c r="M58" s="61">
        <f t="shared" si="34"/>
        <v>0</v>
      </c>
      <c r="N58" s="61">
        <f t="shared" si="34"/>
        <v>0</v>
      </c>
      <c r="O58" s="61">
        <f t="shared" si="34"/>
        <v>0</v>
      </c>
      <c r="P58" s="61">
        <f t="shared" si="34"/>
        <v>0</v>
      </c>
      <c r="Q58" s="61">
        <f t="shared" si="34"/>
        <v>0</v>
      </c>
      <c r="R58" s="61">
        <f t="shared" si="34"/>
        <v>0</v>
      </c>
      <c r="S58" s="61">
        <f t="shared" si="34"/>
        <v>0</v>
      </c>
      <c r="T58" s="61">
        <f t="shared" si="34"/>
        <v>0</v>
      </c>
      <c r="U58" s="61">
        <f t="shared" si="34"/>
        <v>0</v>
      </c>
      <c r="V58" s="61">
        <f t="shared" si="34"/>
        <v>0</v>
      </c>
      <c r="W58" s="61">
        <f t="shared" si="35"/>
        <v>0</v>
      </c>
      <c r="X58" s="61">
        <f t="shared" si="35"/>
        <v>0</v>
      </c>
      <c r="Y58" s="61">
        <f t="shared" si="35"/>
        <v>0</v>
      </c>
      <c r="Z58" s="61">
        <f t="shared" si="35"/>
        <v>0</v>
      </c>
      <c r="AA58" s="61">
        <f t="shared" si="35"/>
        <v>0</v>
      </c>
      <c r="AB58" s="61">
        <f t="shared" si="35"/>
        <v>0</v>
      </c>
      <c r="AC58" s="61">
        <f t="shared" si="35"/>
        <v>0</v>
      </c>
      <c r="AD58" s="61">
        <f t="shared" si="35"/>
        <v>0</v>
      </c>
      <c r="AE58" s="61">
        <f t="shared" si="35"/>
        <v>0</v>
      </c>
      <c r="AF58" s="61">
        <f t="shared" si="37"/>
        <v>0</v>
      </c>
      <c r="AG58" s="61">
        <f t="shared" si="39"/>
        <v>0</v>
      </c>
      <c r="AH58" s="61">
        <f t="shared" si="41"/>
        <v>0</v>
      </c>
      <c r="AI58" s="61">
        <f t="shared" si="43"/>
        <v>0</v>
      </c>
      <c r="AJ58" s="61">
        <f t="shared" ref="AJ58:AJ80" si="45">IF(AND(AJ$2&gt;=$B58,AJ$2&lt;$C58),$E58,0)</f>
        <v>0</v>
      </c>
      <c r="AK58" s="61"/>
      <c r="AL58" s="61">
        <f>IF(AND(AL$2&gt;=$B58,AL$2&lt;$C58),$E58,0)</f>
        <v>0</v>
      </c>
      <c r="AM58" s="61">
        <f>IF(AND(AM$2&gt;=$B58,AM$2&lt;$C58),$E58,0)</f>
        <v>0</v>
      </c>
      <c r="AN58" s="61">
        <f>IF(AND(AN$2&gt;=$B58,AN$2&lt;$C58),$E58,0)</f>
        <v>0</v>
      </c>
      <c r="AO58" s="61">
        <f>IF(AND(AO$2&gt;=$B58,AO$2&lt;$C58),$E58,0)</f>
        <v>0</v>
      </c>
      <c r="AP58" s="61">
        <f>IF(AND(AP$2&gt;=$B58,AP$2&lt;$C58),$E58,0)</f>
        <v>0</v>
      </c>
      <c r="AQ58" s="61"/>
    </row>
    <row r="59" spans="2:43" x14ac:dyDescent="0.25">
      <c r="B59" s="54">
        <v>0.45833333333575865</v>
      </c>
      <c r="C59" s="54">
        <v>0.81250000005820999</v>
      </c>
      <c r="D59" s="60"/>
      <c r="E59" s="91">
        <f>SUMMARY!Q14</f>
        <v>0</v>
      </c>
      <c r="F59" s="91"/>
      <c r="G59" s="91"/>
      <c r="H59" s="92">
        <f t="shared" si="30"/>
        <v>0</v>
      </c>
      <c r="I59" s="180">
        <f>U$49-U$50</f>
        <v>0</v>
      </c>
      <c r="M59" s="61">
        <f t="shared" si="34"/>
        <v>0</v>
      </c>
      <c r="N59" s="61">
        <f t="shared" si="34"/>
        <v>0</v>
      </c>
      <c r="O59" s="61">
        <f t="shared" si="34"/>
        <v>0</v>
      </c>
      <c r="P59" s="61">
        <f t="shared" si="34"/>
        <v>0</v>
      </c>
      <c r="Q59" s="61">
        <f t="shared" si="34"/>
        <v>0</v>
      </c>
      <c r="R59" s="61">
        <f t="shared" si="34"/>
        <v>0</v>
      </c>
      <c r="S59" s="61">
        <f t="shared" si="34"/>
        <v>0</v>
      </c>
      <c r="T59" s="61">
        <f t="shared" si="34"/>
        <v>0</v>
      </c>
      <c r="U59" s="61">
        <f t="shared" si="34"/>
        <v>0</v>
      </c>
      <c r="V59" s="61">
        <f t="shared" si="34"/>
        <v>0</v>
      </c>
      <c r="W59" s="61">
        <f t="shared" si="35"/>
        <v>0</v>
      </c>
      <c r="X59" s="61">
        <f t="shared" si="35"/>
        <v>0</v>
      </c>
      <c r="Y59" s="61">
        <f t="shared" si="35"/>
        <v>0</v>
      </c>
      <c r="Z59" s="61">
        <f t="shared" si="35"/>
        <v>0</v>
      </c>
      <c r="AA59" s="61">
        <f t="shared" si="35"/>
        <v>0</v>
      </c>
      <c r="AB59" s="61">
        <f t="shared" si="35"/>
        <v>0</v>
      </c>
      <c r="AC59" s="61">
        <f t="shared" si="35"/>
        <v>0</v>
      </c>
      <c r="AD59" s="61">
        <f t="shared" si="35"/>
        <v>0</v>
      </c>
      <c r="AE59" s="61">
        <f t="shared" si="35"/>
        <v>0</v>
      </c>
      <c r="AF59" s="61">
        <f t="shared" si="37"/>
        <v>0</v>
      </c>
      <c r="AG59" s="61">
        <f t="shared" si="39"/>
        <v>0</v>
      </c>
      <c r="AH59" s="61">
        <f t="shared" si="41"/>
        <v>0</v>
      </c>
      <c r="AI59" s="61">
        <f t="shared" si="43"/>
        <v>0</v>
      </c>
      <c r="AJ59" s="61">
        <f t="shared" si="45"/>
        <v>0</v>
      </c>
      <c r="AK59" s="61">
        <f t="shared" ref="AK59:AK80" si="46">IF(AND(AK$2&gt;=$B59,AK$2&lt;$C59),$E59,0)</f>
        <v>0</v>
      </c>
      <c r="AL59" s="61"/>
      <c r="AM59" s="61">
        <f>IF(AND(AM$2&gt;=$B59,AM$2&lt;$C59),$E59,0)</f>
        <v>0</v>
      </c>
      <c r="AN59" s="61">
        <f>IF(AND(AN$2&gt;=$B59,AN$2&lt;$C59),$E59,0)</f>
        <v>0</v>
      </c>
      <c r="AO59" s="61">
        <f>IF(AND(AO$2&gt;=$B59,AO$2&lt;$C59),$E59,0)</f>
        <v>0</v>
      </c>
      <c r="AP59" s="61">
        <f>IF(AND(AP$2&gt;=$B59,AP$2&lt;$C59),$E59,0)</f>
        <v>0</v>
      </c>
      <c r="AQ59" s="61"/>
    </row>
    <row r="60" spans="2:43" x14ac:dyDescent="0.25">
      <c r="B60" s="54">
        <v>0.47916666666424135</v>
      </c>
      <c r="C60" s="54">
        <v>0.83333333339396898</v>
      </c>
      <c r="D60" s="60"/>
      <c r="E60" s="91">
        <f>SUMMARY!Q15</f>
        <v>0</v>
      </c>
      <c r="G60" s="91"/>
      <c r="H60" s="92">
        <f t="shared" si="30"/>
        <v>0</v>
      </c>
      <c r="I60" s="180">
        <f>V$49-V$50</f>
        <v>0</v>
      </c>
      <c r="M60" s="61">
        <f t="shared" si="34"/>
        <v>0</v>
      </c>
      <c r="N60" s="61">
        <f t="shared" si="34"/>
        <v>0</v>
      </c>
      <c r="O60" s="61">
        <f t="shared" si="34"/>
        <v>0</v>
      </c>
      <c r="P60" s="61">
        <f t="shared" si="34"/>
        <v>0</v>
      </c>
      <c r="Q60" s="61">
        <f t="shared" si="34"/>
        <v>0</v>
      </c>
      <c r="R60" s="61">
        <f t="shared" si="34"/>
        <v>0</v>
      </c>
      <c r="S60" s="61">
        <f t="shared" si="34"/>
        <v>0</v>
      </c>
      <c r="T60" s="61">
        <f t="shared" si="34"/>
        <v>0</v>
      </c>
      <c r="U60" s="61">
        <f t="shared" si="34"/>
        <v>0</v>
      </c>
      <c r="V60" s="61">
        <f t="shared" si="34"/>
        <v>0</v>
      </c>
      <c r="W60" s="61">
        <f t="shared" si="35"/>
        <v>0</v>
      </c>
      <c r="X60" s="61">
        <f t="shared" si="35"/>
        <v>0</v>
      </c>
      <c r="Y60" s="61">
        <f t="shared" si="35"/>
        <v>0</v>
      </c>
      <c r="Z60" s="61">
        <f t="shared" si="35"/>
        <v>0</v>
      </c>
      <c r="AA60" s="61">
        <f t="shared" si="35"/>
        <v>0</v>
      </c>
      <c r="AB60" s="61">
        <f t="shared" si="35"/>
        <v>0</v>
      </c>
      <c r="AC60" s="61">
        <f t="shared" si="35"/>
        <v>0</v>
      </c>
      <c r="AD60" s="61">
        <f t="shared" si="35"/>
        <v>0</v>
      </c>
      <c r="AE60" s="61">
        <f t="shared" si="35"/>
        <v>0</v>
      </c>
      <c r="AF60" s="61">
        <f t="shared" si="37"/>
        <v>0</v>
      </c>
      <c r="AG60" s="61">
        <f t="shared" si="39"/>
        <v>0</v>
      </c>
      <c r="AH60" s="61">
        <f t="shared" si="41"/>
        <v>0</v>
      </c>
      <c r="AI60" s="61">
        <f t="shared" si="43"/>
        <v>0</v>
      </c>
      <c r="AJ60" s="61">
        <f t="shared" si="45"/>
        <v>0</v>
      </c>
      <c r="AK60" s="61">
        <f t="shared" si="46"/>
        <v>0</v>
      </c>
      <c r="AL60" s="61">
        <f t="shared" ref="AL60:AL80" si="47">IF(AND(AL$2&gt;=$B60,AL$2&lt;$C60),$E60,0)</f>
        <v>0</v>
      </c>
      <c r="AM60" s="61"/>
      <c r="AN60" s="61">
        <f>IF(AND(AN$2&gt;=$B60,AN$2&lt;$C60),$E60,0)</f>
        <v>0</v>
      </c>
      <c r="AO60" s="61">
        <f>IF(AND(AO$2&gt;=$B60,AO$2&lt;$C60),$E60,0)</f>
        <v>0</v>
      </c>
      <c r="AP60" s="61">
        <f>IF(AND(AP$2&gt;=$B60,AP$2&lt;$C60),$E60,0)</f>
        <v>0</v>
      </c>
      <c r="AQ60" s="61"/>
    </row>
    <row r="61" spans="2:43" x14ac:dyDescent="0.25">
      <c r="B61" s="54">
        <v>0.5</v>
      </c>
      <c r="C61" s="54">
        <v>0.85416666672972796</v>
      </c>
      <c r="D61" s="60"/>
      <c r="E61" s="91">
        <f>SUMMARY!Q16</f>
        <v>0</v>
      </c>
      <c r="G61" s="91"/>
      <c r="H61" s="92">
        <f t="shared" si="30"/>
        <v>0</v>
      </c>
      <c r="I61" s="180">
        <f>W$49-W$50</f>
        <v>0</v>
      </c>
      <c r="M61" s="61">
        <f t="shared" si="34"/>
        <v>0</v>
      </c>
      <c r="N61" s="61">
        <f t="shared" si="34"/>
        <v>0</v>
      </c>
      <c r="O61" s="61">
        <f t="shared" si="34"/>
        <v>0</v>
      </c>
      <c r="P61" s="61">
        <f t="shared" si="34"/>
        <v>0</v>
      </c>
      <c r="Q61" s="61">
        <f t="shared" si="34"/>
        <v>0</v>
      </c>
      <c r="R61" s="61">
        <f t="shared" si="34"/>
        <v>0</v>
      </c>
      <c r="S61" s="61">
        <f t="shared" si="34"/>
        <v>0</v>
      </c>
      <c r="T61" s="61">
        <f t="shared" si="34"/>
        <v>0</v>
      </c>
      <c r="U61" s="61">
        <f t="shared" si="34"/>
        <v>0</v>
      </c>
      <c r="V61" s="61">
        <f t="shared" si="34"/>
        <v>0</v>
      </c>
      <c r="W61" s="61">
        <f t="shared" si="35"/>
        <v>0</v>
      </c>
      <c r="X61" s="61">
        <f t="shared" si="35"/>
        <v>0</v>
      </c>
      <c r="Y61" s="61">
        <f t="shared" si="35"/>
        <v>0</v>
      </c>
      <c r="Z61" s="61">
        <f t="shared" si="35"/>
        <v>0</v>
      </c>
      <c r="AA61" s="61">
        <f t="shared" si="35"/>
        <v>0</v>
      </c>
      <c r="AB61" s="61">
        <f t="shared" si="35"/>
        <v>0</v>
      </c>
      <c r="AC61" s="61">
        <f t="shared" si="35"/>
        <v>0</v>
      </c>
      <c r="AD61" s="61">
        <f t="shared" si="35"/>
        <v>0</v>
      </c>
      <c r="AE61" s="61">
        <f t="shared" si="35"/>
        <v>0</v>
      </c>
      <c r="AF61" s="61">
        <f t="shared" si="37"/>
        <v>0</v>
      </c>
      <c r="AG61" s="61">
        <f t="shared" si="39"/>
        <v>0</v>
      </c>
      <c r="AH61" s="61">
        <f t="shared" si="41"/>
        <v>0</v>
      </c>
      <c r="AI61" s="61">
        <f t="shared" si="43"/>
        <v>0</v>
      </c>
      <c r="AJ61" s="61">
        <f t="shared" si="45"/>
        <v>0</v>
      </c>
      <c r="AK61" s="61">
        <f t="shared" si="46"/>
        <v>0</v>
      </c>
      <c r="AL61" s="61">
        <f t="shared" si="47"/>
        <v>0</v>
      </c>
      <c r="AM61" s="61">
        <f t="shared" ref="AM61:AM80" si="48">IF(AND(AM$2&gt;=$B61,AM$2&lt;$C61),$E61,0)</f>
        <v>0</v>
      </c>
      <c r="AN61" s="61"/>
      <c r="AO61" s="61">
        <f>IF(AND(AO$2&gt;=$B61,AO$2&lt;$C61),$E61,0)</f>
        <v>0</v>
      </c>
      <c r="AP61" s="61">
        <f>IF(AND(AP$2&gt;=$B61,AP$2&lt;$C61),$E61,0)</f>
        <v>0</v>
      </c>
      <c r="AQ61" s="61"/>
    </row>
    <row r="62" spans="2:43" x14ac:dyDescent="0.25">
      <c r="B62" s="54">
        <v>0.52083333333575865</v>
      </c>
      <c r="C62" s="54">
        <v>0.87500000006548695</v>
      </c>
      <c r="D62" s="60"/>
      <c r="E62" s="91">
        <f>SUMMARY!Q17</f>
        <v>0</v>
      </c>
      <c r="G62" s="91"/>
      <c r="H62" s="92">
        <f t="shared" si="30"/>
        <v>0</v>
      </c>
      <c r="I62" s="180">
        <f>X$49-X$50</f>
        <v>0</v>
      </c>
      <c r="M62" s="61">
        <f t="shared" si="34"/>
        <v>0</v>
      </c>
      <c r="N62" s="61">
        <f t="shared" si="34"/>
        <v>0</v>
      </c>
      <c r="O62" s="61">
        <f t="shared" si="34"/>
        <v>0</v>
      </c>
      <c r="P62" s="61">
        <f t="shared" si="34"/>
        <v>0</v>
      </c>
      <c r="Q62" s="61">
        <f t="shared" si="34"/>
        <v>0</v>
      </c>
      <c r="R62" s="61">
        <f t="shared" si="34"/>
        <v>0</v>
      </c>
      <c r="S62" s="61">
        <f t="shared" si="34"/>
        <v>0</v>
      </c>
      <c r="T62" s="61">
        <f t="shared" si="34"/>
        <v>0</v>
      </c>
      <c r="U62" s="61">
        <f t="shared" si="34"/>
        <v>0</v>
      </c>
      <c r="V62" s="61">
        <f t="shared" si="34"/>
        <v>0</v>
      </c>
      <c r="W62" s="61">
        <f t="shared" si="35"/>
        <v>0</v>
      </c>
      <c r="X62" s="61">
        <f t="shared" si="35"/>
        <v>0</v>
      </c>
      <c r="Y62" s="61">
        <f t="shared" si="35"/>
        <v>0</v>
      </c>
      <c r="Z62" s="61">
        <f t="shared" si="35"/>
        <v>0</v>
      </c>
      <c r="AA62" s="61">
        <f t="shared" si="35"/>
        <v>0</v>
      </c>
      <c r="AB62" s="61">
        <f t="shared" si="35"/>
        <v>0</v>
      </c>
      <c r="AC62" s="61">
        <f t="shared" si="35"/>
        <v>0</v>
      </c>
      <c r="AD62" s="61">
        <f t="shared" si="35"/>
        <v>0</v>
      </c>
      <c r="AE62" s="61">
        <f t="shared" si="35"/>
        <v>0</v>
      </c>
      <c r="AF62" s="61">
        <f t="shared" si="37"/>
        <v>0</v>
      </c>
      <c r="AG62" s="61">
        <f t="shared" si="39"/>
        <v>0</v>
      </c>
      <c r="AH62" s="61">
        <f t="shared" si="41"/>
        <v>0</v>
      </c>
      <c r="AI62" s="61">
        <f t="shared" si="43"/>
        <v>0</v>
      </c>
      <c r="AJ62" s="61">
        <f t="shared" si="45"/>
        <v>0</v>
      </c>
      <c r="AK62" s="61">
        <f t="shared" si="46"/>
        <v>0</v>
      </c>
      <c r="AL62" s="61">
        <f t="shared" si="47"/>
        <v>0</v>
      </c>
      <c r="AM62" s="61">
        <f t="shared" si="48"/>
        <v>0</v>
      </c>
      <c r="AN62" s="61">
        <f t="shared" ref="AN62:AN80" si="49">IF(AND(AN$2&gt;=$B62,AN$2&lt;$C62),$E62,0)</f>
        <v>0</v>
      </c>
      <c r="AO62" s="61"/>
      <c r="AP62" s="61">
        <f>IF(AND(AP$2&gt;=$B62,AP$2&lt;$C62),$E62,0)</f>
        <v>0</v>
      </c>
      <c r="AQ62" s="61"/>
    </row>
    <row r="63" spans="2:43" x14ac:dyDescent="0.25">
      <c r="B63" s="54">
        <v>0.54166666666424135</v>
      </c>
      <c r="C63" s="54">
        <v>0.89583333340124605</v>
      </c>
      <c r="D63" s="60"/>
      <c r="E63" s="91">
        <f>SUMMARY!Q18</f>
        <v>0</v>
      </c>
      <c r="G63" s="91"/>
      <c r="H63" s="92">
        <f t="shared" si="30"/>
        <v>0</v>
      </c>
      <c r="I63" s="180">
        <f>Y$49-Y$50</f>
        <v>0</v>
      </c>
      <c r="M63" s="61">
        <f t="shared" ref="M63:V72" si="50">IF(AND(M$2&gt;=$B63,M$2&lt;$C63),$E63,0)</f>
        <v>0</v>
      </c>
      <c r="N63" s="61">
        <f t="shared" si="50"/>
        <v>0</v>
      </c>
      <c r="O63" s="61">
        <f t="shared" si="50"/>
        <v>0</v>
      </c>
      <c r="P63" s="61">
        <f t="shared" si="50"/>
        <v>0</v>
      </c>
      <c r="Q63" s="61">
        <f t="shared" si="50"/>
        <v>0</v>
      </c>
      <c r="R63" s="61">
        <f t="shared" si="50"/>
        <v>0</v>
      </c>
      <c r="S63" s="61">
        <f t="shared" si="50"/>
        <v>0</v>
      </c>
      <c r="T63" s="61">
        <f t="shared" si="50"/>
        <v>0</v>
      </c>
      <c r="U63" s="61">
        <f t="shared" si="50"/>
        <v>0</v>
      </c>
      <c r="V63" s="61">
        <f t="shared" si="50"/>
        <v>0</v>
      </c>
      <c r="W63" s="61">
        <f t="shared" ref="W63:AE72" si="51">IF(AND(W$2&gt;=$B63,W$2&lt;$C63),$E63,0)</f>
        <v>0</v>
      </c>
      <c r="X63" s="61">
        <f t="shared" si="51"/>
        <v>0</v>
      </c>
      <c r="Y63" s="61">
        <f t="shared" si="51"/>
        <v>0</v>
      </c>
      <c r="Z63" s="61">
        <f t="shared" si="51"/>
        <v>0</v>
      </c>
      <c r="AA63" s="61">
        <f t="shared" si="51"/>
        <v>0</v>
      </c>
      <c r="AB63" s="61">
        <f t="shared" si="51"/>
        <v>0</v>
      </c>
      <c r="AC63" s="61">
        <f t="shared" si="51"/>
        <v>0</v>
      </c>
      <c r="AD63" s="61">
        <f t="shared" si="51"/>
        <v>0</v>
      </c>
      <c r="AE63" s="61">
        <f t="shared" si="51"/>
        <v>0</v>
      </c>
      <c r="AF63" s="61">
        <f t="shared" si="37"/>
        <v>0</v>
      </c>
      <c r="AG63" s="61">
        <f t="shared" si="39"/>
        <v>0</v>
      </c>
      <c r="AH63" s="61">
        <f t="shared" si="41"/>
        <v>0</v>
      </c>
      <c r="AI63" s="61">
        <f t="shared" si="43"/>
        <v>0</v>
      </c>
      <c r="AJ63" s="61">
        <f t="shared" si="45"/>
        <v>0</v>
      </c>
      <c r="AK63" s="61">
        <f t="shared" si="46"/>
        <v>0</v>
      </c>
      <c r="AL63" s="61">
        <f t="shared" si="47"/>
        <v>0</v>
      </c>
      <c r="AM63" s="61">
        <f t="shared" si="48"/>
        <v>0</v>
      </c>
      <c r="AN63" s="61">
        <f t="shared" si="49"/>
        <v>0</v>
      </c>
      <c r="AO63" s="61">
        <f t="shared" ref="AO63:AO80" si="52">IF(AND(AO$2&gt;=$B63,AO$2&lt;$C63),$E63,0)</f>
        <v>0</v>
      </c>
      <c r="AP63" s="61"/>
      <c r="AQ63" s="61"/>
    </row>
    <row r="64" spans="2:43" x14ac:dyDescent="0.25">
      <c r="B64" s="54">
        <v>0.5625</v>
      </c>
      <c r="C64" s="54">
        <v>0.91666666673700503</v>
      </c>
      <c r="D64" s="60"/>
      <c r="E64" s="91">
        <f>SUMMARY!Q19</f>
        <v>0</v>
      </c>
      <c r="G64" s="91"/>
      <c r="H64" s="92">
        <f t="shared" si="30"/>
        <v>0</v>
      </c>
      <c r="I64" s="180">
        <f>Z$49-Z$50</f>
        <v>0</v>
      </c>
      <c r="M64" s="61">
        <f t="shared" si="50"/>
        <v>0</v>
      </c>
      <c r="N64" s="61">
        <f t="shared" si="50"/>
        <v>0</v>
      </c>
      <c r="O64" s="61">
        <f t="shared" si="50"/>
        <v>0</v>
      </c>
      <c r="P64" s="61">
        <f t="shared" si="50"/>
        <v>0</v>
      </c>
      <c r="Q64" s="61">
        <f t="shared" si="50"/>
        <v>0</v>
      </c>
      <c r="R64" s="61">
        <f t="shared" si="50"/>
        <v>0</v>
      </c>
      <c r="S64" s="61">
        <f t="shared" si="50"/>
        <v>0</v>
      </c>
      <c r="T64" s="61">
        <f t="shared" si="50"/>
        <v>0</v>
      </c>
      <c r="U64" s="61">
        <f t="shared" si="50"/>
        <v>0</v>
      </c>
      <c r="V64" s="61">
        <f t="shared" si="50"/>
        <v>0</v>
      </c>
      <c r="W64" s="61">
        <f t="shared" si="51"/>
        <v>0</v>
      </c>
      <c r="X64" s="61">
        <f t="shared" si="51"/>
        <v>0</v>
      </c>
      <c r="Y64" s="61">
        <f t="shared" si="51"/>
        <v>0</v>
      </c>
      <c r="Z64" s="61">
        <f t="shared" si="51"/>
        <v>0</v>
      </c>
      <c r="AA64" s="61">
        <f t="shared" si="51"/>
        <v>0</v>
      </c>
      <c r="AB64" s="61">
        <f t="shared" si="51"/>
        <v>0</v>
      </c>
      <c r="AC64" s="61">
        <f t="shared" si="51"/>
        <v>0</v>
      </c>
      <c r="AD64" s="61">
        <f t="shared" si="51"/>
        <v>0</v>
      </c>
      <c r="AE64" s="61">
        <f t="shared" si="51"/>
        <v>0</v>
      </c>
      <c r="AF64" s="61">
        <f t="shared" si="37"/>
        <v>0</v>
      </c>
      <c r="AG64" s="61">
        <f t="shared" si="39"/>
        <v>0</v>
      </c>
      <c r="AH64" s="61">
        <f t="shared" si="41"/>
        <v>0</v>
      </c>
      <c r="AI64" s="61">
        <f t="shared" si="43"/>
        <v>0</v>
      </c>
      <c r="AJ64" s="61">
        <f t="shared" si="45"/>
        <v>0</v>
      </c>
      <c r="AK64" s="61">
        <f t="shared" si="46"/>
        <v>0</v>
      </c>
      <c r="AL64" s="61">
        <f t="shared" si="47"/>
        <v>0</v>
      </c>
      <c r="AM64" s="61">
        <f t="shared" si="48"/>
        <v>0</v>
      </c>
      <c r="AN64" s="61">
        <f t="shared" si="49"/>
        <v>0</v>
      </c>
      <c r="AO64" s="61">
        <f t="shared" si="52"/>
        <v>0</v>
      </c>
      <c r="AP64" s="61">
        <f t="shared" ref="AP64:AP80" si="53">IF(AND(AP$2&gt;=$B64,AP$2&lt;$C64),$E64,0)</f>
        <v>0</v>
      </c>
      <c r="AQ64" s="61"/>
    </row>
    <row r="65" spans="2:43" x14ac:dyDescent="0.25">
      <c r="B65" s="54">
        <v>0.58333333333575899</v>
      </c>
      <c r="C65" s="54">
        <v>0.93750000007276402</v>
      </c>
      <c r="D65" s="60"/>
      <c r="E65" s="91"/>
      <c r="G65" s="91"/>
      <c r="H65" s="92">
        <f t="shared" si="30"/>
        <v>0</v>
      </c>
      <c r="I65" s="180">
        <f>AA$49-AA$50</f>
        <v>0</v>
      </c>
      <c r="M65" s="61">
        <f t="shared" si="50"/>
        <v>0</v>
      </c>
      <c r="N65" s="61">
        <f t="shared" si="50"/>
        <v>0</v>
      </c>
      <c r="O65" s="61">
        <f t="shared" si="50"/>
        <v>0</v>
      </c>
      <c r="P65" s="61">
        <f t="shared" si="50"/>
        <v>0</v>
      </c>
      <c r="Q65" s="61">
        <f t="shared" si="50"/>
        <v>0</v>
      </c>
      <c r="R65" s="61">
        <f t="shared" si="50"/>
        <v>0</v>
      </c>
      <c r="S65" s="61">
        <f t="shared" si="50"/>
        <v>0</v>
      </c>
      <c r="T65" s="61">
        <f t="shared" si="50"/>
        <v>0</v>
      </c>
      <c r="U65" s="61">
        <f t="shared" si="50"/>
        <v>0</v>
      </c>
      <c r="V65" s="61">
        <f t="shared" si="50"/>
        <v>0</v>
      </c>
      <c r="W65" s="61">
        <f t="shared" si="51"/>
        <v>0</v>
      </c>
      <c r="X65" s="61">
        <f t="shared" si="51"/>
        <v>0</v>
      </c>
      <c r="Y65" s="61">
        <f t="shared" si="51"/>
        <v>0</v>
      </c>
      <c r="Z65" s="61">
        <f t="shared" si="51"/>
        <v>0</v>
      </c>
      <c r="AA65" s="61">
        <f t="shared" si="51"/>
        <v>0</v>
      </c>
      <c r="AB65" s="61">
        <f t="shared" si="51"/>
        <v>0</v>
      </c>
      <c r="AC65" s="61">
        <f t="shared" si="51"/>
        <v>0</v>
      </c>
      <c r="AD65" s="61">
        <f t="shared" si="51"/>
        <v>0</v>
      </c>
      <c r="AE65" s="61">
        <f t="shared" si="51"/>
        <v>0</v>
      </c>
      <c r="AF65" s="61">
        <f t="shared" si="37"/>
        <v>0</v>
      </c>
      <c r="AG65" s="61">
        <f t="shared" si="39"/>
        <v>0</v>
      </c>
      <c r="AH65" s="61">
        <f t="shared" si="41"/>
        <v>0</v>
      </c>
      <c r="AI65" s="61">
        <f t="shared" si="43"/>
        <v>0</v>
      </c>
      <c r="AJ65" s="61">
        <f t="shared" si="45"/>
        <v>0</v>
      </c>
      <c r="AK65" s="61">
        <f t="shared" si="46"/>
        <v>0</v>
      </c>
      <c r="AL65" s="61">
        <f t="shared" si="47"/>
        <v>0</v>
      </c>
      <c r="AM65" s="61">
        <f t="shared" si="48"/>
        <v>0</v>
      </c>
      <c r="AN65" s="61">
        <f t="shared" si="49"/>
        <v>0</v>
      </c>
      <c r="AO65" s="61">
        <f t="shared" si="52"/>
        <v>0</v>
      </c>
      <c r="AP65" s="61">
        <f t="shared" si="53"/>
        <v>0</v>
      </c>
      <c r="AQ65" s="61"/>
    </row>
    <row r="66" spans="2:43" x14ac:dyDescent="0.25">
      <c r="B66" s="54">
        <v>0.60416666667151697</v>
      </c>
      <c r="C66" s="54">
        <v>0.958333333408523</v>
      </c>
      <c r="D66" s="60"/>
      <c r="E66" s="91"/>
      <c r="G66" s="91"/>
      <c r="H66" s="92">
        <f t="shared" si="30"/>
        <v>0</v>
      </c>
      <c r="I66" s="180">
        <f>AB$49-AB$50</f>
        <v>0</v>
      </c>
      <c r="M66" s="61">
        <f t="shared" si="50"/>
        <v>0</v>
      </c>
      <c r="N66" s="61">
        <f t="shared" si="50"/>
        <v>0</v>
      </c>
      <c r="O66" s="61">
        <f t="shared" si="50"/>
        <v>0</v>
      </c>
      <c r="P66" s="61">
        <f t="shared" si="50"/>
        <v>0</v>
      </c>
      <c r="Q66" s="61">
        <f t="shared" si="50"/>
        <v>0</v>
      </c>
      <c r="R66" s="61">
        <f t="shared" si="50"/>
        <v>0</v>
      </c>
      <c r="S66" s="61">
        <f t="shared" si="50"/>
        <v>0</v>
      </c>
      <c r="T66" s="61">
        <f t="shared" si="50"/>
        <v>0</v>
      </c>
      <c r="U66" s="61">
        <f t="shared" si="50"/>
        <v>0</v>
      </c>
      <c r="V66" s="61">
        <f t="shared" si="50"/>
        <v>0</v>
      </c>
      <c r="W66" s="61">
        <f t="shared" si="51"/>
        <v>0</v>
      </c>
      <c r="X66" s="61">
        <f t="shared" si="51"/>
        <v>0</v>
      </c>
      <c r="Y66" s="61">
        <f t="shared" si="51"/>
        <v>0</v>
      </c>
      <c r="Z66" s="61">
        <f t="shared" si="51"/>
        <v>0</v>
      </c>
      <c r="AA66" s="61">
        <f t="shared" si="51"/>
        <v>0</v>
      </c>
      <c r="AB66" s="61">
        <f t="shared" si="51"/>
        <v>0</v>
      </c>
      <c r="AC66" s="61">
        <f t="shared" si="51"/>
        <v>0</v>
      </c>
      <c r="AD66" s="61">
        <f t="shared" si="51"/>
        <v>0</v>
      </c>
      <c r="AE66" s="61">
        <f t="shared" si="51"/>
        <v>0</v>
      </c>
      <c r="AF66" s="61">
        <f t="shared" si="37"/>
        <v>0</v>
      </c>
      <c r="AG66" s="61">
        <f t="shared" si="39"/>
        <v>0</v>
      </c>
      <c r="AH66" s="61">
        <f t="shared" si="41"/>
        <v>0</v>
      </c>
      <c r="AI66" s="61">
        <f t="shared" si="43"/>
        <v>0</v>
      </c>
      <c r="AJ66" s="61">
        <f t="shared" si="45"/>
        <v>0</v>
      </c>
      <c r="AK66" s="61">
        <f t="shared" si="46"/>
        <v>0</v>
      </c>
      <c r="AL66" s="61">
        <f t="shared" si="47"/>
        <v>0</v>
      </c>
      <c r="AM66" s="61">
        <f t="shared" si="48"/>
        <v>0</v>
      </c>
      <c r="AN66" s="61">
        <f t="shared" si="49"/>
        <v>0</v>
      </c>
      <c r="AO66" s="61">
        <f t="shared" si="52"/>
        <v>0</v>
      </c>
      <c r="AP66" s="61">
        <f t="shared" si="53"/>
        <v>0</v>
      </c>
      <c r="AQ66" s="61"/>
    </row>
    <row r="67" spans="2:43" x14ac:dyDescent="0.25">
      <c r="B67" s="54">
        <v>0.62500000000727596</v>
      </c>
      <c r="C67" s="54">
        <v>0.97916666674428199</v>
      </c>
      <c r="D67" s="60"/>
      <c r="E67" s="91"/>
      <c r="G67" s="91"/>
      <c r="H67" s="92">
        <f t="shared" si="30"/>
        <v>0</v>
      </c>
      <c r="I67" s="180">
        <f>AC$49-AC$50</f>
        <v>0</v>
      </c>
      <c r="M67" s="61">
        <f t="shared" si="50"/>
        <v>0</v>
      </c>
      <c r="N67" s="61">
        <f t="shared" si="50"/>
        <v>0</v>
      </c>
      <c r="O67" s="61">
        <f t="shared" si="50"/>
        <v>0</v>
      </c>
      <c r="P67" s="61">
        <f t="shared" si="50"/>
        <v>0</v>
      </c>
      <c r="Q67" s="61">
        <f t="shared" si="50"/>
        <v>0</v>
      </c>
      <c r="R67" s="61">
        <f t="shared" si="50"/>
        <v>0</v>
      </c>
      <c r="S67" s="61">
        <f t="shared" si="50"/>
        <v>0</v>
      </c>
      <c r="T67" s="61">
        <f t="shared" si="50"/>
        <v>0</v>
      </c>
      <c r="U67" s="61">
        <f t="shared" si="50"/>
        <v>0</v>
      </c>
      <c r="V67" s="61">
        <f t="shared" si="50"/>
        <v>0</v>
      </c>
      <c r="W67" s="61">
        <f t="shared" si="51"/>
        <v>0</v>
      </c>
      <c r="X67" s="61">
        <f t="shared" si="51"/>
        <v>0</v>
      </c>
      <c r="Y67" s="61">
        <f t="shared" si="51"/>
        <v>0</v>
      </c>
      <c r="Z67" s="61">
        <f t="shared" si="51"/>
        <v>0</v>
      </c>
      <c r="AA67" s="61">
        <f t="shared" si="51"/>
        <v>0</v>
      </c>
      <c r="AB67" s="61">
        <f t="shared" si="51"/>
        <v>0</v>
      </c>
      <c r="AC67" s="61">
        <f t="shared" si="51"/>
        <v>0</v>
      </c>
      <c r="AD67" s="61">
        <f t="shared" si="51"/>
        <v>0</v>
      </c>
      <c r="AE67" s="61">
        <f t="shared" si="51"/>
        <v>0</v>
      </c>
      <c r="AF67" s="61">
        <f t="shared" si="37"/>
        <v>0</v>
      </c>
      <c r="AG67" s="61">
        <f t="shared" si="39"/>
        <v>0</v>
      </c>
      <c r="AH67" s="61">
        <f t="shared" si="41"/>
        <v>0</v>
      </c>
      <c r="AI67" s="61">
        <f t="shared" si="43"/>
        <v>0</v>
      </c>
      <c r="AJ67" s="61">
        <f t="shared" si="45"/>
        <v>0</v>
      </c>
      <c r="AK67" s="61">
        <f t="shared" si="46"/>
        <v>0</v>
      </c>
      <c r="AL67" s="61">
        <f t="shared" si="47"/>
        <v>0</v>
      </c>
      <c r="AM67" s="61">
        <f t="shared" si="48"/>
        <v>0</v>
      </c>
      <c r="AN67" s="61">
        <f t="shared" si="49"/>
        <v>0</v>
      </c>
      <c r="AO67" s="61">
        <f t="shared" si="52"/>
        <v>0</v>
      </c>
      <c r="AP67" s="61">
        <f t="shared" si="53"/>
        <v>0</v>
      </c>
      <c r="AQ67" s="61"/>
    </row>
    <row r="68" spans="2:43" x14ac:dyDescent="0.25">
      <c r="B68" s="54">
        <v>0.64583333334303406</v>
      </c>
      <c r="C68" s="54">
        <v>1.00000000008004</v>
      </c>
      <c r="D68" s="60"/>
      <c r="E68" s="91"/>
      <c r="G68" s="91"/>
      <c r="H68" s="92">
        <f t="shared" si="30"/>
        <v>0</v>
      </c>
      <c r="I68" s="180">
        <f>AD$49-AD$50</f>
        <v>0</v>
      </c>
      <c r="M68" s="61">
        <f t="shared" si="50"/>
        <v>0</v>
      </c>
      <c r="N68" s="61">
        <f t="shared" si="50"/>
        <v>0</v>
      </c>
      <c r="O68" s="61">
        <f t="shared" si="50"/>
        <v>0</v>
      </c>
      <c r="P68" s="61">
        <f t="shared" si="50"/>
        <v>0</v>
      </c>
      <c r="Q68" s="61">
        <f t="shared" si="50"/>
        <v>0</v>
      </c>
      <c r="R68" s="61">
        <f t="shared" si="50"/>
        <v>0</v>
      </c>
      <c r="S68" s="61">
        <f t="shared" si="50"/>
        <v>0</v>
      </c>
      <c r="T68" s="61">
        <f t="shared" si="50"/>
        <v>0</v>
      </c>
      <c r="U68" s="61">
        <f t="shared" si="50"/>
        <v>0</v>
      </c>
      <c r="V68" s="61">
        <f t="shared" si="50"/>
        <v>0</v>
      </c>
      <c r="W68" s="61">
        <f t="shared" si="51"/>
        <v>0</v>
      </c>
      <c r="X68" s="61">
        <f t="shared" si="51"/>
        <v>0</v>
      </c>
      <c r="Y68" s="61">
        <f t="shared" si="51"/>
        <v>0</v>
      </c>
      <c r="Z68" s="61">
        <f t="shared" si="51"/>
        <v>0</v>
      </c>
      <c r="AA68" s="61">
        <f t="shared" si="51"/>
        <v>0</v>
      </c>
      <c r="AB68" s="61">
        <f t="shared" si="51"/>
        <v>0</v>
      </c>
      <c r="AC68" s="61">
        <f t="shared" si="51"/>
        <v>0</v>
      </c>
      <c r="AD68" s="61">
        <f t="shared" si="51"/>
        <v>0</v>
      </c>
      <c r="AE68" s="61">
        <f t="shared" si="51"/>
        <v>0</v>
      </c>
      <c r="AF68" s="61">
        <f t="shared" si="37"/>
        <v>0</v>
      </c>
      <c r="AG68" s="61">
        <f t="shared" si="39"/>
        <v>0</v>
      </c>
      <c r="AH68" s="61">
        <f t="shared" si="41"/>
        <v>0</v>
      </c>
      <c r="AI68" s="61">
        <f t="shared" si="43"/>
        <v>0</v>
      </c>
      <c r="AJ68" s="61">
        <f t="shared" si="45"/>
        <v>0</v>
      </c>
      <c r="AK68" s="61">
        <f t="shared" si="46"/>
        <v>0</v>
      </c>
      <c r="AL68" s="61">
        <f t="shared" si="47"/>
        <v>0</v>
      </c>
      <c r="AM68" s="61">
        <f t="shared" si="48"/>
        <v>0</v>
      </c>
      <c r="AN68" s="61">
        <f t="shared" si="49"/>
        <v>0</v>
      </c>
      <c r="AO68" s="61">
        <f t="shared" si="52"/>
        <v>0</v>
      </c>
      <c r="AP68" s="61">
        <f t="shared" si="53"/>
        <v>0</v>
      </c>
      <c r="AQ68" s="61"/>
    </row>
    <row r="69" spans="2:43" x14ac:dyDescent="0.25">
      <c r="B69" s="54">
        <v>0.66666666667879304</v>
      </c>
      <c r="C69" s="54">
        <v>1.0208333334158</v>
      </c>
      <c r="D69" s="60"/>
      <c r="E69" s="91"/>
      <c r="G69" s="91"/>
      <c r="H69" s="92">
        <f t="shared" si="30"/>
        <v>0</v>
      </c>
      <c r="I69" s="180">
        <f>AE$49-AE$50</f>
        <v>0</v>
      </c>
      <c r="M69" s="61">
        <f t="shared" si="50"/>
        <v>0</v>
      </c>
      <c r="N69" s="61">
        <f t="shared" si="50"/>
        <v>0</v>
      </c>
      <c r="O69" s="61">
        <f t="shared" si="50"/>
        <v>0</v>
      </c>
      <c r="P69" s="61">
        <f t="shared" si="50"/>
        <v>0</v>
      </c>
      <c r="Q69" s="61">
        <f t="shared" si="50"/>
        <v>0</v>
      </c>
      <c r="R69" s="61">
        <f t="shared" si="50"/>
        <v>0</v>
      </c>
      <c r="S69" s="61">
        <f t="shared" si="50"/>
        <v>0</v>
      </c>
      <c r="T69" s="61">
        <f t="shared" si="50"/>
        <v>0</v>
      </c>
      <c r="U69" s="61">
        <f t="shared" si="50"/>
        <v>0</v>
      </c>
      <c r="V69" s="61">
        <f t="shared" si="50"/>
        <v>0</v>
      </c>
      <c r="W69" s="61">
        <f t="shared" si="51"/>
        <v>0</v>
      </c>
      <c r="X69" s="61">
        <f t="shared" si="51"/>
        <v>0</v>
      </c>
      <c r="Y69" s="61">
        <f t="shared" si="51"/>
        <v>0</v>
      </c>
      <c r="Z69" s="61">
        <f t="shared" si="51"/>
        <v>0</v>
      </c>
      <c r="AA69" s="61">
        <f t="shared" si="51"/>
        <v>0</v>
      </c>
      <c r="AB69" s="61">
        <f t="shared" si="51"/>
        <v>0</v>
      </c>
      <c r="AC69" s="61">
        <f t="shared" si="51"/>
        <v>0</v>
      </c>
      <c r="AD69" s="61">
        <f t="shared" si="51"/>
        <v>0</v>
      </c>
      <c r="AE69" s="61">
        <f t="shared" si="51"/>
        <v>0</v>
      </c>
      <c r="AF69" s="61">
        <f t="shared" si="37"/>
        <v>0</v>
      </c>
      <c r="AG69" s="61">
        <f t="shared" si="39"/>
        <v>0</v>
      </c>
      <c r="AH69" s="61">
        <f t="shared" si="41"/>
        <v>0</v>
      </c>
      <c r="AI69" s="61">
        <f t="shared" si="43"/>
        <v>0</v>
      </c>
      <c r="AJ69" s="61">
        <f t="shared" si="45"/>
        <v>0</v>
      </c>
      <c r="AK69" s="61">
        <f t="shared" si="46"/>
        <v>0</v>
      </c>
      <c r="AL69" s="61">
        <f t="shared" si="47"/>
        <v>0</v>
      </c>
      <c r="AM69" s="61">
        <f t="shared" si="48"/>
        <v>0</v>
      </c>
      <c r="AN69" s="61">
        <f t="shared" si="49"/>
        <v>0</v>
      </c>
      <c r="AO69" s="61">
        <f t="shared" si="52"/>
        <v>0</v>
      </c>
      <c r="AP69" s="61">
        <f t="shared" si="53"/>
        <v>0</v>
      </c>
      <c r="AQ69" s="61"/>
    </row>
    <row r="70" spans="2:43" x14ac:dyDescent="0.25">
      <c r="B70" s="54">
        <v>0.68750000001455203</v>
      </c>
      <c r="C70" s="54">
        <v>1.0416666667515599</v>
      </c>
      <c r="D70" s="60"/>
      <c r="E70" s="91"/>
      <c r="G70" s="91"/>
      <c r="H70" s="92">
        <f t="shared" si="30"/>
        <v>0</v>
      </c>
      <c r="I70" s="180">
        <f>AF$49-AF$50</f>
        <v>0</v>
      </c>
      <c r="M70" s="61">
        <f t="shared" si="50"/>
        <v>0</v>
      </c>
      <c r="N70" s="61">
        <f t="shared" si="50"/>
        <v>0</v>
      </c>
      <c r="O70" s="61">
        <f t="shared" si="50"/>
        <v>0</v>
      </c>
      <c r="P70" s="61">
        <f t="shared" si="50"/>
        <v>0</v>
      </c>
      <c r="Q70" s="61">
        <f t="shared" si="50"/>
        <v>0</v>
      </c>
      <c r="R70" s="61">
        <f t="shared" si="50"/>
        <v>0</v>
      </c>
      <c r="S70" s="61">
        <f t="shared" si="50"/>
        <v>0</v>
      </c>
      <c r="T70" s="61">
        <f t="shared" si="50"/>
        <v>0</v>
      </c>
      <c r="U70" s="61">
        <f t="shared" si="50"/>
        <v>0</v>
      </c>
      <c r="V70" s="61">
        <f t="shared" si="50"/>
        <v>0</v>
      </c>
      <c r="W70" s="61">
        <f t="shared" si="51"/>
        <v>0</v>
      </c>
      <c r="X70" s="61">
        <f t="shared" si="51"/>
        <v>0</v>
      </c>
      <c r="Y70" s="61">
        <f t="shared" si="51"/>
        <v>0</v>
      </c>
      <c r="Z70" s="61">
        <f t="shared" si="51"/>
        <v>0</v>
      </c>
      <c r="AA70" s="61">
        <f t="shared" si="51"/>
        <v>0</v>
      </c>
      <c r="AB70" s="61">
        <f t="shared" si="51"/>
        <v>0</v>
      </c>
      <c r="AC70" s="61">
        <f t="shared" si="51"/>
        <v>0</v>
      </c>
      <c r="AD70" s="61">
        <f t="shared" si="51"/>
        <v>0</v>
      </c>
      <c r="AE70" s="61">
        <f t="shared" si="51"/>
        <v>0</v>
      </c>
      <c r="AF70" s="61">
        <f t="shared" si="37"/>
        <v>0</v>
      </c>
      <c r="AG70" s="61">
        <f t="shared" si="39"/>
        <v>0</v>
      </c>
      <c r="AH70" s="61">
        <f t="shared" si="41"/>
        <v>0</v>
      </c>
      <c r="AI70" s="61">
        <f t="shared" si="43"/>
        <v>0</v>
      </c>
      <c r="AJ70" s="61">
        <f t="shared" si="45"/>
        <v>0</v>
      </c>
      <c r="AK70" s="61">
        <f t="shared" si="46"/>
        <v>0</v>
      </c>
      <c r="AL70" s="61">
        <f t="shared" si="47"/>
        <v>0</v>
      </c>
      <c r="AM70" s="61">
        <f t="shared" si="48"/>
        <v>0</v>
      </c>
      <c r="AN70" s="61">
        <f t="shared" si="49"/>
        <v>0</v>
      </c>
      <c r="AO70" s="61">
        <f t="shared" si="52"/>
        <v>0</v>
      </c>
      <c r="AP70" s="61">
        <f t="shared" si="53"/>
        <v>0</v>
      </c>
      <c r="AQ70" s="61"/>
    </row>
    <row r="71" spans="2:43" x14ac:dyDescent="0.25">
      <c r="B71" s="54">
        <v>0.70833333335031001</v>
      </c>
      <c r="C71" s="54">
        <v>1.0625000000873199</v>
      </c>
      <c r="D71" s="60"/>
      <c r="E71" s="91"/>
      <c r="G71" s="91"/>
      <c r="H71" s="92">
        <f t="shared" si="30"/>
        <v>0</v>
      </c>
      <c r="I71" s="180">
        <f>AG$49-AG$50</f>
        <v>0</v>
      </c>
      <c r="M71" s="61">
        <f t="shared" si="50"/>
        <v>0</v>
      </c>
      <c r="N71" s="61">
        <f t="shared" si="50"/>
        <v>0</v>
      </c>
      <c r="O71" s="61">
        <f t="shared" si="50"/>
        <v>0</v>
      </c>
      <c r="P71" s="61">
        <f t="shared" si="50"/>
        <v>0</v>
      </c>
      <c r="Q71" s="61">
        <f t="shared" si="50"/>
        <v>0</v>
      </c>
      <c r="R71" s="61">
        <f t="shared" si="50"/>
        <v>0</v>
      </c>
      <c r="S71" s="61">
        <f t="shared" si="50"/>
        <v>0</v>
      </c>
      <c r="T71" s="61">
        <f t="shared" si="50"/>
        <v>0</v>
      </c>
      <c r="U71" s="61">
        <f t="shared" si="50"/>
        <v>0</v>
      </c>
      <c r="V71" s="61">
        <f t="shared" si="50"/>
        <v>0</v>
      </c>
      <c r="W71" s="61">
        <f t="shared" si="51"/>
        <v>0</v>
      </c>
      <c r="X71" s="61">
        <f t="shared" si="51"/>
        <v>0</v>
      </c>
      <c r="Y71" s="61">
        <f t="shared" si="51"/>
        <v>0</v>
      </c>
      <c r="Z71" s="61">
        <f t="shared" si="51"/>
        <v>0</v>
      </c>
      <c r="AA71" s="61">
        <f t="shared" si="51"/>
        <v>0</v>
      </c>
      <c r="AB71" s="61">
        <f t="shared" si="51"/>
        <v>0</v>
      </c>
      <c r="AC71" s="61">
        <f t="shared" si="51"/>
        <v>0</v>
      </c>
      <c r="AD71" s="61">
        <f t="shared" si="51"/>
        <v>0</v>
      </c>
      <c r="AE71" s="61">
        <f t="shared" si="51"/>
        <v>0</v>
      </c>
      <c r="AF71" s="61">
        <f t="shared" si="37"/>
        <v>0</v>
      </c>
      <c r="AG71" s="61">
        <f t="shared" si="39"/>
        <v>0</v>
      </c>
      <c r="AH71" s="61">
        <f t="shared" si="41"/>
        <v>0</v>
      </c>
      <c r="AI71" s="61">
        <f t="shared" si="43"/>
        <v>0</v>
      </c>
      <c r="AJ71" s="61">
        <f t="shared" si="45"/>
        <v>0</v>
      </c>
      <c r="AK71" s="61">
        <f t="shared" si="46"/>
        <v>0</v>
      </c>
      <c r="AL71" s="61">
        <f t="shared" si="47"/>
        <v>0</v>
      </c>
      <c r="AM71" s="61">
        <f t="shared" si="48"/>
        <v>0</v>
      </c>
      <c r="AN71" s="61">
        <f t="shared" si="49"/>
        <v>0</v>
      </c>
      <c r="AO71" s="61">
        <f t="shared" si="52"/>
        <v>0</v>
      </c>
      <c r="AP71" s="61">
        <f t="shared" si="53"/>
        <v>0</v>
      </c>
      <c r="AQ71" s="61"/>
    </row>
    <row r="72" spans="2:43" x14ac:dyDescent="0.25">
      <c r="B72" s="54">
        <v>0.729166666686069</v>
      </c>
      <c r="C72" s="54">
        <v>1.0833333334230799</v>
      </c>
      <c r="D72" s="60"/>
      <c r="E72" s="91"/>
      <c r="G72" s="91"/>
      <c r="H72" s="92">
        <f t="shared" si="30"/>
        <v>0</v>
      </c>
      <c r="I72" s="180">
        <f>AH$49-AH$50</f>
        <v>0</v>
      </c>
      <c r="M72" s="61">
        <f t="shared" si="50"/>
        <v>0</v>
      </c>
      <c r="N72" s="61">
        <f t="shared" si="50"/>
        <v>0</v>
      </c>
      <c r="O72" s="61">
        <f t="shared" si="50"/>
        <v>0</v>
      </c>
      <c r="P72" s="61">
        <f t="shared" si="50"/>
        <v>0</v>
      </c>
      <c r="Q72" s="61">
        <f t="shared" si="50"/>
        <v>0</v>
      </c>
      <c r="R72" s="61">
        <f t="shared" si="50"/>
        <v>0</v>
      </c>
      <c r="S72" s="61">
        <f t="shared" si="50"/>
        <v>0</v>
      </c>
      <c r="T72" s="61">
        <f t="shared" si="50"/>
        <v>0</v>
      </c>
      <c r="U72" s="61">
        <f t="shared" si="50"/>
        <v>0</v>
      </c>
      <c r="V72" s="61">
        <f t="shared" si="50"/>
        <v>0</v>
      </c>
      <c r="W72" s="61">
        <f t="shared" si="51"/>
        <v>0</v>
      </c>
      <c r="X72" s="61">
        <f t="shared" si="51"/>
        <v>0</v>
      </c>
      <c r="Y72" s="61">
        <f t="shared" si="51"/>
        <v>0</v>
      </c>
      <c r="Z72" s="61">
        <f t="shared" si="51"/>
        <v>0</v>
      </c>
      <c r="AA72" s="61">
        <f t="shared" si="51"/>
        <v>0</v>
      </c>
      <c r="AB72" s="61">
        <f t="shared" si="51"/>
        <v>0</v>
      </c>
      <c r="AC72" s="61">
        <f t="shared" si="51"/>
        <v>0</v>
      </c>
      <c r="AD72" s="61">
        <f t="shared" si="51"/>
        <v>0</v>
      </c>
      <c r="AE72" s="61">
        <f t="shared" si="51"/>
        <v>0</v>
      </c>
      <c r="AF72" s="61">
        <f t="shared" si="37"/>
        <v>0</v>
      </c>
      <c r="AG72" s="61">
        <f t="shared" si="39"/>
        <v>0</v>
      </c>
      <c r="AH72" s="61">
        <f t="shared" si="41"/>
        <v>0</v>
      </c>
      <c r="AI72" s="61">
        <f t="shared" si="43"/>
        <v>0</v>
      </c>
      <c r="AJ72" s="61">
        <f t="shared" si="45"/>
        <v>0</v>
      </c>
      <c r="AK72" s="61">
        <f t="shared" si="46"/>
        <v>0</v>
      </c>
      <c r="AL72" s="61">
        <f t="shared" si="47"/>
        <v>0</v>
      </c>
      <c r="AM72" s="61">
        <f t="shared" si="48"/>
        <v>0</v>
      </c>
      <c r="AN72" s="61">
        <f t="shared" si="49"/>
        <v>0</v>
      </c>
      <c r="AO72" s="61">
        <f t="shared" si="52"/>
        <v>0</v>
      </c>
      <c r="AP72" s="61">
        <f t="shared" si="53"/>
        <v>0</v>
      </c>
      <c r="AQ72" s="61"/>
    </row>
    <row r="73" spans="2:43" x14ac:dyDescent="0.25">
      <c r="B73" s="54">
        <v>0.75000000002182798</v>
      </c>
      <c r="C73" s="54">
        <v>1.1041666667588399</v>
      </c>
      <c r="D73" s="60"/>
      <c r="E73" s="91"/>
      <c r="G73" s="91"/>
      <c r="H73" s="92">
        <f t="shared" si="30"/>
        <v>0</v>
      </c>
      <c r="I73" s="180">
        <f>AI$49-AI$50</f>
        <v>0</v>
      </c>
      <c r="M73" s="61">
        <f t="shared" ref="M73:V80" si="54">IF(AND(M$2&gt;=$B73,M$2&lt;$C73),$E73,0)</f>
        <v>0</v>
      </c>
      <c r="N73" s="61">
        <f t="shared" si="54"/>
        <v>0</v>
      </c>
      <c r="O73" s="61">
        <f t="shared" si="54"/>
        <v>0</v>
      </c>
      <c r="P73" s="61">
        <f t="shared" si="54"/>
        <v>0</v>
      </c>
      <c r="Q73" s="61">
        <f t="shared" si="54"/>
        <v>0</v>
      </c>
      <c r="R73" s="61">
        <f t="shared" si="54"/>
        <v>0</v>
      </c>
      <c r="S73" s="61">
        <f t="shared" si="54"/>
        <v>0</v>
      </c>
      <c r="T73" s="61">
        <f t="shared" si="54"/>
        <v>0</v>
      </c>
      <c r="U73" s="61">
        <f t="shared" si="54"/>
        <v>0</v>
      </c>
      <c r="V73" s="61">
        <f t="shared" si="54"/>
        <v>0</v>
      </c>
      <c r="W73" s="61">
        <f t="shared" ref="W73:AE80" si="55">IF(AND(W$2&gt;=$B73,W$2&lt;$C73),$E73,0)</f>
        <v>0</v>
      </c>
      <c r="X73" s="61">
        <f t="shared" si="55"/>
        <v>0</v>
      </c>
      <c r="Y73" s="61">
        <f t="shared" si="55"/>
        <v>0</v>
      </c>
      <c r="Z73" s="61">
        <f t="shared" si="55"/>
        <v>0</v>
      </c>
      <c r="AA73" s="61">
        <f t="shared" si="55"/>
        <v>0</v>
      </c>
      <c r="AB73" s="61">
        <f t="shared" si="55"/>
        <v>0</v>
      </c>
      <c r="AC73" s="61">
        <f t="shared" si="55"/>
        <v>0</v>
      </c>
      <c r="AD73" s="61">
        <f t="shared" si="55"/>
        <v>0</v>
      </c>
      <c r="AE73" s="61">
        <f t="shared" si="55"/>
        <v>0</v>
      </c>
      <c r="AF73" s="61">
        <f t="shared" si="37"/>
        <v>0</v>
      </c>
      <c r="AG73" s="61">
        <f t="shared" si="39"/>
        <v>0</v>
      </c>
      <c r="AH73" s="61">
        <f t="shared" si="41"/>
        <v>0</v>
      </c>
      <c r="AI73" s="61">
        <f t="shared" si="43"/>
        <v>0</v>
      </c>
      <c r="AJ73" s="61">
        <f t="shared" si="45"/>
        <v>0</v>
      </c>
      <c r="AK73" s="61">
        <f t="shared" si="46"/>
        <v>0</v>
      </c>
      <c r="AL73" s="61">
        <f t="shared" si="47"/>
        <v>0</v>
      </c>
      <c r="AM73" s="61">
        <f t="shared" si="48"/>
        <v>0</v>
      </c>
      <c r="AN73" s="61">
        <f t="shared" si="49"/>
        <v>0</v>
      </c>
      <c r="AO73" s="61">
        <f t="shared" si="52"/>
        <v>0</v>
      </c>
      <c r="AP73" s="61">
        <f t="shared" si="53"/>
        <v>0</v>
      </c>
      <c r="AQ73" s="61"/>
    </row>
    <row r="74" spans="2:43" x14ac:dyDescent="0.25">
      <c r="B74" s="54">
        <v>0.77083333335758597</v>
      </c>
      <c r="C74" s="54">
        <v>1.1250000000945899</v>
      </c>
      <c r="D74" s="60"/>
      <c r="E74" s="91"/>
      <c r="G74" s="91"/>
      <c r="H74" s="92">
        <f t="shared" si="30"/>
        <v>0</v>
      </c>
      <c r="I74" s="180">
        <f>AJ$49-AJ$50</f>
        <v>0</v>
      </c>
      <c r="M74" s="61">
        <f t="shared" si="54"/>
        <v>0</v>
      </c>
      <c r="N74" s="61">
        <f t="shared" si="54"/>
        <v>0</v>
      </c>
      <c r="O74" s="61">
        <f t="shared" si="54"/>
        <v>0</v>
      </c>
      <c r="P74" s="61">
        <f t="shared" si="54"/>
        <v>0</v>
      </c>
      <c r="Q74" s="61">
        <f t="shared" si="54"/>
        <v>0</v>
      </c>
      <c r="R74" s="61">
        <f t="shared" si="54"/>
        <v>0</v>
      </c>
      <c r="S74" s="61">
        <f t="shared" si="54"/>
        <v>0</v>
      </c>
      <c r="T74" s="61">
        <f t="shared" si="54"/>
        <v>0</v>
      </c>
      <c r="U74" s="61">
        <f t="shared" si="54"/>
        <v>0</v>
      </c>
      <c r="V74" s="61">
        <f t="shared" si="54"/>
        <v>0</v>
      </c>
      <c r="W74" s="61">
        <f t="shared" si="55"/>
        <v>0</v>
      </c>
      <c r="X74" s="61">
        <f t="shared" si="55"/>
        <v>0</v>
      </c>
      <c r="Y74" s="61">
        <f t="shared" si="55"/>
        <v>0</v>
      </c>
      <c r="Z74" s="61">
        <f t="shared" si="55"/>
        <v>0</v>
      </c>
      <c r="AA74" s="61">
        <f t="shared" si="55"/>
        <v>0</v>
      </c>
      <c r="AB74" s="61">
        <f t="shared" si="55"/>
        <v>0</v>
      </c>
      <c r="AC74" s="61">
        <f t="shared" si="55"/>
        <v>0</v>
      </c>
      <c r="AD74" s="61">
        <f t="shared" si="55"/>
        <v>0</v>
      </c>
      <c r="AE74" s="61">
        <f t="shared" si="55"/>
        <v>0</v>
      </c>
      <c r="AF74" s="61">
        <f t="shared" si="37"/>
        <v>0</v>
      </c>
      <c r="AG74" s="61">
        <f t="shared" si="39"/>
        <v>0</v>
      </c>
      <c r="AH74" s="61">
        <f t="shared" si="41"/>
        <v>0</v>
      </c>
      <c r="AI74" s="61">
        <f t="shared" si="43"/>
        <v>0</v>
      </c>
      <c r="AJ74" s="61">
        <f t="shared" si="45"/>
        <v>0</v>
      </c>
      <c r="AK74" s="61">
        <f t="shared" si="46"/>
        <v>0</v>
      </c>
      <c r="AL74" s="61">
        <f t="shared" si="47"/>
        <v>0</v>
      </c>
      <c r="AM74" s="61">
        <f t="shared" si="48"/>
        <v>0</v>
      </c>
      <c r="AN74" s="61">
        <f t="shared" si="49"/>
        <v>0</v>
      </c>
      <c r="AO74" s="61">
        <f t="shared" si="52"/>
        <v>0</v>
      </c>
      <c r="AP74" s="61">
        <f t="shared" si="53"/>
        <v>0</v>
      </c>
      <c r="AQ74" s="61"/>
    </row>
    <row r="75" spans="2:43" x14ac:dyDescent="0.25">
      <c r="B75" s="54">
        <v>0.79166666669334496</v>
      </c>
      <c r="C75" s="54">
        <v>1.1458333334303501</v>
      </c>
      <c r="D75" s="60"/>
      <c r="E75" s="91"/>
      <c r="G75" s="91"/>
      <c r="H75" s="92">
        <f t="shared" si="30"/>
        <v>0</v>
      </c>
      <c r="I75" s="180">
        <f>AK$49-AK$50</f>
        <v>0</v>
      </c>
      <c r="M75" s="61">
        <f t="shared" si="54"/>
        <v>0</v>
      </c>
      <c r="N75" s="61">
        <f t="shared" si="54"/>
        <v>0</v>
      </c>
      <c r="O75" s="61">
        <f t="shared" si="54"/>
        <v>0</v>
      </c>
      <c r="P75" s="61">
        <f t="shared" si="54"/>
        <v>0</v>
      </c>
      <c r="Q75" s="61">
        <f t="shared" si="54"/>
        <v>0</v>
      </c>
      <c r="R75" s="61">
        <f t="shared" si="54"/>
        <v>0</v>
      </c>
      <c r="S75" s="61">
        <f t="shared" si="54"/>
        <v>0</v>
      </c>
      <c r="T75" s="61">
        <f t="shared" si="54"/>
        <v>0</v>
      </c>
      <c r="U75" s="61">
        <f t="shared" si="54"/>
        <v>0</v>
      </c>
      <c r="V75" s="61">
        <f t="shared" si="54"/>
        <v>0</v>
      </c>
      <c r="W75" s="61">
        <f t="shared" si="55"/>
        <v>0</v>
      </c>
      <c r="X75" s="61">
        <f t="shared" si="55"/>
        <v>0</v>
      </c>
      <c r="Y75" s="61">
        <f t="shared" si="55"/>
        <v>0</v>
      </c>
      <c r="Z75" s="61">
        <f t="shared" si="55"/>
        <v>0</v>
      </c>
      <c r="AA75" s="61">
        <f t="shared" si="55"/>
        <v>0</v>
      </c>
      <c r="AB75" s="61">
        <f t="shared" si="55"/>
        <v>0</v>
      </c>
      <c r="AC75" s="61">
        <f t="shared" si="55"/>
        <v>0</v>
      </c>
      <c r="AD75" s="61">
        <f t="shared" si="55"/>
        <v>0</v>
      </c>
      <c r="AE75" s="61">
        <f t="shared" si="55"/>
        <v>0</v>
      </c>
      <c r="AF75" s="61">
        <f t="shared" si="37"/>
        <v>0</v>
      </c>
      <c r="AG75" s="61">
        <f t="shared" si="39"/>
        <v>0</v>
      </c>
      <c r="AH75" s="61">
        <f t="shared" si="41"/>
        <v>0</v>
      </c>
      <c r="AI75" s="61">
        <f t="shared" si="43"/>
        <v>0</v>
      </c>
      <c r="AJ75" s="61">
        <f t="shared" si="45"/>
        <v>0</v>
      </c>
      <c r="AK75" s="61">
        <f t="shared" si="46"/>
        <v>0</v>
      </c>
      <c r="AL75" s="61">
        <f t="shared" si="47"/>
        <v>0</v>
      </c>
      <c r="AM75" s="61">
        <f t="shared" si="48"/>
        <v>0</v>
      </c>
      <c r="AN75" s="61">
        <f t="shared" si="49"/>
        <v>0</v>
      </c>
      <c r="AO75" s="61">
        <f t="shared" si="52"/>
        <v>0</v>
      </c>
      <c r="AP75" s="61">
        <f t="shared" si="53"/>
        <v>0</v>
      </c>
      <c r="AQ75" s="61"/>
    </row>
    <row r="76" spans="2:43" x14ac:dyDescent="0.25">
      <c r="B76" s="54">
        <v>0.81250000002910305</v>
      </c>
      <c r="C76" s="54">
        <v>1.1666666667661101</v>
      </c>
      <c r="D76" s="60"/>
      <c r="E76" s="91"/>
      <c r="G76" s="91"/>
      <c r="H76" s="92">
        <f t="shared" si="30"/>
        <v>0</v>
      </c>
      <c r="I76" s="180">
        <f>AL$49-AL$50</f>
        <v>0</v>
      </c>
      <c r="M76" s="61">
        <f t="shared" si="54"/>
        <v>0</v>
      </c>
      <c r="N76" s="61">
        <f t="shared" si="54"/>
        <v>0</v>
      </c>
      <c r="O76" s="61">
        <f t="shared" si="54"/>
        <v>0</v>
      </c>
      <c r="P76" s="61">
        <f t="shared" si="54"/>
        <v>0</v>
      </c>
      <c r="Q76" s="61">
        <f t="shared" si="54"/>
        <v>0</v>
      </c>
      <c r="R76" s="61">
        <f t="shared" si="54"/>
        <v>0</v>
      </c>
      <c r="S76" s="61">
        <f t="shared" si="54"/>
        <v>0</v>
      </c>
      <c r="T76" s="61">
        <f t="shared" si="54"/>
        <v>0</v>
      </c>
      <c r="U76" s="61">
        <f t="shared" si="54"/>
        <v>0</v>
      </c>
      <c r="V76" s="61">
        <f t="shared" si="54"/>
        <v>0</v>
      </c>
      <c r="W76" s="61">
        <f t="shared" si="55"/>
        <v>0</v>
      </c>
      <c r="X76" s="61">
        <f t="shared" si="55"/>
        <v>0</v>
      </c>
      <c r="Y76" s="61">
        <f t="shared" si="55"/>
        <v>0</v>
      </c>
      <c r="Z76" s="61">
        <f t="shared" si="55"/>
        <v>0</v>
      </c>
      <c r="AA76" s="61">
        <f t="shared" si="55"/>
        <v>0</v>
      </c>
      <c r="AB76" s="61">
        <f t="shared" si="55"/>
        <v>0</v>
      </c>
      <c r="AC76" s="61">
        <f t="shared" si="55"/>
        <v>0</v>
      </c>
      <c r="AD76" s="61">
        <f t="shared" si="55"/>
        <v>0</v>
      </c>
      <c r="AE76" s="61">
        <f t="shared" si="55"/>
        <v>0</v>
      </c>
      <c r="AF76" s="61">
        <f t="shared" si="37"/>
        <v>0</v>
      </c>
      <c r="AG76" s="61">
        <f t="shared" si="39"/>
        <v>0</v>
      </c>
      <c r="AH76" s="61">
        <f t="shared" si="41"/>
        <v>0</v>
      </c>
      <c r="AI76" s="61">
        <f t="shared" si="43"/>
        <v>0</v>
      </c>
      <c r="AJ76" s="61">
        <f t="shared" si="45"/>
        <v>0</v>
      </c>
      <c r="AK76" s="61">
        <f t="shared" si="46"/>
        <v>0</v>
      </c>
      <c r="AL76" s="61">
        <f t="shared" si="47"/>
        <v>0</v>
      </c>
      <c r="AM76" s="61">
        <f t="shared" si="48"/>
        <v>0</v>
      </c>
      <c r="AN76" s="61">
        <f t="shared" si="49"/>
        <v>0</v>
      </c>
      <c r="AO76" s="61">
        <f t="shared" si="52"/>
        <v>0</v>
      </c>
      <c r="AP76" s="61">
        <f t="shared" si="53"/>
        <v>0</v>
      </c>
      <c r="AQ76" s="61"/>
    </row>
    <row r="77" spans="2:43" x14ac:dyDescent="0.25">
      <c r="B77" s="54">
        <v>0.83333333336486204</v>
      </c>
      <c r="C77" s="54">
        <v>1.1875000001018701</v>
      </c>
      <c r="D77" s="60"/>
      <c r="E77" s="91"/>
      <c r="G77" s="91"/>
      <c r="H77" s="92">
        <f t="shared" si="30"/>
        <v>0</v>
      </c>
      <c r="I77" s="180">
        <f>AM$49-AM$50</f>
        <v>0</v>
      </c>
      <c r="M77" s="61">
        <f t="shared" si="54"/>
        <v>0</v>
      </c>
      <c r="N77" s="61">
        <f t="shared" si="54"/>
        <v>0</v>
      </c>
      <c r="O77" s="61">
        <f t="shared" si="54"/>
        <v>0</v>
      </c>
      <c r="P77" s="61">
        <f t="shared" si="54"/>
        <v>0</v>
      </c>
      <c r="Q77" s="61">
        <f t="shared" si="54"/>
        <v>0</v>
      </c>
      <c r="R77" s="61">
        <f t="shared" si="54"/>
        <v>0</v>
      </c>
      <c r="S77" s="61">
        <f t="shared" si="54"/>
        <v>0</v>
      </c>
      <c r="T77" s="61">
        <f t="shared" si="54"/>
        <v>0</v>
      </c>
      <c r="U77" s="61">
        <f t="shared" si="54"/>
        <v>0</v>
      </c>
      <c r="V77" s="61">
        <f t="shared" si="54"/>
        <v>0</v>
      </c>
      <c r="W77" s="61">
        <f t="shared" si="55"/>
        <v>0</v>
      </c>
      <c r="X77" s="61">
        <f t="shared" si="55"/>
        <v>0</v>
      </c>
      <c r="Y77" s="61">
        <f t="shared" si="55"/>
        <v>0</v>
      </c>
      <c r="Z77" s="61">
        <f t="shared" si="55"/>
        <v>0</v>
      </c>
      <c r="AA77" s="61">
        <f t="shared" si="55"/>
        <v>0</v>
      </c>
      <c r="AB77" s="61">
        <f t="shared" si="55"/>
        <v>0</v>
      </c>
      <c r="AC77" s="61">
        <f t="shared" si="55"/>
        <v>0</v>
      </c>
      <c r="AD77" s="61">
        <f t="shared" si="55"/>
        <v>0</v>
      </c>
      <c r="AE77" s="61">
        <f t="shared" si="55"/>
        <v>0</v>
      </c>
      <c r="AF77" s="61">
        <f t="shared" si="37"/>
        <v>0</v>
      </c>
      <c r="AG77" s="61">
        <f t="shared" si="39"/>
        <v>0</v>
      </c>
      <c r="AH77" s="61">
        <f t="shared" si="41"/>
        <v>0</v>
      </c>
      <c r="AI77" s="61">
        <f t="shared" si="43"/>
        <v>0</v>
      </c>
      <c r="AJ77" s="61">
        <f t="shared" si="45"/>
        <v>0</v>
      </c>
      <c r="AK77" s="61">
        <f t="shared" si="46"/>
        <v>0</v>
      </c>
      <c r="AL77" s="61">
        <f t="shared" si="47"/>
        <v>0</v>
      </c>
      <c r="AM77" s="61">
        <f t="shared" si="48"/>
        <v>0</v>
      </c>
      <c r="AN77" s="61">
        <f t="shared" si="49"/>
        <v>0</v>
      </c>
      <c r="AO77" s="61">
        <f t="shared" si="52"/>
        <v>0</v>
      </c>
      <c r="AP77" s="61">
        <f t="shared" si="53"/>
        <v>0</v>
      </c>
      <c r="AQ77" s="61"/>
    </row>
    <row r="78" spans="2:43" x14ac:dyDescent="0.25">
      <c r="B78" s="54">
        <v>0.85416666670062102</v>
      </c>
      <c r="C78" s="54">
        <v>1.2083333334376301</v>
      </c>
      <c r="D78" s="60"/>
      <c r="E78" s="91"/>
      <c r="G78" s="91"/>
      <c r="H78" s="92">
        <f t="shared" si="30"/>
        <v>0</v>
      </c>
      <c r="I78" s="180">
        <f>AN$49-AN$50</f>
        <v>0</v>
      </c>
      <c r="M78" s="61">
        <f t="shared" si="54"/>
        <v>0</v>
      </c>
      <c r="N78" s="61">
        <f t="shared" si="54"/>
        <v>0</v>
      </c>
      <c r="O78" s="61">
        <f t="shared" si="54"/>
        <v>0</v>
      </c>
      <c r="P78" s="61">
        <f t="shared" si="54"/>
        <v>0</v>
      </c>
      <c r="Q78" s="61">
        <f t="shared" si="54"/>
        <v>0</v>
      </c>
      <c r="R78" s="61">
        <f t="shared" si="54"/>
        <v>0</v>
      </c>
      <c r="S78" s="61">
        <f t="shared" si="54"/>
        <v>0</v>
      </c>
      <c r="T78" s="61">
        <f t="shared" si="54"/>
        <v>0</v>
      </c>
      <c r="U78" s="61">
        <f t="shared" si="54"/>
        <v>0</v>
      </c>
      <c r="V78" s="61">
        <f t="shared" si="54"/>
        <v>0</v>
      </c>
      <c r="W78" s="61">
        <f t="shared" si="55"/>
        <v>0</v>
      </c>
      <c r="X78" s="61">
        <f t="shared" si="55"/>
        <v>0</v>
      </c>
      <c r="Y78" s="61">
        <f t="shared" si="55"/>
        <v>0</v>
      </c>
      <c r="Z78" s="61">
        <f t="shared" si="55"/>
        <v>0</v>
      </c>
      <c r="AA78" s="61">
        <f t="shared" si="55"/>
        <v>0</v>
      </c>
      <c r="AB78" s="61">
        <f t="shared" si="55"/>
        <v>0</v>
      </c>
      <c r="AC78" s="61">
        <f t="shared" si="55"/>
        <v>0</v>
      </c>
      <c r="AD78" s="61">
        <f t="shared" si="55"/>
        <v>0</v>
      </c>
      <c r="AE78" s="61">
        <f t="shared" si="55"/>
        <v>0</v>
      </c>
      <c r="AF78" s="61">
        <f t="shared" si="37"/>
        <v>0</v>
      </c>
      <c r="AG78" s="61">
        <f t="shared" si="39"/>
        <v>0</v>
      </c>
      <c r="AH78" s="61">
        <f t="shared" si="41"/>
        <v>0</v>
      </c>
      <c r="AI78" s="61">
        <f t="shared" si="43"/>
        <v>0</v>
      </c>
      <c r="AJ78" s="61">
        <f t="shared" si="45"/>
        <v>0</v>
      </c>
      <c r="AK78" s="61">
        <f t="shared" si="46"/>
        <v>0</v>
      </c>
      <c r="AL78" s="61">
        <f t="shared" si="47"/>
        <v>0</v>
      </c>
      <c r="AM78" s="61">
        <f t="shared" si="48"/>
        <v>0</v>
      </c>
      <c r="AN78" s="61">
        <f t="shared" si="49"/>
        <v>0</v>
      </c>
      <c r="AO78" s="61">
        <f t="shared" si="52"/>
        <v>0</v>
      </c>
      <c r="AP78" s="61">
        <f t="shared" si="53"/>
        <v>0</v>
      </c>
      <c r="AQ78" s="61"/>
    </row>
    <row r="79" spans="2:43" x14ac:dyDescent="0.25">
      <c r="B79" s="54">
        <v>0.87500000003637901</v>
      </c>
      <c r="C79" s="54">
        <v>1.22916666677339</v>
      </c>
      <c r="D79" s="60"/>
      <c r="E79" s="91"/>
      <c r="G79" s="91"/>
      <c r="H79" s="92">
        <f t="shared" si="30"/>
        <v>0</v>
      </c>
      <c r="I79" s="180">
        <f>AO$49-AO$50</f>
        <v>0</v>
      </c>
      <c r="M79" s="61">
        <f t="shared" si="54"/>
        <v>0</v>
      </c>
      <c r="N79" s="61">
        <f t="shared" si="54"/>
        <v>0</v>
      </c>
      <c r="O79" s="61">
        <f t="shared" si="54"/>
        <v>0</v>
      </c>
      <c r="P79" s="61">
        <f t="shared" si="54"/>
        <v>0</v>
      </c>
      <c r="Q79" s="61">
        <f t="shared" si="54"/>
        <v>0</v>
      </c>
      <c r="R79" s="61">
        <f t="shared" si="54"/>
        <v>0</v>
      </c>
      <c r="S79" s="61">
        <f t="shared" si="54"/>
        <v>0</v>
      </c>
      <c r="T79" s="61">
        <f t="shared" si="54"/>
        <v>0</v>
      </c>
      <c r="U79" s="61">
        <f t="shared" si="54"/>
        <v>0</v>
      </c>
      <c r="V79" s="61">
        <f t="shared" si="54"/>
        <v>0</v>
      </c>
      <c r="W79" s="61">
        <f t="shared" si="55"/>
        <v>0</v>
      </c>
      <c r="X79" s="61">
        <f t="shared" si="55"/>
        <v>0</v>
      </c>
      <c r="Y79" s="61">
        <f t="shared" si="55"/>
        <v>0</v>
      </c>
      <c r="Z79" s="61">
        <f t="shared" si="55"/>
        <v>0</v>
      </c>
      <c r="AA79" s="61">
        <f t="shared" si="55"/>
        <v>0</v>
      </c>
      <c r="AB79" s="61">
        <f t="shared" si="55"/>
        <v>0</v>
      </c>
      <c r="AC79" s="61">
        <f t="shared" si="55"/>
        <v>0</v>
      </c>
      <c r="AD79" s="61">
        <f t="shared" si="55"/>
        <v>0</v>
      </c>
      <c r="AE79" s="61">
        <f t="shared" si="55"/>
        <v>0</v>
      </c>
      <c r="AF79" s="61">
        <f t="shared" si="37"/>
        <v>0</v>
      </c>
      <c r="AG79" s="61">
        <f t="shared" si="39"/>
        <v>0</v>
      </c>
      <c r="AH79" s="61">
        <f t="shared" si="41"/>
        <v>0</v>
      </c>
      <c r="AI79" s="61">
        <f t="shared" si="43"/>
        <v>0</v>
      </c>
      <c r="AJ79" s="61">
        <f t="shared" si="45"/>
        <v>0</v>
      </c>
      <c r="AK79" s="61">
        <f t="shared" si="46"/>
        <v>0</v>
      </c>
      <c r="AL79" s="61">
        <f t="shared" si="47"/>
        <v>0</v>
      </c>
      <c r="AM79" s="61">
        <f t="shared" si="48"/>
        <v>0</v>
      </c>
      <c r="AN79" s="61">
        <f t="shared" si="49"/>
        <v>0</v>
      </c>
      <c r="AO79" s="61">
        <f t="shared" si="52"/>
        <v>0</v>
      </c>
      <c r="AP79" s="61">
        <f t="shared" si="53"/>
        <v>0</v>
      </c>
      <c r="AQ79" s="61"/>
    </row>
    <row r="80" spans="2:43" x14ac:dyDescent="0.25">
      <c r="B80" s="54">
        <v>0.895833333372138</v>
      </c>
      <c r="C80" s="54">
        <v>1.25000000010915</v>
      </c>
      <c r="D80" s="60"/>
      <c r="E80" s="91"/>
      <c r="G80" s="91"/>
      <c r="H80" s="92">
        <f t="shared" si="30"/>
        <v>0</v>
      </c>
      <c r="I80" s="180">
        <f>AP$49-AP$50</f>
        <v>0</v>
      </c>
      <c r="M80" s="61">
        <f t="shared" si="54"/>
        <v>0</v>
      </c>
      <c r="N80" s="61">
        <f t="shared" si="54"/>
        <v>0</v>
      </c>
      <c r="O80" s="61">
        <f t="shared" si="54"/>
        <v>0</v>
      </c>
      <c r="P80" s="61">
        <f t="shared" si="54"/>
        <v>0</v>
      </c>
      <c r="Q80" s="61">
        <f t="shared" si="54"/>
        <v>0</v>
      </c>
      <c r="R80" s="61">
        <f t="shared" si="54"/>
        <v>0</v>
      </c>
      <c r="S80" s="61">
        <f t="shared" si="54"/>
        <v>0</v>
      </c>
      <c r="T80" s="61">
        <f t="shared" si="54"/>
        <v>0</v>
      </c>
      <c r="U80" s="61">
        <f t="shared" si="54"/>
        <v>0</v>
      </c>
      <c r="V80" s="61">
        <f t="shared" si="54"/>
        <v>0</v>
      </c>
      <c r="W80" s="61">
        <f t="shared" si="55"/>
        <v>0</v>
      </c>
      <c r="X80" s="61">
        <f t="shared" si="55"/>
        <v>0</v>
      </c>
      <c r="Y80" s="61">
        <f t="shared" si="55"/>
        <v>0</v>
      </c>
      <c r="Z80" s="61">
        <f t="shared" si="55"/>
        <v>0</v>
      </c>
      <c r="AA80" s="61">
        <f t="shared" si="55"/>
        <v>0</v>
      </c>
      <c r="AB80" s="61">
        <f t="shared" si="55"/>
        <v>0</v>
      </c>
      <c r="AC80" s="61">
        <f t="shared" si="55"/>
        <v>0</v>
      </c>
      <c r="AD80" s="61">
        <f t="shared" si="55"/>
        <v>0</v>
      </c>
      <c r="AE80" s="61">
        <f t="shared" si="55"/>
        <v>0</v>
      </c>
      <c r="AF80" s="61">
        <f t="shared" si="37"/>
        <v>0</v>
      </c>
      <c r="AG80" s="61">
        <f t="shared" si="39"/>
        <v>0</v>
      </c>
      <c r="AH80" s="61">
        <f t="shared" si="41"/>
        <v>0</v>
      </c>
      <c r="AI80" s="61">
        <f t="shared" si="43"/>
        <v>0</v>
      </c>
      <c r="AJ80" s="61">
        <f t="shared" si="45"/>
        <v>0</v>
      </c>
      <c r="AK80" s="61">
        <f t="shared" si="46"/>
        <v>0</v>
      </c>
      <c r="AL80" s="61">
        <f t="shared" si="47"/>
        <v>0</v>
      </c>
      <c r="AM80" s="61">
        <f t="shared" si="48"/>
        <v>0</v>
      </c>
      <c r="AN80" s="61">
        <f t="shared" si="49"/>
        <v>0</v>
      </c>
      <c r="AO80" s="61">
        <f t="shared" si="52"/>
        <v>0</v>
      </c>
      <c r="AP80" s="61">
        <f t="shared" si="53"/>
        <v>0</v>
      </c>
      <c r="AQ80" s="61"/>
    </row>
    <row r="81" spans="2:43" x14ac:dyDescent="0.25">
      <c r="B81" s="60"/>
      <c r="C81" s="60"/>
      <c r="D81" s="60"/>
      <c r="E81" s="91"/>
      <c r="G81" s="91"/>
      <c r="H81" s="94"/>
      <c r="I81" s="180">
        <f>NCC!$O$36</f>
        <v>0</v>
      </c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</row>
    <row r="82" spans="2:43" x14ac:dyDescent="0.25">
      <c r="B82" s="60"/>
      <c r="C82" s="60"/>
      <c r="D82" s="60"/>
      <c r="F82" s="94"/>
      <c r="G82" s="94"/>
      <c r="H82" s="94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</row>
    <row r="88" spans="2:43" s="52" customFormat="1" x14ac:dyDescent="0.25">
      <c r="E88" s="53"/>
      <c r="F88" s="53"/>
      <c r="G88" s="53"/>
      <c r="H88" s="53"/>
      <c r="I88" s="53"/>
      <c r="J88" s="53"/>
      <c r="K88" s="58" t="s">
        <v>32</v>
      </c>
      <c r="L88" s="53"/>
      <c r="M88" s="84">
        <f>G93</f>
        <v>0</v>
      </c>
      <c r="N88" s="84">
        <f>M88+G94</f>
        <v>0</v>
      </c>
      <c r="O88" s="84">
        <f>N88+G95</f>
        <v>0</v>
      </c>
      <c r="P88" s="84">
        <f>+O88+G96</f>
        <v>0</v>
      </c>
      <c r="Q88" s="84">
        <f>P88+G97</f>
        <v>0</v>
      </c>
      <c r="R88" s="84">
        <f>Q88+G98</f>
        <v>0</v>
      </c>
      <c r="S88" s="84">
        <f>R88+G99</f>
        <v>0</v>
      </c>
      <c r="T88" s="84">
        <f>S88+G100</f>
        <v>0</v>
      </c>
      <c r="U88" s="84">
        <f>T88+G101-G93</f>
        <v>0</v>
      </c>
      <c r="V88" s="84">
        <f>U88+G102-G94</f>
        <v>0</v>
      </c>
      <c r="W88" s="84">
        <f>V88+G103-G95</f>
        <v>0</v>
      </c>
      <c r="X88" s="84">
        <f>W88+G104-G96</f>
        <v>0</v>
      </c>
      <c r="Y88" s="84">
        <f>X88+G105-G97</f>
        <v>0</v>
      </c>
      <c r="Z88" s="84">
        <f>Y88+G106-G98</f>
        <v>0</v>
      </c>
      <c r="AA88" s="84">
        <f>Z88+G107-G99</f>
        <v>0</v>
      </c>
      <c r="AB88" s="84">
        <f>AA88+G108-G100</f>
        <v>0</v>
      </c>
      <c r="AC88" s="84">
        <f>AB88+G109-G101</f>
        <v>0</v>
      </c>
      <c r="AD88" s="84">
        <f>AC88+G110-G102</f>
        <v>0</v>
      </c>
      <c r="AE88" s="84">
        <f>AD88+G111-G103</f>
        <v>0</v>
      </c>
      <c r="AF88" s="84">
        <f>AE88+G112-G104</f>
        <v>0</v>
      </c>
      <c r="AG88" s="84">
        <f>AF88+G113-G105</f>
        <v>0</v>
      </c>
      <c r="AH88" s="84">
        <f>AG88+G114-G106</f>
        <v>0</v>
      </c>
      <c r="AI88" s="84">
        <f>AH88+G115-G107</f>
        <v>0</v>
      </c>
      <c r="AJ88" s="84">
        <f>AI88+G116-G108</f>
        <v>0</v>
      </c>
      <c r="AK88" s="84">
        <f>AJ88+G117-G109</f>
        <v>0</v>
      </c>
      <c r="AL88" s="84">
        <f>AK88+G118-G110</f>
        <v>0</v>
      </c>
      <c r="AM88" s="84">
        <f>AL88+G119-G111</f>
        <v>0</v>
      </c>
      <c r="AN88" s="84">
        <f>AM88+G120-G112</f>
        <v>0</v>
      </c>
      <c r="AO88" s="84">
        <f>AN88+G121-G113</f>
        <v>0</v>
      </c>
      <c r="AP88" s="84">
        <f>AO88+G122-G114</f>
        <v>0</v>
      </c>
      <c r="AQ88" s="84">
        <f>SUM(M88:AP88)/8.5</f>
        <v>0</v>
      </c>
    </row>
    <row r="89" spans="2:43" x14ac:dyDescent="0.25">
      <c r="J89" s="57"/>
      <c r="K89" s="58" t="s">
        <v>31</v>
      </c>
      <c r="M89" s="84">
        <f>F93</f>
        <v>0</v>
      </c>
      <c r="N89" s="84">
        <f>M89+F94</f>
        <v>0</v>
      </c>
      <c r="O89" s="84">
        <f>N89+F95</f>
        <v>0</v>
      </c>
      <c r="P89" s="84">
        <f>O89+F96</f>
        <v>0</v>
      </c>
      <c r="Q89" s="84">
        <f>P89+F97</f>
        <v>0</v>
      </c>
      <c r="R89" s="84">
        <f>Q89+F98</f>
        <v>0</v>
      </c>
      <c r="S89" s="84">
        <f>R89+F99</f>
        <v>0</v>
      </c>
      <c r="T89" s="84">
        <f>S89+F100</f>
        <v>0</v>
      </c>
      <c r="U89" s="84">
        <f>T89+F101</f>
        <v>0</v>
      </c>
      <c r="V89" s="84">
        <f>U89</f>
        <v>0</v>
      </c>
      <c r="W89" s="84">
        <f>V89</f>
        <v>0</v>
      </c>
      <c r="X89" s="84">
        <f>W89</f>
        <v>0</v>
      </c>
      <c r="Y89" s="96"/>
      <c r="Z89" s="96"/>
      <c r="AA89" s="96"/>
      <c r="AB89" s="96"/>
      <c r="AC89" s="84">
        <f t="shared" ref="AC89:AN89" si="56">M89</f>
        <v>0</v>
      </c>
      <c r="AD89" s="84">
        <f t="shared" si="56"/>
        <v>0</v>
      </c>
      <c r="AE89" s="84">
        <f t="shared" si="56"/>
        <v>0</v>
      </c>
      <c r="AF89" s="84">
        <f t="shared" si="56"/>
        <v>0</v>
      </c>
      <c r="AG89" s="84">
        <f t="shared" si="56"/>
        <v>0</v>
      </c>
      <c r="AH89" s="84">
        <f t="shared" si="56"/>
        <v>0</v>
      </c>
      <c r="AI89" s="84">
        <f t="shared" si="56"/>
        <v>0</v>
      </c>
      <c r="AJ89" s="84">
        <f t="shared" si="56"/>
        <v>0</v>
      </c>
      <c r="AK89" s="84">
        <f t="shared" si="56"/>
        <v>0</v>
      </c>
      <c r="AL89" s="84">
        <f t="shared" si="56"/>
        <v>0</v>
      </c>
      <c r="AM89" s="84">
        <f t="shared" si="56"/>
        <v>0</v>
      </c>
      <c r="AN89" s="84">
        <f t="shared" si="56"/>
        <v>0</v>
      </c>
      <c r="AO89" s="84"/>
      <c r="AP89" s="84"/>
      <c r="AQ89" s="182"/>
    </row>
    <row r="90" spans="2:43" s="57" customFormat="1" ht="17.25" customHeight="1" x14ac:dyDescent="0.25">
      <c r="K90" s="58" t="s">
        <v>13</v>
      </c>
      <c r="M90" s="84"/>
      <c r="N90" s="84"/>
      <c r="O90" s="84"/>
      <c r="P90" s="84"/>
      <c r="Q90" s="84"/>
      <c r="R90" s="84"/>
      <c r="S90" s="84"/>
      <c r="T90" s="84"/>
      <c r="U90" s="84">
        <f>M89</f>
        <v>0</v>
      </c>
      <c r="V90" s="84">
        <f>N89</f>
        <v>0</v>
      </c>
      <c r="W90" s="84">
        <f>O89</f>
        <v>0</v>
      </c>
      <c r="X90" s="84">
        <f>P89</f>
        <v>0</v>
      </c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>
        <f>AC89</f>
        <v>0</v>
      </c>
      <c r="AL90" s="84">
        <f>AD89</f>
        <v>0</v>
      </c>
      <c r="AM90" s="84">
        <f>AE89</f>
        <v>0</v>
      </c>
      <c r="AN90" s="84">
        <f>AF89</f>
        <v>0</v>
      </c>
      <c r="AO90" s="84"/>
      <c r="AP90" s="85"/>
      <c r="AQ90" s="86"/>
    </row>
    <row r="91" spans="2:43" s="57" customFormat="1" ht="17.25" customHeight="1" x14ac:dyDescent="0.25">
      <c r="B91" s="57" t="s">
        <v>18</v>
      </c>
      <c r="E91" s="59" t="s">
        <v>8</v>
      </c>
      <c r="F91" s="59" t="s">
        <v>15</v>
      </c>
      <c r="G91" s="59" t="s">
        <v>32</v>
      </c>
      <c r="H91" s="59" t="s">
        <v>16</v>
      </c>
      <c r="J91" s="58" t="s">
        <v>9</v>
      </c>
      <c r="K91" s="58">
        <f>SUM(M91:AP91)/16</f>
        <v>0</v>
      </c>
      <c r="M91" s="87">
        <f t="shared" ref="M91:AP91" si="57">SUM(M93:M122)+M89+M88-M90</f>
        <v>0</v>
      </c>
      <c r="N91" s="87">
        <f t="shared" si="57"/>
        <v>0</v>
      </c>
      <c r="O91" s="87">
        <f t="shared" si="57"/>
        <v>0</v>
      </c>
      <c r="P91" s="87">
        <f t="shared" si="57"/>
        <v>0</v>
      </c>
      <c r="Q91" s="87">
        <f t="shared" si="57"/>
        <v>0</v>
      </c>
      <c r="R91" s="87">
        <f t="shared" si="57"/>
        <v>0</v>
      </c>
      <c r="S91" s="87">
        <f t="shared" si="57"/>
        <v>0</v>
      </c>
      <c r="T91" s="87">
        <f t="shared" si="57"/>
        <v>0</v>
      </c>
      <c r="U91" s="87">
        <f t="shared" si="57"/>
        <v>0</v>
      </c>
      <c r="V91" s="87">
        <f t="shared" si="57"/>
        <v>0</v>
      </c>
      <c r="W91" s="87">
        <f t="shared" si="57"/>
        <v>0</v>
      </c>
      <c r="X91" s="87">
        <f t="shared" si="57"/>
        <v>0</v>
      </c>
      <c r="Y91" s="87">
        <f t="shared" si="57"/>
        <v>0</v>
      </c>
      <c r="Z91" s="87">
        <f t="shared" si="57"/>
        <v>0</v>
      </c>
      <c r="AA91" s="87">
        <f t="shared" si="57"/>
        <v>0</v>
      </c>
      <c r="AB91" s="87">
        <f t="shared" si="57"/>
        <v>0</v>
      </c>
      <c r="AC91" s="87">
        <f t="shared" si="57"/>
        <v>0</v>
      </c>
      <c r="AD91" s="87">
        <f t="shared" si="57"/>
        <v>0</v>
      </c>
      <c r="AE91" s="87">
        <f t="shared" si="57"/>
        <v>0</v>
      </c>
      <c r="AF91" s="87">
        <f t="shared" si="57"/>
        <v>0</v>
      </c>
      <c r="AG91" s="87">
        <f t="shared" si="57"/>
        <v>0</v>
      </c>
      <c r="AH91" s="87">
        <f t="shared" si="57"/>
        <v>0</v>
      </c>
      <c r="AI91" s="87">
        <f t="shared" si="57"/>
        <v>0</v>
      </c>
      <c r="AJ91" s="87">
        <f t="shared" si="57"/>
        <v>0</v>
      </c>
      <c r="AK91" s="87">
        <f t="shared" si="57"/>
        <v>0</v>
      </c>
      <c r="AL91" s="87">
        <f t="shared" si="57"/>
        <v>0</v>
      </c>
      <c r="AM91" s="87">
        <f t="shared" si="57"/>
        <v>0</v>
      </c>
      <c r="AN91" s="87">
        <f t="shared" si="57"/>
        <v>0</v>
      </c>
      <c r="AO91" s="87">
        <f t="shared" si="57"/>
        <v>0</v>
      </c>
      <c r="AP91" s="87">
        <f t="shared" si="57"/>
        <v>0</v>
      </c>
      <c r="AQ91" s="87"/>
    </row>
    <row r="92" spans="2:43" s="88" customFormat="1" x14ac:dyDescent="0.25">
      <c r="E92" s="178">
        <f>SUM(E93:E122)</f>
        <v>0</v>
      </c>
      <c r="F92" s="178">
        <f>SUM(F93:F122)</f>
        <v>0</v>
      </c>
      <c r="G92" s="178">
        <f>SUM(G93:G122)</f>
        <v>0</v>
      </c>
      <c r="H92" s="178">
        <f>SUM(H93:H122)</f>
        <v>0</v>
      </c>
      <c r="I92" s="89"/>
      <c r="J92" s="89"/>
      <c r="K92" s="58" t="s">
        <v>7</v>
      </c>
      <c r="L92" s="89"/>
      <c r="M92" s="180">
        <f>SUMMARY!$G$6</f>
        <v>0</v>
      </c>
      <c r="N92" s="180">
        <f>SUMMARY!$G$7</f>
        <v>0</v>
      </c>
      <c r="O92" s="180">
        <f>SUMMARY!$G$8</f>
        <v>0</v>
      </c>
      <c r="P92" s="180">
        <f>SUMMARY!$G$9</f>
        <v>0</v>
      </c>
      <c r="Q92" s="180">
        <f>SUMMARY!$G$10</f>
        <v>0</v>
      </c>
      <c r="R92" s="180">
        <f>SUMMARY!$G$11</f>
        <v>0</v>
      </c>
      <c r="S92" s="180">
        <f>SUMMARY!$G$12</f>
        <v>0</v>
      </c>
      <c r="T92" s="180">
        <f>SUMMARY!$G$13</f>
        <v>0</v>
      </c>
      <c r="U92" s="180">
        <f>SUMMARY!$G$14</f>
        <v>0</v>
      </c>
      <c r="V92" s="180">
        <f>SUMMARY!$G$15</f>
        <v>0</v>
      </c>
      <c r="W92" s="180">
        <f>SUMMARY!$G$16</f>
        <v>0</v>
      </c>
      <c r="X92" s="180">
        <f>SUMMARY!$G$17</f>
        <v>0</v>
      </c>
      <c r="Y92" s="180">
        <f>SUMMARY!$G$18</f>
        <v>0</v>
      </c>
      <c r="Z92" s="180">
        <f>SUMMARY!$G$19</f>
        <v>0</v>
      </c>
      <c r="AA92" s="180">
        <f>SUMMARY!$G$20</f>
        <v>0</v>
      </c>
      <c r="AB92" s="180">
        <f>SUMMARY!$G$21</f>
        <v>0</v>
      </c>
      <c r="AC92" s="180">
        <f>SUMMARY!$G$22</f>
        <v>0</v>
      </c>
      <c r="AD92" s="180">
        <f>SUMMARY!$G$23</f>
        <v>0</v>
      </c>
      <c r="AE92" s="180">
        <f>SUMMARY!$G$24</f>
        <v>0</v>
      </c>
      <c r="AF92" s="180">
        <f>SUMMARY!$G$25</f>
        <v>0</v>
      </c>
      <c r="AG92" s="180">
        <f>SUMMARY!$G$26</f>
        <v>0</v>
      </c>
      <c r="AH92" s="180">
        <f>SUMMARY!$G$27</f>
        <v>0</v>
      </c>
      <c r="AI92" s="180">
        <f>SUMMARY!$G$28</f>
        <v>0</v>
      </c>
      <c r="AJ92" s="180">
        <f>SUMMARY!$G$29</f>
        <v>0</v>
      </c>
      <c r="AK92" s="180">
        <f>SUMMARY!$G$30</f>
        <v>0</v>
      </c>
      <c r="AL92" s="180">
        <f>SUMMARY!$G$31</f>
        <v>0</v>
      </c>
      <c r="AM92" s="180">
        <f>SUMMARY!$G$32</f>
        <v>0</v>
      </c>
      <c r="AN92" s="180">
        <f>SUMMARY!$G$33</f>
        <v>0</v>
      </c>
      <c r="AO92" s="180">
        <f>SUMMARY!$G$34</f>
        <v>0</v>
      </c>
      <c r="AP92" s="180">
        <f>SUMMARY!$G$35</f>
        <v>0</v>
      </c>
      <c r="AQ92" s="180">
        <f>NCC!$P$36</f>
        <v>0</v>
      </c>
    </row>
    <row r="93" spans="2:43" x14ac:dyDescent="0.25">
      <c r="B93" s="54">
        <v>0.29166666666424135</v>
      </c>
      <c r="C93" s="54">
        <v>0.645833333372138</v>
      </c>
      <c r="D93" s="60"/>
      <c r="E93" s="91">
        <f>SUMMARY!R6</f>
        <v>0</v>
      </c>
      <c r="F93" s="91"/>
      <c r="G93" s="91"/>
      <c r="H93" s="92">
        <f t="shared" ref="H93:H122" si="58">SUM(E93:G93)</f>
        <v>0</v>
      </c>
      <c r="I93" s="180">
        <f>M$91-M$92</f>
        <v>0</v>
      </c>
      <c r="M93" s="61">
        <f t="shared" ref="M93:V94" si="59">IF(AND(M$2&gt;=$B93,M$2&lt;$C93),$E93,0)</f>
        <v>0</v>
      </c>
      <c r="N93" s="61">
        <f t="shared" si="59"/>
        <v>0</v>
      </c>
      <c r="O93" s="61">
        <f t="shared" si="59"/>
        <v>0</v>
      </c>
      <c r="P93" s="61">
        <f t="shared" si="59"/>
        <v>0</v>
      </c>
      <c r="Q93" s="61">
        <f t="shared" si="59"/>
        <v>0</v>
      </c>
      <c r="R93" s="61">
        <f t="shared" si="59"/>
        <v>0</v>
      </c>
      <c r="S93" s="61">
        <f t="shared" si="59"/>
        <v>0</v>
      </c>
      <c r="T93" s="61">
        <f t="shared" si="59"/>
        <v>0</v>
      </c>
      <c r="U93" s="61">
        <f t="shared" si="59"/>
        <v>0</v>
      </c>
      <c r="V93" s="61">
        <f t="shared" si="59"/>
        <v>0</v>
      </c>
      <c r="W93" s="61">
        <f t="shared" ref="W93:AF94" si="60">IF(AND(W$2&gt;=$B93,W$2&lt;$C93),$E93,0)</f>
        <v>0</v>
      </c>
      <c r="X93" s="61">
        <f t="shared" si="60"/>
        <v>0</v>
      </c>
      <c r="Y93" s="61">
        <f t="shared" si="60"/>
        <v>0</v>
      </c>
      <c r="Z93" s="61">
        <f t="shared" si="60"/>
        <v>0</v>
      </c>
      <c r="AA93" s="61">
        <f t="shared" si="60"/>
        <v>0</v>
      </c>
      <c r="AB93" s="61">
        <f t="shared" si="60"/>
        <v>0</v>
      </c>
      <c r="AC93" s="61">
        <f t="shared" si="60"/>
        <v>0</v>
      </c>
      <c r="AD93" s="61">
        <f t="shared" si="60"/>
        <v>0</v>
      </c>
      <c r="AE93" s="61">
        <f t="shared" si="60"/>
        <v>0</v>
      </c>
      <c r="AF93" s="61">
        <f t="shared" si="60"/>
        <v>0</v>
      </c>
      <c r="AG93" s="61">
        <f t="shared" ref="AG93:AP94" si="61">IF(AND(AG$2&gt;=$B93,AG$2&lt;$C93),$E93,0)</f>
        <v>0</v>
      </c>
      <c r="AH93" s="61">
        <f t="shared" si="61"/>
        <v>0</v>
      </c>
      <c r="AI93" s="61">
        <f t="shared" si="61"/>
        <v>0</v>
      </c>
      <c r="AJ93" s="61">
        <f t="shared" si="61"/>
        <v>0</v>
      </c>
      <c r="AK93" s="61">
        <f t="shared" si="61"/>
        <v>0</v>
      </c>
      <c r="AL93" s="61">
        <f t="shared" si="61"/>
        <v>0</v>
      </c>
      <c r="AM93" s="61">
        <f t="shared" si="61"/>
        <v>0</v>
      </c>
      <c r="AN93" s="61">
        <f t="shared" si="61"/>
        <v>0</v>
      </c>
      <c r="AO93" s="61">
        <f t="shared" si="61"/>
        <v>0</v>
      </c>
      <c r="AP93" s="61">
        <f t="shared" si="61"/>
        <v>0</v>
      </c>
      <c r="AQ93" s="61"/>
    </row>
    <row r="94" spans="2:43" x14ac:dyDescent="0.25">
      <c r="B94" s="54">
        <v>0.3125</v>
      </c>
      <c r="C94" s="54">
        <v>0.66666666670789698</v>
      </c>
      <c r="D94" s="60"/>
      <c r="E94" s="91">
        <f>SUMMARY!R7</f>
        <v>0</v>
      </c>
      <c r="F94" s="91"/>
      <c r="G94" s="91"/>
      <c r="H94" s="92">
        <f t="shared" si="58"/>
        <v>0</v>
      </c>
      <c r="I94" s="180">
        <f>N$91-N$92</f>
        <v>0</v>
      </c>
      <c r="M94" s="61">
        <f t="shared" si="59"/>
        <v>0</v>
      </c>
      <c r="N94" s="61">
        <f t="shared" si="59"/>
        <v>0</v>
      </c>
      <c r="O94" s="61">
        <f t="shared" si="59"/>
        <v>0</v>
      </c>
      <c r="P94" s="61">
        <f t="shared" si="59"/>
        <v>0</v>
      </c>
      <c r="Q94" s="61">
        <f t="shared" si="59"/>
        <v>0</v>
      </c>
      <c r="R94" s="61">
        <f t="shared" si="59"/>
        <v>0</v>
      </c>
      <c r="S94" s="61">
        <f t="shared" si="59"/>
        <v>0</v>
      </c>
      <c r="T94" s="61">
        <f t="shared" si="59"/>
        <v>0</v>
      </c>
      <c r="U94" s="61">
        <f t="shared" si="59"/>
        <v>0</v>
      </c>
      <c r="V94" s="61">
        <f t="shared" si="59"/>
        <v>0</v>
      </c>
      <c r="W94" s="61">
        <f t="shared" si="60"/>
        <v>0</v>
      </c>
      <c r="X94" s="61">
        <f t="shared" si="60"/>
        <v>0</v>
      </c>
      <c r="Y94" s="61">
        <f t="shared" si="60"/>
        <v>0</v>
      </c>
      <c r="Z94" s="61">
        <f t="shared" si="60"/>
        <v>0</v>
      </c>
      <c r="AA94" s="61">
        <f t="shared" si="60"/>
        <v>0</v>
      </c>
      <c r="AB94" s="61">
        <f t="shared" si="60"/>
        <v>0</v>
      </c>
      <c r="AC94" s="61">
        <f t="shared" si="60"/>
        <v>0</v>
      </c>
      <c r="AD94" s="61">
        <f t="shared" si="60"/>
        <v>0</v>
      </c>
      <c r="AE94" s="61">
        <f t="shared" si="60"/>
        <v>0</v>
      </c>
      <c r="AF94" s="61">
        <f t="shared" si="60"/>
        <v>0</v>
      </c>
      <c r="AG94" s="61">
        <f t="shared" si="61"/>
        <v>0</v>
      </c>
      <c r="AH94" s="61">
        <f t="shared" si="61"/>
        <v>0</v>
      </c>
      <c r="AI94" s="61">
        <f t="shared" si="61"/>
        <v>0</v>
      </c>
      <c r="AJ94" s="61">
        <f t="shared" si="61"/>
        <v>0</v>
      </c>
      <c r="AK94" s="61">
        <f t="shared" si="61"/>
        <v>0</v>
      </c>
      <c r="AL94" s="61">
        <f t="shared" si="61"/>
        <v>0</v>
      </c>
      <c r="AM94" s="61">
        <f t="shared" si="61"/>
        <v>0</v>
      </c>
      <c r="AN94" s="61">
        <f t="shared" si="61"/>
        <v>0</v>
      </c>
      <c r="AO94" s="61">
        <f t="shared" si="61"/>
        <v>0</v>
      </c>
      <c r="AP94" s="61">
        <f t="shared" si="61"/>
        <v>0</v>
      </c>
      <c r="AQ94" s="61"/>
    </row>
    <row r="95" spans="2:43" x14ac:dyDescent="0.25">
      <c r="B95" s="54">
        <v>0.33333333333575865</v>
      </c>
      <c r="C95" s="54">
        <v>0.68750000004365597</v>
      </c>
      <c r="D95" s="60"/>
      <c r="E95" s="91">
        <f>SUMMARY!R8</f>
        <v>0</v>
      </c>
      <c r="F95" s="91"/>
      <c r="G95" s="91"/>
      <c r="H95" s="92">
        <f t="shared" si="58"/>
        <v>0</v>
      </c>
      <c r="I95" s="180">
        <f>O$91-O$92</f>
        <v>0</v>
      </c>
      <c r="M95" s="61">
        <f t="shared" ref="M95:V104" si="62">IF(AND(M$2&gt;=$B95,M$2&lt;$C95),$E95,0)</f>
        <v>0</v>
      </c>
      <c r="N95" s="61">
        <f t="shared" si="62"/>
        <v>0</v>
      </c>
      <c r="O95" s="61">
        <f t="shared" si="62"/>
        <v>0</v>
      </c>
      <c r="P95" s="61">
        <f t="shared" si="62"/>
        <v>0</v>
      </c>
      <c r="Q95" s="61">
        <f t="shared" si="62"/>
        <v>0</v>
      </c>
      <c r="R95" s="61">
        <f t="shared" si="62"/>
        <v>0</v>
      </c>
      <c r="S95" s="61">
        <f t="shared" si="62"/>
        <v>0</v>
      </c>
      <c r="T95" s="61">
        <f t="shared" si="62"/>
        <v>0</v>
      </c>
      <c r="U95" s="61">
        <f t="shared" si="62"/>
        <v>0</v>
      </c>
      <c r="V95" s="61">
        <f t="shared" si="62"/>
        <v>0</v>
      </c>
      <c r="W95" s="61">
        <f t="shared" ref="W95:AE104" si="63">IF(AND(W$2&gt;=$B95,W$2&lt;$C95),$E95,0)</f>
        <v>0</v>
      </c>
      <c r="X95" s="61">
        <f t="shared" si="63"/>
        <v>0</v>
      </c>
      <c r="Y95" s="61">
        <f t="shared" si="63"/>
        <v>0</v>
      </c>
      <c r="Z95" s="61">
        <f t="shared" si="63"/>
        <v>0</v>
      </c>
      <c r="AA95" s="61">
        <f t="shared" si="63"/>
        <v>0</v>
      </c>
      <c r="AB95" s="61">
        <f t="shared" si="63"/>
        <v>0</v>
      </c>
      <c r="AC95" s="61">
        <f t="shared" si="63"/>
        <v>0</v>
      </c>
      <c r="AD95" s="61">
        <f t="shared" si="63"/>
        <v>0</v>
      </c>
      <c r="AE95" s="61">
        <f t="shared" si="63"/>
        <v>0</v>
      </c>
      <c r="AF95" s="61"/>
      <c r="AG95" s="61">
        <f t="shared" ref="AG95:AP95" si="64">IF(AND(AG$2&gt;=$B95,AG$2&lt;$C95),$E95,0)</f>
        <v>0</v>
      </c>
      <c r="AH95" s="61">
        <f t="shared" si="64"/>
        <v>0</v>
      </c>
      <c r="AI95" s="61">
        <f t="shared" si="64"/>
        <v>0</v>
      </c>
      <c r="AJ95" s="61">
        <f t="shared" si="64"/>
        <v>0</v>
      </c>
      <c r="AK95" s="61">
        <f t="shared" si="64"/>
        <v>0</v>
      </c>
      <c r="AL95" s="61">
        <f t="shared" si="64"/>
        <v>0</v>
      </c>
      <c r="AM95" s="61">
        <f t="shared" si="64"/>
        <v>0</v>
      </c>
      <c r="AN95" s="61">
        <f t="shared" si="64"/>
        <v>0</v>
      </c>
      <c r="AO95" s="61">
        <f t="shared" si="64"/>
        <v>0</v>
      </c>
      <c r="AP95" s="61">
        <f t="shared" si="64"/>
        <v>0</v>
      </c>
      <c r="AQ95" s="61"/>
    </row>
    <row r="96" spans="2:43" x14ac:dyDescent="0.25">
      <c r="B96" s="54">
        <v>0.35416666666424135</v>
      </c>
      <c r="C96" s="54">
        <v>0.70833333337941495</v>
      </c>
      <c r="D96" s="60"/>
      <c r="E96" s="91">
        <f>SUMMARY!R9</f>
        <v>0</v>
      </c>
      <c r="F96" s="91"/>
      <c r="G96" s="91"/>
      <c r="H96" s="92">
        <f t="shared" si="58"/>
        <v>0</v>
      </c>
      <c r="I96" s="180">
        <f>P$91-P$92</f>
        <v>0</v>
      </c>
      <c r="M96" s="61">
        <f t="shared" si="62"/>
        <v>0</v>
      </c>
      <c r="N96" s="61">
        <f t="shared" si="62"/>
        <v>0</v>
      </c>
      <c r="O96" s="61">
        <f t="shared" si="62"/>
        <v>0</v>
      </c>
      <c r="P96" s="61">
        <f t="shared" si="62"/>
        <v>0</v>
      </c>
      <c r="Q96" s="61">
        <f t="shared" si="62"/>
        <v>0</v>
      </c>
      <c r="R96" s="61">
        <f t="shared" si="62"/>
        <v>0</v>
      </c>
      <c r="S96" s="61">
        <f t="shared" si="62"/>
        <v>0</v>
      </c>
      <c r="T96" s="61">
        <f t="shared" si="62"/>
        <v>0</v>
      </c>
      <c r="U96" s="61">
        <f t="shared" si="62"/>
        <v>0</v>
      </c>
      <c r="V96" s="61">
        <f t="shared" si="62"/>
        <v>0</v>
      </c>
      <c r="W96" s="61">
        <f t="shared" si="63"/>
        <v>0</v>
      </c>
      <c r="X96" s="61">
        <f t="shared" si="63"/>
        <v>0</v>
      </c>
      <c r="Y96" s="61">
        <f t="shared" si="63"/>
        <v>0</v>
      </c>
      <c r="Z96" s="61">
        <f t="shared" si="63"/>
        <v>0</v>
      </c>
      <c r="AA96" s="61">
        <f t="shared" si="63"/>
        <v>0</v>
      </c>
      <c r="AB96" s="61">
        <f t="shared" si="63"/>
        <v>0</v>
      </c>
      <c r="AC96" s="61">
        <f t="shared" si="63"/>
        <v>0</v>
      </c>
      <c r="AD96" s="61">
        <f t="shared" si="63"/>
        <v>0</v>
      </c>
      <c r="AE96" s="61">
        <f t="shared" si="63"/>
        <v>0</v>
      </c>
      <c r="AF96" s="61">
        <f t="shared" ref="AF96:AF122" si="65">IF(AND(AF$2&gt;=$B96,AF$2&lt;$C96),$E96,0)</f>
        <v>0</v>
      </c>
      <c r="AG96" s="61"/>
      <c r="AH96" s="61">
        <f t="shared" ref="AH96:AP96" si="66">IF(AND(AH$2&gt;=$B96,AH$2&lt;$C96),$E96,0)</f>
        <v>0</v>
      </c>
      <c r="AI96" s="61">
        <f t="shared" si="66"/>
        <v>0</v>
      </c>
      <c r="AJ96" s="61">
        <f t="shared" si="66"/>
        <v>0</v>
      </c>
      <c r="AK96" s="61">
        <f t="shared" si="66"/>
        <v>0</v>
      </c>
      <c r="AL96" s="61">
        <f t="shared" si="66"/>
        <v>0</v>
      </c>
      <c r="AM96" s="61">
        <f t="shared" si="66"/>
        <v>0</v>
      </c>
      <c r="AN96" s="61">
        <f t="shared" si="66"/>
        <v>0</v>
      </c>
      <c r="AO96" s="61">
        <f t="shared" si="66"/>
        <v>0</v>
      </c>
      <c r="AP96" s="61">
        <f t="shared" si="66"/>
        <v>0</v>
      </c>
      <c r="AQ96" s="61"/>
    </row>
    <row r="97" spans="2:43" x14ac:dyDescent="0.25">
      <c r="B97" s="54">
        <v>0.375</v>
      </c>
      <c r="C97" s="54">
        <v>0.72916666671517405</v>
      </c>
      <c r="D97" s="60"/>
      <c r="E97" s="91">
        <f>SUMMARY!R10</f>
        <v>0</v>
      </c>
      <c r="F97" s="91"/>
      <c r="G97" s="91"/>
      <c r="H97" s="92">
        <f t="shared" si="58"/>
        <v>0</v>
      </c>
      <c r="I97" s="180">
        <f>Q$91-Q$92</f>
        <v>0</v>
      </c>
      <c r="M97" s="61">
        <f t="shared" si="62"/>
        <v>0</v>
      </c>
      <c r="N97" s="61">
        <f t="shared" si="62"/>
        <v>0</v>
      </c>
      <c r="O97" s="61">
        <f t="shared" si="62"/>
        <v>0</v>
      </c>
      <c r="P97" s="61">
        <f t="shared" si="62"/>
        <v>0</v>
      </c>
      <c r="Q97" s="61">
        <f t="shared" si="62"/>
        <v>0</v>
      </c>
      <c r="R97" s="61">
        <f t="shared" si="62"/>
        <v>0</v>
      </c>
      <c r="S97" s="61">
        <f t="shared" si="62"/>
        <v>0</v>
      </c>
      <c r="T97" s="61">
        <f t="shared" si="62"/>
        <v>0</v>
      </c>
      <c r="U97" s="61">
        <f t="shared" si="62"/>
        <v>0</v>
      </c>
      <c r="V97" s="61">
        <f t="shared" si="62"/>
        <v>0</v>
      </c>
      <c r="W97" s="61">
        <f t="shared" si="63"/>
        <v>0</v>
      </c>
      <c r="X97" s="61">
        <f t="shared" si="63"/>
        <v>0</v>
      </c>
      <c r="Y97" s="61">
        <f t="shared" si="63"/>
        <v>0</v>
      </c>
      <c r="Z97" s="61">
        <f t="shared" si="63"/>
        <v>0</v>
      </c>
      <c r="AA97" s="61">
        <f t="shared" si="63"/>
        <v>0</v>
      </c>
      <c r="AB97" s="61">
        <f t="shared" si="63"/>
        <v>0</v>
      </c>
      <c r="AC97" s="61">
        <f t="shared" si="63"/>
        <v>0</v>
      </c>
      <c r="AD97" s="61">
        <f t="shared" si="63"/>
        <v>0</v>
      </c>
      <c r="AE97" s="61">
        <f t="shared" si="63"/>
        <v>0</v>
      </c>
      <c r="AF97" s="61">
        <f t="shared" si="65"/>
        <v>0</v>
      </c>
      <c r="AG97" s="61">
        <f t="shared" ref="AG97:AG122" si="67">IF(AND(AG$2&gt;=$B97,AG$2&lt;$C97),$E97,0)</f>
        <v>0</v>
      </c>
      <c r="AH97" s="61"/>
      <c r="AI97" s="61">
        <f t="shared" ref="AI97:AP97" si="68">IF(AND(AI$2&gt;=$B97,AI$2&lt;$C97),$E97,0)</f>
        <v>0</v>
      </c>
      <c r="AJ97" s="61">
        <f t="shared" si="68"/>
        <v>0</v>
      </c>
      <c r="AK97" s="61">
        <f t="shared" si="68"/>
        <v>0</v>
      </c>
      <c r="AL97" s="61">
        <f t="shared" si="68"/>
        <v>0</v>
      </c>
      <c r="AM97" s="61">
        <f t="shared" si="68"/>
        <v>0</v>
      </c>
      <c r="AN97" s="61">
        <f t="shared" si="68"/>
        <v>0</v>
      </c>
      <c r="AO97" s="61">
        <f t="shared" si="68"/>
        <v>0</v>
      </c>
      <c r="AP97" s="61">
        <f t="shared" si="68"/>
        <v>0</v>
      </c>
      <c r="AQ97" s="61"/>
    </row>
    <row r="98" spans="2:43" x14ac:dyDescent="0.25">
      <c r="B98" s="54">
        <v>0.39583333333575865</v>
      </c>
      <c r="C98" s="54">
        <v>0.75000000005093304</v>
      </c>
      <c r="D98" s="60"/>
      <c r="E98" s="91">
        <f>SUMMARY!R11</f>
        <v>0</v>
      </c>
      <c r="F98" s="91"/>
      <c r="G98" s="91"/>
      <c r="H98" s="92">
        <f t="shared" si="58"/>
        <v>0</v>
      </c>
      <c r="I98" s="180">
        <f>R$91-R$92</f>
        <v>0</v>
      </c>
      <c r="M98" s="61">
        <f t="shared" si="62"/>
        <v>0</v>
      </c>
      <c r="N98" s="61">
        <f t="shared" si="62"/>
        <v>0</v>
      </c>
      <c r="O98" s="61">
        <f t="shared" si="62"/>
        <v>0</v>
      </c>
      <c r="P98" s="61">
        <f t="shared" si="62"/>
        <v>0</v>
      </c>
      <c r="Q98" s="61">
        <f t="shared" si="62"/>
        <v>0</v>
      </c>
      <c r="R98" s="61">
        <f t="shared" si="62"/>
        <v>0</v>
      </c>
      <c r="S98" s="61">
        <f t="shared" si="62"/>
        <v>0</v>
      </c>
      <c r="T98" s="61">
        <f t="shared" si="62"/>
        <v>0</v>
      </c>
      <c r="U98" s="61">
        <f t="shared" si="62"/>
        <v>0</v>
      </c>
      <c r="V98" s="61">
        <f t="shared" si="62"/>
        <v>0</v>
      </c>
      <c r="W98" s="61">
        <f t="shared" si="63"/>
        <v>0</v>
      </c>
      <c r="X98" s="61">
        <f t="shared" si="63"/>
        <v>0</v>
      </c>
      <c r="Y98" s="61">
        <f t="shared" si="63"/>
        <v>0</v>
      </c>
      <c r="Z98" s="61">
        <f t="shared" si="63"/>
        <v>0</v>
      </c>
      <c r="AA98" s="61">
        <f t="shared" si="63"/>
        <v>0</v>
      </c>
      <c r="AB98" s="61">
        <f t="shared" si="63"/>
        <v>0</v>
      </c>
      <c r="AC98" s="61">
        <f t="shared" si="63"/>
        <v>0</v>
      </c>
      <c r="AD98" s="61">
        <f t="shared" si="63"/>
        <v>0</v>
      </c>
      <c r="AE98" s="61">
        <f t="shared" si="63"/>
        <v>0</v>
      </c>
      <c r="AF98" s="61">
        <f t="shared" si="65"/>
        <v>0</v>
      </c>
      <c r="AG98" s="61">
        <f t="shared" si="67"/>
        <v>0</v>
      </c>
      <c r="AH98" s="61">
        <f t="shared" ref="AH98:AH122" si="69">IF(AND(AH$2&gt;=$B98,AH$2&lt;$C98),$E98,0)</f>
        <v>0</v>
      </c>
      <c r="AI98" s="61"/>
      <c r="AJ98" s="61">
        <f t="shared" ref="AJ98:AP98" si="70">IF(AND(AJ$2&gt;=$B98,AJ$2&lt;$C98),$E98,0)</f>
        <v>0</v>
      </c>
      <c r="AK98" s="61">
        <f t="shared" si="70"/>
        <v>0</v>
      </c>
      <c r="AL98" s="61">
        <f t="shared" si="70"/>
        <v>0</v>
      </c>
      <c r="AM98" s="61">
        <f t="shared" si="70"/>
        <v>0</v>
      </c>
      <c r="AN98" s="61">
        <f t="shared" si="70"/>
        <v>0</v>
      </c>
      <c r="AO98" s="61">
        <f t="shared" si="70"/>
        <v>0</v>
      </c>
      <c r="AP98" s="61">
        <f t="shared" si="70"/>
        <v>0</v>
      </c>
      <c r="AQ98" s="61"/>
    </row>
    <row r="99" spans="2:43" x14ac:dyDescent="0.25">
      <c r="B99" s="54">
        <v>0.41666666666424135</v>
      </c>
      <c r="C99" s="54">
        <v>0.77083333338669202</v>
      </c>
      <c r="D99" s="60"/>
      <c r="E99" s="91">
        <f>SUMMARY!R12</f>
        <v>0</v>
      </c>
      <c r="F99" s="91"/>
      <c r="G99" s="91"/>
      <c r="H99" s="92">
        <f t="shared" si="58"/>
        <v>0</v>
      </c>
      <c r="I99" s="180">
        <f>S$91-S$92</f>
        <v>0</v>
      </c>
      <c r="M99" s="61">
        <f t="shared" si="62"/>
        <v>0</v>
      </c>
      <c r="N99" s="61">
        <f t="shared" si="62"/>
        <v>0</v>
      </c>
      <c r="O99" s="61">
        <f t="shared" si="62"/>
        <v>0</v>
      </c>
      <c r="P99" s="61">
        <f t="shared" si="62"/>
        <v>0</v>
      </c>
      <c r="Q99" s="61">
        <f t="shared" si="62"/>
        <v>0</v>
      </c>
      <c r="R99" s="61">
        <f t="shared" si="62"/>
        <v>0</v>
      </c>
      <c r="S99" s="61">
        <f t="shared" si="62"/>
        <v>0</v>
      </c>
      <c r="T99" s="61">
        <f t="shared" si="62"/>
        <v>0</v>
      </c>
      <c r="U99" s="61">
        <f t="shared" si="62"/>
        <v>0</v>
      </c>
      <c r="V99" s="61">
        <f t="shared" si="62"/>
        <v>0</v>
      </c>
      <c r="W99" s="61">
        <f t="shared" si="63"/>
        <v>0</v>
      </c>
      <c r="X99" s="61">
        <f t="shared" si="63"/>
        <v>0</v>
      </c>
      <c r="Y99" s="61">
        <f t="shared" si="63"/>
        <v>0</v>
      </c>
      <c r="Z99" s="61">
        <f t="shared" si="63"/>
        <v>0</v>
      </c>
      <c r="AA99" s="61">
        <f t="shared" si="63"/>
        <v>0</v>
      </c>
      <c r="AB99" s="61">
        <f t="shared" si="63"/>
        <v>0</v>
      </c>
      <c r="AC99" s="61">
        <f t="shared" si="63"/>
        <v>0</v>
      </c>
      <c r="AD99" s="61">
        <f t="shared" si="63"/>
        <v>0</v>
      </c>
      <c r="AE99" s="61">
        <f t="shared" si="63"/>
        <v>0</v>
      </c>
      <c r="AF99" s="61">
        <f t="shared" si="65"/>
        <v>0</v>
      </c>
      <c r="AG99" s="61">
        <f t="shared" si="67"/>
        <v>0</v>
      </c>
      <c r="AH99" s="61">
        <f t="shared" si="69"/>
        <v>0</v>
      </c>
      <c r="AI99" s="61">
        <f t="shared" ref="AI99:AI122" si="71">IF(AND(AI$2&gt;=$B99,AI$2&lt;$C99),$E99,0)</f>
        <v>0</v>
      </c>
      <c r="AJ99" s="61"/>
      <c r="AK99" s="61">
        <f t="shared" ref="AK99:AP99" si="72">IF(AND(AK$2&gt;=$B99,AK$2&lt;$C99),$E99,0)</f>
        <v>0</v>
      </c>
      <c r="AL99" s="61">
        <f t="shared" si="72"/>
        <v>0</v>
      </c>
      <c r="AM99" s="61">
        <f t="shared" si="72"/>
        <v>0</v>
      </c>
      <c r="AN99" s="61">
        <f t="shared" si="72"/>
        <v>0</v>
      </c>
      <c r="AO99" s="61">
        <f t="shared" si="72"/>
        <v>0</v>
      </c>
      <c r="AP99" s="61">
        <f t="shared" si="72"/>
        <v>0</v>
      </c>
      <c r="AQ99" s="61"/>
    </row>
    <row r="100" spans="2:43" x14ac:dyDescent="0.25">
      <c r="B100" s="54">
        <v>0.4375</v>
      </c>
      <c r="C100" s="54">
        <v>0.79166666672245101</v>
      </c>
      <c r="D100" s="60"/>
      <c r="E100" s="91">
        <f>SUMMARY!R13</f>
        <v>0</v>
      </c>
      <c r="F100" s="91"/>
      <c r="G100" s="91"/>
      <c r="H100" s="92">
        <f t="shared" si="58"/>
        <v>0</v>
      </c>
      <c r="I100" s="180">
        <f>T$91-T$92</f>
        <v>0</v>
      </c>
      <c r="M100" s="61">
        <f t="shared" si="62"/>
        <v>0</v>
      </c>
      <c r="N100" s="61">
        <f t="shared" si="62"/>
        <v>0</v>
      </c>
      <c r="O100" s="61">
        <f t="shared" si="62"/>
        <v>0</v>
      </c>
      <c r="P100" s="61">
        <f t="shared" si="62"/>
        <v>0</v>
      </c>
      <c r="Q100" s="61">
        <f t="shared" si="62"/>
        <v>0</v>
      </c>
      <c r="R100" s="61">
        <f t="shared" si="62"/>
        <v>0</v>
      </c>
      <c r="S100" s="61">
        <f t="shared" si="62"/>
        <v>0</v>
      </c>
      <c r="T100" s="61">
        <f t="shared" si="62"/>
        <v>0</v>
      </c>
      <c r="U100" s="61">
        <f t="shared" si="62"/>
        <v>0</v>
      </c>
      <c r="V100" s="61">
        <f t="shared" si="62"/>
        <v>0</v>
      </c>
      <c r="W100" s="61">
        <f t="shared" si="63"/>
        <v>0</v>
      </c>
      <c r="X100" s="61">
        <f t="shared" si="63"/>
        <v>0</v>
      </c>
      <c r="Y100" s="61">
        <f t="shared" si="63"/>
        <v>0</v>
      </c>
      <c r="Z100" s="61">
        <f t="shared" si="63"/>
        <v>0</v>
      </c>
      <c r="AA100" s="61">
        <f t="shared" si="63"/>
        <v>0</v>
      </c>
      <c r="AB100" s="61">
        <f t="shared" si="63"/>
        <v>0</v>
      </c>
      <c r="AC100" s="61">
        <f t="shared" si="63"/>
        <v>0</v>
      </c>
      <c r="AD100" s="61">
        <f t="shared" si="63"/>
        <v>0</v>
      </c>
      <c r="AE100" s="61">
        <f t="shared" si="63"/>
        <v>0</v>
      </c>
      <c r="AF100" s="61">
        <f t="shared" si="65"/>
        <v>0</v>
      </c>
      <c r="AG100" s="61">
        <f t="shared" si="67"/>
        <v>0</v>
      </c>
      <c r="AH100" s="61">
        <f t="shared" si="69"/>
        <v>0</v>
      </c>
      <c r="AI100" s="61">
        <f t="shared" si="71"/>
        <v>0</v>
      </c>
      <c r="AJ100" s="61">
        <f t="shared" ref="AJ100:AJ122" si="73">IF(AND(AJ$2&gt;=$B100,AJ$2&lt;$C100),$E100,0)</f>
        <v>0</v>
      </c>
      <c r="AK100" s="61"/>
      <c r="AL100" s="61">
        <f>IF(AND(AL$2&gt;=$B100,AL$2&lt;$C100),$E100,0)</f>
        <v>0</v>
      </c>
      <c r="AM100" s="61">
        <f>IF(AND(AM$2&gt;=$B100,AM$2&lt;$C100),$E100,0)</f>
        <v>0</v>
      </c>
      <c r="AN100" s="61">
        <f>IF(AND(AN$2&gt;=$B100,AN$2&lt;$C100),$E100,0)</f>
        <v>0</v>
      </c>
      <c r="AO100" s="61">
        <f>IF(AND(AO$2&gt;=$B100,AO$2&lt;$C100),$E100,0)</f>
        <v>0</v>
      </c>
      <c r="AP100" s="61">
        <f>IF(AND(AP$2&gt;=$B100,AP$2&lt;$C100),$E100,0)</f>
        <v>0</v>
      </c>
      <c r="AQ100" s="61"/>
    </row>
    <row r="101" spans="2:43" x14ac:dyDescent="0.25">
      <c r="B101" s="54">
        <v>0.45833333333575865</v>
      </c>
      <c r="C101" s="54">
        <v>0.81250000005820999</v>
      </c>
      <c r="D101" s="60"/>
      <c r="E101" s="91">
        <f>SUMMARY!R14</f>
        <v>0</v>
      </c>
      <c r="F101" s="91"/>
      <c r="G101" s="91"/>
      <c r="H101" s="92">
        <f t="shared" si="58"/>
        <v>0</v>
      </c>
      <c r="I101" s="180">
        <f>U$91-U$92</f>
        <v>0</v>
      </c>
      <c r="M101" s="61">
        <f t="shared" si="62"/>
        <v>0</v>
      </c>
      <c r="N101" s="61">
        <f t="shared" si="62"/>
        <v>0</v>
      </c>
      <c r="O101" s="61">
        <f t="shared" si="62"/>
        <v>0</v>
      </c>
      <c r="P101" s="61">
        <f t="shared" si="62"/>
        <v>0</v>
      </c>
      <c r="Q101" s="61">
        <f t="shared" si="62"/>
        <v>0</v>
      </c>
      <c r="R101" s="61">
        <f t="shared" si="62"/>
        <v>0</v>
      </c>
      <c r="S101" s="61">
        <f t="shared" si="62"/>
        <v>0</v>
      </c>
      <c r="T101" s="61">
        <f t="shared" si="62"/>
        <v>0</v>
      </c>
      <c r="U101" s="61">
        <f t="shared" si="62"/>
        <v>0</v>
      </c>
      <c r="V101" s="61">
        <f t="shared" si="62"/>
        <v>0</v>
      </c>
      <c r="W101" s="61">
        <f t="shared" si="63"/>
        <v>0</v>
      </c>
      <c r="X101" s="61">
        <f t="shared" si="63"/>
        <v>0</v>
      </c>
      <c r="Y101" s="61">
        <f t="shared" si="63"/>
        <v>0</v>
      </c>
      <c r="Z101" s="61">
        <f t="shared" si="63"/>
        <v>0</v>
      </c>
      <c r="AA101" s="61">
        <f t="shared" si="63"/>
        <v>0</v>
      </c>
      <c r="AB101" s="61">
        <f t="shared" si="63"/>
        <v>0</v>
      </c>
      <c r="AC101" s="61">
        <f t="shared" si="63"/>
        <v>0</v>
      </c>
      <c r="AD101" s="61">
        <f t="shared" si="63"/>
        <v>0</v>
      </c>
      <c r="AE101" s="61">
        <f t="shared" si="63"/>
        <v>0</v>
      </c>
      <c r="AF101" s="61">
        <f t="shared" si="65"/>
        <v>0</v>
      </c>
      <c r="AG101" s="61">
        <f t="shared" si="67"/>
        <v>0</v>
      </c>
      <c r="AH101" s="61">
        <f t="shared" si="69"/>
        <v>0</v>
      </c>
      <c r="AI101" s="61">
        <f t="shared" si="71"/>
        <v>0</v>
      </c>
      <c r="AJ101" s="61">
        <f t="shared" si="73"/>
        <v>0</v>
      </c>
      <c r="AK101" s="61">
        <f t="shared" ref="AK101:AK122" si="74">IF(AND(AK$2&gt;=$B101,AK$2&lt;$C101),$E101,0)</f>
        <v>0</v>
      </c>
      <c r="AL101" s="61"/>
      <c r="AM101" s="61">
        <f>IF(AND(AM$2&gt;=$B101,AM$2&lt;$C101),$E101,0)</f>
        <v>0</v>
      </c>
      <c r="AN101" s="61">
        <f>IF(AND(AN$2&gt;=$B101,AN$2&lt;$C101),$E101,0)</f>
        <v>0</v>
      </c>
      <c r="AO101" s="61">
        <f>IF(AND(AO$2&gt;=$B101,AO$2&lt;$C101),$E101,0)</f>
        <v>0</v>
      </c>
      <c r="AP101" s="61">
        <f>IF(AND(AP$2&gt;=$B101,AP$2&lt;$C101),$E101,0)</f>
        <v>0</v>
      </c>
      <c r="AQ101" s="61"/>
    </row>
    <row r="102" spans="2:43" x14ac:dyDescent="0.25">
      <c r="B102" s="54">
        <v>0.47916666666424135</v>
      </c>
      <c r="C102" s="54">
        <v>0.83333333339396898</v>
      </c>
      <c r="D102" s="60"/>
      <c r="E102" s="91">
        <f>SUMMARY!R15</f>
        <v>0</v>
      </c>
      <c r="G102" s="91"/>
      <c r="H102" s="92">
        <f t="shared" si="58"/>
        <v>0</v>
      </c>
      <c r="I102" s="180">
        <f>V$91-V$92</f>
        <v>0</v>
      </c>
      <c r="M102" s="61">
        <f t="shared" si="62"/>
        <v>0</v>
      </c>
      <c r="N102" s="61">
        <f t="shared" si="62"/>
        <v>0</v>
      </c>
      <c r="O102" s="61">
        <f t="shared" si="62"/>
        <v>0</v>
      </c>
      <c r="P102" s="61">
        <f t="shared" si="62"/>
        <v>0</v>
      </c>
      <c r="Q102" s="61">
        <f t="shared" si="62"/>
        <v>0</v>
      </c>
      <c r="R102" s="61">
        <f t="shared" si="62"/>
        <v>0</v>
      </c>
      <c r="S102" s="61">
        <f t="shared" si="62"/>
        <v>0</v>
      </c>
      <c r="T102" s="61">
        <f t="shared" si="62"/>
        <v>0</v>
      </c>
      <c r="U102" s="61">
        <f t="shared" si="62"/>
        <v>0</v>
      </c>
      <c r="V102" s="61">
        <f t="shared" si="62"/>
        <v>0</v>
      </c>
      <c r="W102" s="61">
        <f t="shared" si="63"/>
        <v>0</v>
      </c>
      <c r="X102" s="61">
        <f t="shared" si="63"/>
        <v>0</v>
      </c>
      <c r="Y102" s="61">
        <f t="shared" si="63"/>
        <v>0</v>
      </c>
      <c r="Z102" s="61">
        <f t="shared" si="63"/>
        <v>0</v>
      </c>
      <c r="AA102" s="61">
        <f t="shared" si="63"/>
        <v>0</v>
      </c>
      <c r="AB102" s="61">
        <f t="shared" si="63"/>
        <v>0</v>
      </c>
      <c r="AC102" s="61">
        <f t="shared" si="63"/>
        <v>0</v>
      </c>
      <c r="AD102" s="61">
        <f t="shared" si="63"/>
        <v>0</v>
      </c>
      <c r="AE102" s="61">
        <f t="shared" si="63"/>
        <v>0</v>
      </c>
      <c r="AF102" s="61">
        <f t="shared" si="65"/>
        <v>0</v>
      </c>
      <c r="AG102" s="61">
        <f t="shared" si="67"/>
        <v>0</v>
      </c>
      <c r="AH102" s="61">
        <f t="shared" si="69"/>
        <v>0</v>
      </c>
      <c r="AI102" s="61">
        <f t="shared" si="71"/>
        <v>0</v>
      </c>
      <c r="AJ102" s="61">
        <f t="shared" si="73"/>
        <v>0</v>
      </c>
      <c r="AK102" s="61">
        <f t="shared" si="74"/>
        <v>0</v>
      </c>
      <c r="AL102" s="61">
        <f t="shared" ref="AL102:AL122" si="75">IF(AND(AL$2&gt;=$B102,AL$2&lt;$C102),$E102,0)</f>
        <v>0</v>
      </c>
      <c r="AM102" s="61"/>
      <c r="AN102" s="61">
        <f>IF(AND(AN$2&gt;=$B102,AN$2&lt;$C102),$E102,0)</f>
        <v>0</v>
      </c>
      <c r="AO102" s="61">
        <f>IF(AND(AO$2&gt;=$B102,AO$2&lt;$C102),$E102,0)</f>
        <v>0</v>
      </c>
      <c r="AP102" s="61">
        <f>IF(AND(AP$2&gt;=$B102,AP$2&lt;$C102),$E102,0)</f>
        <v>0</v>
      </c>
      <c r="AQ102" s="61"/>
    </row>
    <row r="103" spans="2:43" x14ac:dyDescent="0.25">
      <c r="B103" s="54">
        <v>0.5</v>
      </c>
      <c r="C103" s="54">
        <v>0.85416666672972796</v>
      </c>
      <c r="D103" s="60"/>
      <c r="E103" s="91">
        <f>SUMMARY!R16</f>
        <v>0</v>
      </c>
      <c r="G103" s="91"/>
      <c r="H103" s="92">
        <f t="shared" si="58"/>
        <v>0</v>
      </c>
      <c r="I103" s="180">
        <f>W$91-W$92</f>
        <v>0</v>
      </c>
      <c r="M103" s="61">
        <f t="shared" si="62"/>
        <v>0</v>
      </c>
      <c r="N103" s="61">
        <f t="shared" si="62"/>
        <v>0</v>
      </c>
      <c r="O103" s="61">
        <f t="shared" si="62"/>
        <v>0</v>
      </c>
      <c r="P103" s="61">
        <f t="shared" si="62"/>
        <v>0</v>
      </c>
      <c r="Q103" s="61">
        <f t="shared" si="62"/>
        <v>0</v>
      </c>
      <c r="R103" s="61">
        <f t="shared" si="62"/>
        <v>0</v>
      </c>
      <c r="S103" s="61">
        <f t="shared" si="62"/>
        <v>0</v>
      </c>
      <c r="T103" s="61">
        <f t="shared" si="62"/>
        <v>0</v>
      </c>
      <c r="U103" s="61">
        <f t="shared" si="62"/>
        <v>0</v>
      </c>
      <c r="V103" s="61">
        <f t="shared" si="62"/>
        <v>0</v>
      </c>
      <c r="W103" s="61">
        <f t="shared" si="63"/>
        <v>0</v>
      </c>
      <c r="X103" s="61">
        <f t="shared" si="63"/>
        <v>0</v>
      </c>
      <c r="Y103" s="61">
        <f t="shared" si="63"/>
        <v>0</v>
      </c>
      <c r="Z103" s="61">
        <f t="shared" si="63"/>
        <v>0</v>
      </c>
      <c r="AA103" s="61">
        <f t="shared" si="63"/>
        <v>0</v>
      </c>
      <c r="AB103" s="61">
        <f t="shared" si="63"/>
        <v>0</v>
      </c>
      <c r="AC103" s="61">
        <f t="shared" si="63"/>
        <v>0</v>
      </c>
      <c r="AD103" s="61">
        <f t="shared" si="63"/>
        <v>0</v>
      </c>
      <c r="AE103" s="61">
        <f t="shared" si="63"/>
        <v>0</v>
      </c>
      <c r="AF103" s="61">
        <f t="shared" si="65"/>
        <v>0</v>
      </c>
      <c r="AG103" s="61">
        <f t="shared" si="67"/>
        <v>0</v>
      </c>
      <c r="AH103" s="61">
        <f t="shared" si="69"/>
        <v>0</v>
      </c>
      <c r="AI103" s="61">
        <f t="shared" si="71"/>
        <v>0</v>
      </c>
      <c r="AJ103" s="61">
        <f t="shared" si="73"/>
        <v>0</v>
      </c>
      <c r="AK103" s="61">
        <f t="shared" si="74"/>
        <v>0</v>
      </c>
      <c r="AL103" s="61">
        <f t="shared" si="75"/>
        <v>0</v>
      </c>
      <c r="AM103" s="61">
        <f t="shared" ref="AM103:AM122" si="76">IF(AND(AM$2&gt;=$B103,AM$2&lt;$C103),$E103,0)</f>
        <v>0</v>
      </c>
      <c r="AN103" s="61"/>
      <c r="AO103" s="61">
        <f>IF(AND(AO$2&gt;=$B103,AO$2&lt;$C103),$E103,0)</f>
        <v>0</v>
      </c>
      <c r="AP103" s="61">
        <f>IF(AND(AP$2&gt;=$B103,AP$2&lt;$C103),$E103,0)</f>
        <v>0</v>
      </c>
      <c r="AQ103" s="61"/>
    </row>
    <row r="104" spans="2:43" x14ac:dyDescent="0.25">
      <c r="B104" s="54">
        <v>0.52083333333575865</v>
      </c>
      <c r="C104" s="54">
        <v>0.87500000006548695</v>
      </c>
      <c r="D104" s="60"/>
      <c r="E104" s="91">
        <f>SUMMARY!R17</f>
        <v>0</v>
      </c>
      <c r="G104" s="91"/>
      <c r="H104" s="92">
        <f t="shared" si="58"/>
        <v>0</v>
      </c>
      <c r="I104" s="180">
        <f>X$91-X$92</f>
        <v>0</v>
      </c>
      <c r="M104" s="61">
        <f t="shared" si="62"/>
        <v>0</v>
      </c>
      <c r="N104" s="61">
        <f t="shared" si="62"/>
        <v>0</v>
      </c>
      <c r="O104" s="61">
        <f t="shared" si="62"/>
        <v>0</v>
      </c>
      <c r="P104" s="61">
        <f t="shared" si="62"/>
        <v>0</v>
      </c>
      <c r="Q104" s="61">
        <f t="shared" si="62"/>
        <v>0</v>
      </c>
      <c r="R104" s="61">
        <f t="shared" si="62"/>
        <v>0</v>
      </c>
      <c r="S104" s="61">
        <f t="shared" si="62"/>
        <v>0</v>
      </c>
      <c r="T104" s="61">
        <f t="shared" si="62"/>
        <v>0</v>
      </c>
      <c r="U104" s="61">
        <f t="shared" si="62"/>
        <v>0</v>
      </c>
      <c r="V104" s="61">
        <f t="shared" si="62"/>
        <v>0</v>
      </c>
      <c r="W104" s="61">
        <f t="shared" si="63"/>
        <v>0</v>
      </c>
      <c r="X104" s="61">
        <f t="shared" si="63"/>
        <v>0</v>
      </c>
      <c r="Y104" s="61">
        <f t="shared" si="63"/>
        <v>0</v>
      </c>
      <c r="Z104" s="61">
        <f t="shared" si="63"/>
        <v>0</v>
      </c>
      <c r="AA104" s="61">
        <f t="shared" si="63"/>
        <v>0</v>
      </c>
      <c r="AB104" s="61">
        <f t="shared" si="63"/>
        <v>0</v>
      </c>
      <c r="AC104" s="61">
        <f t="shared" si="63"/>
        <v>0</v>
      </c>
      <c r="AD104" s="61">
        <f t="shared" si="63"/>
        <v>0</v>
      </c>
      <c r="AE104" s="61">
        <f t="shared" si="63"/>
        <v>0</v>
      </c>
      <c r="AF104" s="61">
        <f t="shared" si="65"/>
        <v>0</v>
      </c>
      <c r="AG104" s="61">
        <f t="shared" si="67"/>
        <v>0</v>
      </c>
      <c r="AH104" s="61">
        <f t="shared" si="69"/>
        <v>0</v>
      </c>
      <c r="AI104" s="61">
        <f t="shared" si="71"/>
        <v>0</v>
      </c>
      <c r="AJ104" s="61">
        <f t="shared" si="73"/>
        <v>0</v>
      </c>
      <c r="AK104" s="61">
        <f t="shared" si="74"/>
        <v>0</v>
      </c>
      <c r="AL104" s="61">
        <f t="shared" si="75"/>
        <v>0</v>
      </c>
      <c r="AM104" s="61">
        <f t="shared" si="76"/>
        <v>0</v>
      </c>
      <c r="AN104" s="61">
        <f t="shared" ref="AN104:AN122" si="77">IF(AND(AN$2&gt;=$B104,AN$2&lt;$C104),$E104,0)</f>
        <v>0</v>
      </c>
      <c r="AO104" s="61"/>
      <c r="AP104" s="61">
        <f>IF(AND(AP$2&gt;=$B104,AP$2&lt;$C104),$E104,0)</f>
        <v>0</v>
      </c>
      <c r="AQ104" s="61"/>
    </row>
    <row r="105" spans="2:43" x14ac:dyDescent="0.25">
      <c r="B105" s="54">
        <v>0.54166666666424135</v>
      </c>
      <c r="C105" s="54">
        <v>0.89583333340124605</v>
      </c>
      <c r="D105" s="60"/>
      <c r="E105" s="91">
        <f>SUMMARY!R18</f>
        <v>0</v>
      </c>
      <c r="G105" s="91"/>
      <c r="H105" s="92">
        <f t="shared" si="58"/>
        <v>0</v>
      </c>
      <c r="I105" s="180">
        <f>Y$91-Y$92</f>
        <v>0</v>
      </c>
      <c r="M105" s="61">
        <f t="shared" ref="M105:V114" si="78">IF(AND(M$2&gt;=$B105,M$2&lt;$C105),$E105,0)</f>
        <v>0</v>
      </c>
      <c r="N105" s="61">
        <f t="shared" si="78"/>
        <v>0</v>
      </c>
      <c r="O105" s="61">
        <f t="shared" si="78"/>
        <v>0</v>
      </c>
      <c r="P105" s="61">
        <f t="shared" si="78"/>
        <v>0</v>
      </c>
      <c r="Q105" s="61">
        <f t="shared" si="78"/>
        <v>0</v>
      </c>
      <c r="R105" s="61">
        <f t="shared" si="78"/>
        <v>0</v>
      </c>
      <c r="S105" s="61">
        <f t="shared" si="78"/>
        <v>0</v>
      </c>
      <c r="T105" s="61">
        <f t="shared" si="78"/>
        <v>0</v>
      </c>
      <c r="U105" s="61">
        <f t="shared" si="78"/>
        <v>0</v>
      </c>
      <c r="V105" s="61">
        <f t="shared" si="78"/>
        <v>0</v>
      </c>
      <c r="W105" s="61">
        <f t="shared" ref="W105:AE114" si="79">IF(AND(W$2&gt;=$B105,W$2&lt;$C105),$E105,0)</f>
        <v>0</v>
      </c>
      <c r="X105" s="61">
        <f t="shared" si="79"/>
        <v>0</v>
      </c>
      <c r="Y105" s="61">
        <f t="shared" si="79"/>
        <v>0</v>
      </c>
      <c r="Z105" s="61">
        <f t="shared" si="79"/>
        <v>0</v>
      </c>
      <c r="AA105" s="61">
        <f t="shared" si="79"/>
        <v>0</v>
      </c>
      <c r="AB105" s="61">
        <f t="shared" si="79"/>
        <v>0</v>
      </c>
      <c r="AC105" s="61">
        <f t="shared" si="79"/>
        <v>0</v>
      </c>
      <c r="AD105" s="61">
        <f t="shared" si="79"/>
        <v>0</v>
      </c>
      <c r="AE105" s="61">
        <f t="shared" si="79"/>
        <v>0</v>
      </c>
      <c r="AF105" s="61">
        <f t="shared" si="65"/>
        <v>0</v>
      </c>
      <c r="AG105" s="61">
        <f t="shared" si="67"/>
        <v>0</v>
      </c>
      <c r="AH105" s="61">
        <f t="shared" si="69"/>
        <v>0</v>
      </c>
      <c r="AI105" s="61">
        <f t="shared" si="71"/>
        <v>0</v>
      </c>
      <c r="AJ105" s="61">
        <f t="shared" si="73"/>
        <v>0</v>
      </c>
      <c r="AK105" s="61">
        <f t="shared" si="74"/>
        <v>0</v>
      </c>
      <c r="AL105" s="61">
        <f t="shared" si="75"/>
        <v>0</v>
      </c>
      <c r="AM105" s="61">
        <f t="shared" si="76"/>
        <v>0</v>
      </c>
      <c r="AN105" s="61">
        <f t="shared" si="77"/>
        <v>0</v>
      </c>
      <c r="AO105" s="61">
        <f t="shared" ref="AO105:AO122" si="80">IF(AND(AO$2&gt;=$B105,AO$2&lt;$C105),$E105,0)</f>
        <v>0</v>
      </c>
      <c r="AP105" s="61"/>
      <c r="AQ105" s="61"/>
    </row>
    <row r="106" spans="2:43" x14ac:dyDescent="0.25">
      <c r="B106" s="54">
        <v>0.5625</v>
      </c>
      <c r="C106" s="54">
        <v>0.91666666673700503</v>
      </c>
      <c r="D106" s="60"/>
      <c r="E106" s="91">
        <f>SUMMARY!R19</f>
        <v>0</v>
      </c>
      <c r="G106" s="91"/>
      <c r="H106" s="92">
        <f t="shared" si="58"/>
        <v>0</v>
      </c>
      <c r="I106" s="180">
        <f>Z$91-Z$92</f>
        <v>0</v>
      </c>
      <c r="M106" s="61">
        <f t="shared" si="78"/>
        <v>0</v>
      </c>
      <c r="N106" s="61">
        <f t="shared" si="78"/>
        <v>0</v>
      </c>
      <c r="O106" s="61">
        <f t="shared" si="78"/>
        <v>0</v>
      </c>
      <c r="P106" s="61">
        <f t="shared" si="78"/>
        <v>0</v>
      </c>
      <c r="Q106" s="61">
        <f t="shared" si="78"/>
        <v>0</v>
      </c>
      <c r="R106" s="61">
        <f t="shared" si="78"/>
        <v>0</v>
      </c>
      <c r="S106" s="61">
        <f t="shared" si="78"/>
        <v>0</v>
      </c>
      <c r="T106" s="61">
        <f t="shared" si="78"/>
        <v>0</v>
      </c>
      <c r="U106" s="61">
        <f t="shared" si="78"/>
        <v>0</v>
      </c>
      <c r="V106" s="61">
        <f t="shared" si="78"/>
        <v>0</v>
      </c>
      <c r="W106" s="61">
        <f t="shared" si="79"/>
        <v>0</v>
      </c>
      <c r="X106" s="61">
        <f t="shared" si="79"/>
        <v>0</v>
      </c>
      <c r="Y106" s="61">
        <f t="shared" si="79"/>
        <v>0</v>
      </c>
      <c r="Z106" s="61">
        <f t="shared" si="79"/>
        <v>0</v>
      </c>
      <c r="AA106" s="61">
        <f t="shared" si="79"/>
        <v>0</v>
      </c>
      <c r="AB106" s="61">
        <f t="shared" si="79"/>
        <v>0</v>
      </c>
      <c r="AC106" s="61">
        <f t="shared" si="79"/>
        <v>0</v>
      </c>
      <c r="AD106" s="61">
        <f t="shared" si="79"/>
        <v>0</v>
      </c>
      <c r="AE106" s="61">
        <f t="shared" si="79"/>
        <v>0</v>
      </c>
      <c r="AF106" s="61">
        <f t="shared" si="65"/>
        <v>0</v>
      </c>
      <c r="AG106" s="61">
        <f t="shared" si="67"/>
        <v>0</v>
      </c>
      <c r="AH106" s="61">
        <f t="shared" si="69"/>
        <v>0</v>
      </c>
      <c r="AI106" s="61">
        <f t="shared" si="71"/>
        <v>0</v>
      </c>
      <c r="AJ106" s="61">
        <f t="shared" si="73"/>
        <v>0</v>
      </c>
      <c r="AK106" s="61">
        <f t="shared" si="74"/>
        <v>0</v>
      </c>
      <c r="AL106" s="61">
        <f t="shared" si="75"/>
        <v>0</v>
      </c>
      <c r="AM106" s="61">
        <f t="shared" si="76"/>
        <v>0</v>
      </c>
      <c r="AN106" s="61">
        <f t="shared" si="77"/>
        <v>0</v>
      </c>
      <c r="AO106" s="61">
        <f t="shared" si="80"/>
        <v>0</v>
      </c>
      <c r="AP106" s="61">
        <f t="shared" ref="AP106:AP122" si="81">IF(AND(AP$2&gt;=$B106,AP$2&lt;$C106),$E106,0)</f>
        <v>0</v>
      </c>
      <c r="AQ106" s="61"/>
    </row>
    <row r="107" spans="2:43" x14ac:dyDescent="0.25">
      <c r="B107" s="54">
        <v>0.58333333333575899</v>
      </c>
      <c r="C107" s="54">
        <v>0.93750000007276402</v>
      </c>
      <c r="D107" s="60"/>
      <c r="E107" s="91"/>
      <c r="G107" s="91"/>
      <c r="H107" s="92">
        <f t="shared" si="58"/>
        <v>0</v>
      </c>
      <c r="I107" s="180">
        <f>AA$91-AA$92</f>
        <v>0</v>
      </c>
      <c r="M107" s="61">
        <f t="shared" si="78"/>
        <v>0</v>
      </c>
      <c r="N107" s="61">
        <f t="shared" si="78"/>
        <v>0</v>
      </c>
      <c r="O107" s="61">
        <f t="shared" si="78"/>
        <v>0</v>
      </c>
      <c r="P107" s="61">
        <f t="shared" si="78"/>
        <v>0</v>
      </c>
      <c r="Q107" s="61">
        <f t="shared" si="78"/>
        <v>0</v>
      </c>
      <c r="R107" s="61">
        <f t="shared" si="78"/>
        <v>0</v>
      </c>
      <c r="S107" s="61">
        <f t="shared" si="78"/>
        <v>0</v>
      </c>
      <c r="T107" s="61">
        <f t="shared" si="78"/>
        <v>0</v>
      </c>
      <c r="U107" s="61">
        <f t="shared" si="78"/>
        <v>0</v>
      </c>
      <c r="V107" s="61">
        <f t="shared" si="78"/>
        <v>0</v>
      </c>
      <c r="W107" s="61">
        <f t="shared" si="79"/>
        <v>0</v>
      </c>
      <c r="X107" s="61">
        <f t="shared" si="79"/>
        <v>0</v>
      </c>
      <c r="Y107" s="61">
        <f t="shared" si="79"/>
        <v>0</v>
      </c>
      <c r="Z107" s="61">
        <f t="shared" si="79"/>
        <v>0</v>
      </c>
      <c r="AA107" s="61">
        <f t="shared" si="79"/>
        <v>0</v>
      </c>
      <c r="AB107" s="61">
        <f t="shared" si="79"/>
        <v>0</v>
      </c>
      <c r="AC107" s="61">
        <f t="shared" si="79"/>
        <v>0</v>
      </c>
      <c r="AD107" s="61">
        <f t="shared" si="79"/>
        <v>0</v>
      </c>
      <c r="AE107" s="61">
        <f t="shared" si="79"/>
        <v>0</v>
      </c>
      <c r="AF107" s="61">
        <f t="shared" si="65"/>
        <v>0</v>
      </c>
      <c r="AG107" s="61">
        <f t="shared" si="67"/>
        <v>0</v>
      </c>
      <c r="AH107" s="61">
        <f t="shared" si="69"/>
        <v>0</v>
      </c>
      <c r="AI107" s="61">
        <f t="shared" si="71"/>
        <v>0</v>
      </c>
      <c r="AJ107" s="61">
        <f t="shared" si="73"/>
        <v>0</v>
      </c>
      <c r="AK107" s="61">
        <f t="shared" si="74"/>
        <v>0</v>
      </c>
      <c r="AL107" s="61">
        <f t="shared" si="75"/>
        <v>0</v>
      </c>
      <c r="AM107" s="61">
        <f t="shared" si="76"/>
        <v>0</v>
      </c>
      <c r="AN107" s="61">
        <f t="shared" si="77"/>
        <v>0</v>
      </c>
      <c r="AO107" s="61">
        <f t="shared" si="80"/>
        <v>0</v>
      </c>
      <c r="AP107" s="61">
        <f t="shared" si="81"/>
        <v>0</v>
      </c>
      <c r="AQ107" s="61"/>
    </row>
    <row r="108" spans="2:43" x14ac:dyDescent="0.25">
      <c r="B108" s="54">
        <v>0.60416666667151697</v>
      </c>
      <c r="C108" s="54">
        <v>0.958333333408523</v>
      </c>
      <c r="D108" s="60"/>
      <c r="E108" s="91"/>
      <c r="G108" s="91"/>
      <c r="H108" s="92">
        <f t="shared" si="58"/>
        <v>0</v>
      </c>
      <c r="I108" s="180">
        <f>AB$91-AB$92</f>
        <v>0</v>
      </c>
      <c r="M108" s="61">
        <f t="shared" si="78"/>
        <v>0</v>
      </c>
      <c r="N108" s="61">
        <f t="shared" si="78"/>
        <v>0</v>
      </c>
      <c r="O108" s="61">
        <f t="shared" si="78"/>
        <v>0</v>
      </c>
      <c r="P108" s="61">
        <f t="shared" si="78"/>
        <v>0</v>
      </c>
      <c r="Q108" s="61">
        <f t="shared" si="78"/>
        <v>0</v>
      </c>
      <c r="R108" s="61">
        <f t="shared" si="78"/>
        <v>0</v>
      </c>
      <c r="S108" s="61">
        <f t="shared" si="78"/>
        <v>0</v>
      </c>
      <c r="T108" s="61">
        <f t="shared" si="78"/>
        <v>0</v>
      </c>
      <c r="U108" s="61">
        <f t="shared" si="78"/>
        <v>0</v>
      </c>
      <c r="V108" s="61">
        <f t="shared" si="78"/>
        <v>0</v>
      </c>
      <c r="W108" s="61">
        <f t="shared" si="79"/>
        <v>0</v>
      </c>
      <c r="X108" s="61">
        <f t="shared" si="79"/>
        <v>0</v>
      </c>
      <c r="Y108" s="61">
        <f t="shared" si="79"/>
        <v>0</v>
      </c>
      <c r="Z108" s="61">
        <f t="shared" si="79"/>
        <v>0</v>
      </c>
      <c r="AA108" s="61">
        <f t="shared" si="79"/>
        <v>0</v>
      </c>
      <c r="AB108" s="61">
        <f t="shared" si="79"/>
        <v>0</v>
      </c>
      <c r="AC108" s="61">
        <f t="shared" si="79"/>
        <v>0</v>
      </c>
      <c r="AD108" s="61">
        <f t="shared" si="79"/>
        <v>0</v>
      </c>
      <c r="AE108" s="61">
        <f t="shared" si="79"/>
        <v>0</v>
      </c>
      <c r="AF108" s="61">
        <f t="shared" si="65"/>
        <v>0</v>
      </c>
      <c r="AG108" s="61">
        <f t="shared" si="67"/>
        <v>0</v>
      </c>
      <c r="AH108" s="61">
        <f t="shared" si="69"/>
        <v>0</v>
      </c>
      <c r="AI108" s="61">
        <f t="shared" si="71"/>
        <v>0</v>
      </c>
      <c r="AJ108" s="61">
        <f t="shared" si="73"/>
        <v>0</v>
      </c>
      <c r="AK108" s="61">
        <f t="shared" si="74"/>
        <v>0</v>
      </c>
      <c r="AL108" s="61">
        <f t="shared" si="75"/>
        <v>0</v>
      </c>
      <c r="AM108" s="61">
        <f t="shared" si="76"/>
        <v>0</v>
      </c>
      <c r="AN108" s="61">
        <f t="shared" si="77"/>
        <v>0</v>
      </c>
      <c r="AO108" s="61">
        <f t="shared" si="80"/>
        <v>0</v>
      </c>
      <c r="AP108" s="61">
        <f t="shared" si="81"/>
        <v>0</v>
      </c>
      <c r="AQ108" s="61"/>
    </row>
    <row r="109" spans="2:43" x14ac:dyDescent="0.25">
      <c r="B109" s="54">
        <v>0.62500000000727596</v>
      </c>
      <c r="C109" s="54">
        <v>0.97916666674428199</v>
      </c>
      <c r="D109" s="60"/>
      <c r="E109" s="91"/>
      <c r="G109" s="91"/>
      <c r="H109" s="92">
        <f t="shared" si="58"/>
        <v>0</v>
      </c>
      <c r="I109" s="180">
        <f>AC$91-AC$92</f>
        <v>0</v>
      </c>
      <c r="M109" s="61">
        <f t="shared" si="78"/>
        <v>0</v>
      </c>
      <c r="N109" s="61">
        <f t="shared" si="78"/>
        <v>0</v>
      </c>
      <c r="O109" s="61">
        <f t="shared" si="78"/>
        <v>0</v>
      </c>
      <c r="P109" s="61">
        <f t="shared" si="78"/>
        <v>0</v>
      </c>
      <c r="Q109" s="61">
        <f t="shared" si="78"/>
        <v>0</v>
      </c>
      <c r="R109" s="61">
        <f t="shared" si="78"/>
        <v>0</v>
      </c>
      <c r="S109" s="61">
        <f t="shared" si="78"/>
        <v>0</v>
      </c>
      <c r="T109" s="61">
        <f t="shared" si="78"/>
        <v>0</v>
      </c>
      <c r="U109" s="61">
        <f t="shared" si="78"/>
        <v>0</v>
      </c>
      <c r="V109" s="61">
        <f t="shared" si="78"/>
        <v>0</v>
      </c>
      <c r="W109" s="61">
        <f t="shared" si="79"/>
        <v>0</v>
      </c>
      <c r="X109" s="61">
        <f t="shared" si="79"/>
        <v>0</v>
      </c>
      <c r="Y109" s="61">
        <f t="shared" si="79"/>
        <v>0</v>
      </c>
      <c r="Z109" s="61">
        <f t="shared" si="79"/>
        <v>0</v>
      </c>
      <c r="AA109" s="61">
        <f t="shared" si="79"/>
        <v>0</v>
      </c>
      <c r="AB109" s="61">
        <f t="shared" si="79"/>
        <v>0</v>
      </c>
      <c r="AC109" s="61">
        <f t="shared" si="79"/>
        <v>0</v>
      </c>
      <c r="AD109" s="61">
        <f t="shared" si="79"/>
        <v>0</v>
      </c>
      <c r="AE109" s="61">
        <f t="shared" si="79"/>
        <v>0</v>
      </c>
      <c r="AF109" s="61">
        <f t="shared" si="65"/>
        <v>0</v>
      </c>
      <c r="AG109" s="61">
        <f t="shared" si="67"/>
        <v>0</v>
      </c>
      <c r="AH109" s="61">
        <f t="shared" si="69"/>
        <v>0</v>
      </c>
      <c r="AI109" s="61">
        <f t="shared" si="71"/>
        <v>0</v>
      </c>
      <c r="AJ109" s="61">
        <f t="shared" si="73"/>
        <v>0</v>
      </c>
      <c r="AK109" s="61">
        <f t="shared" si="74"/>
        <v>0</v>
      </c>
      <c r="AL109" s="61">
        <f t="shared" si="75"/>
        <v>0</v>
      </c>
      <c r="AM109" s="61">
        <f t="shared" si="76"/>
        <v>0</v>
      </c>
      <c r="AN109" s="61">
        <f t="shared" si="77"/>
        <v>0</v>
      </c>
      <c r="AO109" s="61">
        <f t="shared" si="80"/>
        <v>0</v>
      </c>
      <c r="AP109" s="61">
        <f t="shared" si="81"/>
        <v>0</v>
      </c>
      <c r="AQ109" s="61"/>
    </row>
    <row r="110" spans="2:43" x14ac:dyDescent="0.25">
      <c r="B110" s="54">
        <v>0.64583333334303406</v>
      </c>
      <c r="C110" s="54">
        <v>1.00000000008004</v>
      </c>
      <c r="D110" s="60"/>
      <c r="E110" s="91"/>
      <c r="G110" s="91"/>
      <c r="H110" s="92">
        <f t="shared" si="58"/>
        <v>0</v>
      </c>
      <c r="I110" s="180">
        <f>AD$91-AD$92</f>
        <v>0</v>
      </c>
      <c r="M110" s="61">
        <f t="shared" si="78"/>
        <v>0</v>
      </c>
      <c r="N110" s="61">
        <f t="shared" si="78"/>
        <v>0</v>
      </c>
      <c r="O110" s="61">
        <f t="shared" si="78"/>
        <v>0</v>
      </c>
      <c r="P110" s="61">
        <f t="shared" si="78"/>
        <v>0</v>
      </c>
      <c r="Q110" s="61">
        <f t="shared" si="78"/>
        <v>0</v>
      </c>
      <c r="R110" s="61">
        <f t="shared" si="78"/>
        <v>0</v>
      </c>
      <c r="S110" s="61">
        <f t="shared" si="78"/>
        <v>0</v>
      </c>
      <c r="T110" s="61">
        <f t="shared" si="78"/>
        <v>0</v>
      </c>
      <c r="U110" s="61">
        <f t="shared" si="78"/>
        <v>0</v>
      </c>
      <c r="V110" s="61">
        <f t="shared" si="78"/>
        <v>0</v>
      </c>
      <c r="W110" s="61">
        <f t="shared" si="79"/>
        <v>0</v>
      </c>
      <c r="X110" s="61">
        <f t="shared" si="79"/>
        <v>0</v>
      </c>
      <c r="Y110" s="61">
        <f t="shared" si="79"/>
        <v>0</v>
      </c>
      <c r="Z110" s="61">
        <f t="shared" si="79"/>
        <v>0</v>
      </c>
      <c r="AA110" s="61">
        <f t="shared" si="79"/>
        <v>0</v>
      </c>
      <c r="AB110" s="61">
        <f t="shared" si="79"/>
        <v>0</v>
      </c>
      <c r="AC110" s="61">
        <f t="shared" si="79"/>
        <v>0</v>
      </c>
      <c r="AD110" s="61">
        <f t="shared" si="79"/>
        <v>0</v>
      </c>
      <c r="AE110" s="61">
        <f t="shared" si="79"/>
        <v>0</v>
      </c>
      <c r="AF110" s="61">
        <f t="shared" si="65"/>
        <v>0</v>
      </c>
      <c r="AG110" s="61">
        <f t="shared" si="67"/>
        <v>0</v>
      </c>
      <c r="AH110" s="61">
        <f t="shared" si="69"/>
        <v>0</v>
      </c>
      <c r="AI110" s="61">
        <f t="shared" si="71"/>
        <v>0</v>
      </c>
      <c r="AJ110" s="61">
        <f t="shared" si="73"/>
        <v>0</v>
      </c>
      <c r="AK110" s="61">
        <f t="shared" si="74"/>
        <v>0</v>
      </c>
      <c r="AL110" s="61">
        <f t="shared" si="75"/>
        <v>0</v>
      </c>
      <c r="AM110" s="61">
        <f t="shared" si="76"/>
        <v>0</v>
      </c>
      <c r="AN110" s="61">
        <f t="shared" si="77"/>
        <v>0</v>
      </c>
      <c r="AO110" s="61">
        <f t="shared" si="80"/>
        <v>0</v>
      </c>
      <c r="AP110" s="61">
        <f t="shared" si="81"/>
        <v>0</v>
      </c>
      <c r="AQ110" s="61"/>
    </row>
    <row r="111" spans="2:43" x14ac:dyDescent="0.25">
      <c r="B111" s="54">
        <v>0.66666666667879304</v>
      </c>
      <c r="C111" s="54">
        <v>1.0208333334158</v>
      </c>
      <c r="D111" s="60"/>
      <c r="E111" s="91"/>
      <c r="G111" s="91"/>
      <c r="H111" s="92">
        <f t="shared" si="58"/>
        <v>0</v>
      </c>
      <c r="I111" s="180">
        <f>AE$91-AE$92</f>
        <v>0</v>
      </c>
      <c r="M111" s="61">
        <f t="shared" si="78"/>
        <v>0</v>
      </c>
      <c r="N111" s="61">
        <f t="shared" si="78"/>
        <v>0</v>
      </c>
      <c r="O111" s="61">
        <f t="shared" si="78"/>
        <v>0</v>
      </c>
      <c r="P111" s="61">
        <f t="shared" si="78"/>
        <v>0</v>
      </c>
      <c r="Q111" s="61">
        <f t="shared" si="78"/>
        <v>0</v>
      </c>
      <c r="R111" s="61">
        <f t="shared" si="78"/>
        <v>0</v>
      </c>
      <c r="S111" s="61">
        <f t="shared" si="78"/>
        <v>0</v>
      </c>
      <c r="T111" s="61">
        <f t="shared" si="78"/>
        <v>0</v>
      </c>
      <c r="U111" s="61">
        <f t="shared" si="78"/>
        <v>0</v>
      </c>
      <c r="V111" s="61">
        <f t="shared" si="78"/>
        <v>0</v>
      </c>
      <c r="W111" s="61">
        <f t="shared" si="79"/>
        <v>0</v>
      </c>
      <c r="X111" s="61">
        <f t="shared" si="79"/>
        <v>0</v>
      </c>
      <c r="Y111" s="61">
        <f t="shared" si="79"/>
        <v>0</v>
      </c>
      <c r="Z111" s="61">
        <f t="shared" si="79"/>
        <v>0</v>
      </c>
      <c r="AA111" s="61">
        <f t="shared" si="79"/>
        <v>0</v>
      </c>
      <c r="AB111" s="61">
        <f t="shared" si="79"/>
        <v>0</v>
      </c>
      <c r="AC111" s="61">
        <f t="shared" si="79"/>
        <v>0</v>
      </c>
      <c r="AD111" s="61">
        <f t="shared" si="79"/>
        <v>0</v>
      </c>
      <c r="AE111" s="61">
        <f t="shared" si="79"/>
        <v>0</v>
      </c>
      <c r="AF111" s="61">
        <f t="shared" si="65"/>
        <v>0</v>
      </c>
      <c r="AG111" s="61">
        <f t="shared" si="67"/>
        <v>0</v>
      </c>
      <c r="AH111" s="61">
        <f t="shared" si="69"/>
        <v>0</v>
      </c>
      <c r="AI111" s="61">
        <f t="shared" si="71"/>
        <v>0</v>
      </c>
      <c r="AJ111" s="61">
        <f t="shared" si="73"/>
        <v>0</v>
      </c>
      <c r="AK111" s="61">
        <f t="shared" si="74"/>
        <v>0</v>
      </c>
      <c r="AL111" s="61">
        <f t="shared" si="75"/>
        <v>0</v>
      </c>
      <c r="AM111" s="61">
        <f t="shared" si="76"/>
        <v>0</v>
      </c>
      <c r="AN111" s="61">
        <f t="shared" si="77"/>
        <v>0</v>
      </c>
      <c r="AO111" s="61">
        <f t="shared" si="80"/>
        <v>0</v>
      </c>
      <c r="AP111" s="61">
        <f t="shared" si="81"/>
        <v>0</v>
      </c>
      <c r="AQ111" s="61"/>
    </row>
    <row r="112" spans="2:43" x14ac:dyDescent="0.25">
      <c r="B112" s="54">
        <v>0.68750000001455203</v>
      </c>
      <c r="C112" s="54">
        <v>1.0416666667515599</v>
      </c>
      <c r="D112" s="60"/>
      <c r="E112" s="91"/>
      <c r="G112" s="91"/>
      <c r="H112" s="92">
        <f t="shared" si="58"/>
        <v>0</v>
      </c>
      <c r="I112" s="180">
        <f>AF$91-AF$92</f>
        <v>0</v>
      </c>
      <c r="M112" s="61">
        <f t="shared" si="78"/>
        <v>0</v>
      </c>
      <c r="N112" s="61">
        <f t="shared" si="78"/>
        <v>0</v>
      </c>
      <c r="O112" s="61">
        <f t="shared" si="78"/>
        <v>0</v>
      </c>
      <c r="P112" s="61">
        <f t="shared" si="78"/>
        <v>0</v>
      </c>
      <c r="Q112" s="61">
        <f t="shared" si="78"/>
        <v>0</v>
      </c>
      <c r="R112" s="61">
        <f t="shared" si="78"/>
        <v>0</v>
      </c>
      <c r="S112" s="61">
        <f t="shared" si="78"/>
        <v>0</v>
      </c>
      <c r="T112" s="61">
        <f t="shared" si="78"/>
        <v>0</v>
      </c>
      <c r="U112" s="61">
        <f t="shared" si="78"/>
        <v>0</v>
      </c>
      <c r="V112" s="61">
        <f t="shared" si="78"/>
        <v>0</v>
      </c>
      <c r="W112" s="61">
        <f t="shared" si="79"/>
        <v>0</v>
      </c>
      <c r="X112" s="61">
        <f t="shared" si="79"/>
        <v>0</v>
      </c>
      <c r="Y112" s="61">
        <f t="shared" si="79"/>
        <v>0</v>
      </c>
      <c r="Z112" s="61">
        <f t="shared" si="79"/>
        <v>0</v>
      </c>
      <c r="AA112" s="61">
        <f t="shared" si="79"/>
        <v>0</v>
      </c>
      <c r="AB112" s="61">
        <f t="shared" si="79"/>
        <v>0</v>
      </c>
      <c r="AC112" s="61">
        <f t="shared" si="79"/>
        <v>0</v>
      </c>
      <c r="AD112" s="61">
        <f t="shared" si="79"/>
        <v>0</v>
      </c>
      <c r="AE112" s="61">
        <f t="shared" si="79"/>
        <v>0</v>
      </c>
      <c r="AF112" s="61">
        <f t="shared" si="65"/>
        <v>0</v>
      </c>
      <c r="AG112" s="61">
        <f t="shared" si="67"/>
        <v>0</v>
      </c>
      <c r="AH112" s="61">
        <f t="shared" si="69"/>
        <v>0</v>
      </c>
      <c r="AI112" s="61">
        <f t="shared" si="71"/>
        <v>0</v>
      </c>
      <c r="AJ112" s="61">
        <f t="shared" si="73"/>
        <v>0</v>
      </c>
      <c r="AK112" s="61">
        <f t="shared" si="74"/>
        <v>0</v>
      </c>
      <c r="AL112" s="61">
        <f t="shared" si="75"/>
        <v>0</v>
      </c>
      <c r="AM112" s="61">
        <f t="shared" si="76"/>
        <v>0</v>
      </c>
      <c r="AN112" s="61">
        <f t="shared" si="77"/>
        <v>0</v>
      </c>
      <c r="AO112" s="61">
        <f t="shared" si="80"/>
        <v>0</v>
      </c>
      <c r="AP112" s="61">
        <f t="shared" si="81"/>
        <v>0</v>
      </c>
      <c r="AQ112" s="61"/>
    </row>
    <row r="113" spans="2:43" x14ac:dyDescent="0.25">
      <c r="B113" s="54">
        <v>0.70833333335031001</v>
      </c>
      <c r="C113" s="54">
        <v>1.0625000000873199</v>
      </c>
      <c r="D113" s="60"/>
      <c r="E113" s="91"/>
      <c r="G113" s="91"/>
      <c r="H113" s="92">
        <f t="shared" si="58"/>
        <v>0</v>
      </c>
      <c r="I113" s="180">
        <f>AG$91-AG$92</f>
        <v>0</v>
      </c>
      <c r="M113" s="61">
        <f t="shared" si="78"/>
        <v>0</v>
      </c>
      <c r="N113" s="61">
        <f t="shared" si="78"/>
        <v>0</v>
      </c>
      <c r="O113" s="61">
        <f t="shared" si="78"/>
        <v>0</v>
      </c>
      <c r="P113" s="61">
        <f t="shared" si="78"/>
        <v>0</v>
      </c>
      <c r="Q113" s="61">
        <f t="shared" si="78"/>
        <v>0</v>
      </c>
      <c r="R113" s="61">
        <f t="shared" si="78"/>
        <v>0</v>
      </c>
      <c r="S113" s="61">
        <f t="shared" si="78"/>
        <v>0</v>
      </c>
      <c r="T113" s="61">
        <f t="shared" si="78"/>
        <v>0</v>
      </c>
      <c r="U113" s="61">
        <f t="shared" si="78"/>
        <v>0</v>
      </c>
      <c r="V113" s="61">
        <f t="shared" si="78"/>
        <v>0</v>
      </c>
      <c r="W113" s="61">
        <f t="shared" si="79"/>
        <v>0</v>
      </c>
      <c r="X113" s="61">
        <f t="shared" si="79"/>
        <v>0</v>
      </c>
      <c r="Y113" s="61">
        <f t="shared" si="79"/>
        <v>0</v>
      </c>
      <c r="Z113" s="61">
        <f t="shared" si="79"/>
        <v>0</v>
      </c>
      <c r="AA113" s="61">
        <f t="shared" si="79"/>
        <v>0</v>
      </c>
      <c r="AB113" s="61">
        <f t="shared" si="79"/>
        <v>0</v>
      </c>
      <c r="AC113" s="61">
        <f t="shared" si="79"/>
        <v>0</v>
      </c>
      <c r="AD113" s="61">
        <f t="shared" si="79"/>
        <v>0</v>
      </c>
      <c r="AE113" s="61">
        <f t="shared" si="79"/>
        <v>0</v>
      </c>
      <c r="AF113" s="61">
        <f t="shared" si="65"/>
        <v>0</v>
      </c>
      <c r="AG113" s="61">
        <f t="shared" si="67"/>
        <v>0</v>
      </c>
      <c r="AH113" s="61">
        <f t="shared" si="69"/>
        <v>0</v>
      </c>
      <c r="AI113" s="61">
        <f t="shared" si="71"/>
        <v>0</v>
      </c>
      <c r="AJ113" s="61">
        <f t="shared" si="73"/>
        <v>0</v>
      </c>
      <c r="AK113" s="61">
        <f t="shared" si="74"/>
        <v>0</v>
      </c>
      <c r="AL113" s="61">
        <f t="shared" si="75"/>
        <v>0</v>
      </c>
      <c r="AM113" s="61">
        <f t="shared" si="76"/>
        <v>0</v>
      </c>
      <c r="AN113" s="61">
        <f t="shared" si="77"/>
        <v>0</v>
      </c>
      <c r="AO113" s="61">
        <f t="shared" si="80"/>
        <v>0</v>
      </c>
      <c r="AP113" s="61">
        <f t="shared" si="81"/>
        <v>0</v>
      </c>
      <c r="AQ113" s="61"/>
    </row>
    <row r="114" spans="2:43" x14ac:dyDescent="0.25">
      <c r="B114" s="54">
        <v>0.729166666686069</v>
      </c>
      <c r="C114" s="54">
        <v>1.0833333334230799</v>
      </c>
      <c r="D114" s="60"/>
      <c r="E114" s="91"/>
      <c r="G114" s="91"/>
      <c r="H114" s="92">
        <f t="shared" si="58"/>
        <v>0</v>
      </c>
      <c r="I114" s="180">
        <f>AH$91-AH$92</f>
        <v>0</v>
      </c>
      <c r="M114" s="61">
        <f t="shared" si="78"/>
        <v>0</v>
      </c>
      <c r="N114" s="61">
        <f t="shared" si="78"/>
        <v>0</v>
      </c>
      <c r="O114" s="61">
        <f t="shared" si="78"/>
        <v>0</v>
      </c>
      <c r="P114" s="61">
        <f t="shared" si="78"/>
        <v>0</v>
      </c>
      <c r="Q114" s="61">
        <f t="shared" si="78"/>
        <v>0</v>
      </c>
      <c r="R114" s="61">
        <f t="shared" si="78"/>
        <v>0</v>
      </c>
      <c r="S114" s="61">
        <f t="shared" si="78"/>
        <v>0</v>
      </c>
      <c r="T114" s="61">
        <f t="shared" si="78"/>
        <v>0</v>
      </c>
      <c r="U114" s="61">
        <f t="shared" si="78"/>
        <v>0</v>
      </c>
      <c r="V114" s="61">
        <f t="shared" si="78"/>
        <v>0</v>
      </c>
      <c r="W114" s="61">
        <f t="shared" si="79"/>
        <v>0</v>
      </c>
      <c r="X114" s="61">
        <f t="shared" si="79"/>
        <v>0</v>
      </c>
      <c r="Y114" s="61">
        <f t="shared" si="79"/>
        <v>0</v>
      </c>
      <c r="Z114" s="61">
        <f t="shared" si="79"/>
        <v>0</v>
      </c>
      <c r="AA114" s="61">
        <f t="shared" si="79"/>
        <v>0</v>
      </c>
      <c r="AB114" s="61">
        <f t="shared" si="79"/>
        <v>0</v>
      </c>
      <c r="AC114" s="61">
        <f t="shared" si="79"/>
        <v>0</v>
      </c>
      <c r="AD114" s="61">
        <f t="shared" si="79"/>
        <v>0</v>
      </c>
      <c r="AE114" s="61">
        <f t="shared" si="79"/>
        <v>0</v>
      </c>
      <c r="AF114" s="61">
        <f t="shared" si="65"/>
        <v>0</v>
      </c>
      <c r="AG114" s="61">
        <f t="shared" si="67"/>
        <v>0</v>
      </c>
      <c r="AH114" s="61">
        <f t="shared" si="69"/>
        <v>0</v>
      </c>
      <c r="AI114" s="61">
        <f t="shared" si="71"/>
        <v>0</v>
      </c>
      <c r="AJ114" s="61">
        <f t="shared" si="73"/>
        <v>0</v>
      </c>
      <c r="AK114" s="61">
        <f t="shared" si="74"/>
        <v>0</v>
      </c>
      <c r="AL114" s="61">
        <f t="shared" si="75"/>
        <v>0</v>
      </c>
      <c r="AM114" s="61">
        <f t="shared" si="76"/>
        <v>0</v>
      </c>
      <c r="AN114" s="61">
        <f t="shared" si="77"/>
        <v>0</v>
      </c>
      <c r="AO114" s="61">
        <f t="shared" si="80"/>
        <v>0</v>
      </c>
      <c r="AP114" s="61">
        <f t="shared" si="81"/>
        <v>0</v>
      </c>
      <c r="AQ114" s="61"/>
    </row>
    <row r="115" spans="2:43" x14ac:dyDescent="0.25">
      <c r="B115" s="54">
        <v>0.75000000002182798</v>
      </c>
      <c r="C115" s="54">
        <v>1.1041666667588399</v>
      </c>
      <c r="D115" s="60"/>
      <c r="E115" s="91"/>
      <c r="G115" s="91"/>
      <c r="H115" s="92">
        <f t="shared" si="58"/>
        <v>0</v>
      </c>
      <c r="I115" s="180">
        <f>AI$91-AI$92</f>
        <v>0</v>
      </c>
      <c r="M115" s="61">
        <f t="shared" ref="M115:V122" si="82">IF(AND(M$2&gt;=$B115,M$2&lt;$C115),$E115,0)</f>
        <v>0</v>
      </c>
      <c r="N115" s="61">
        <f t="shared" si="82"/>
        <v>0</v>
      </c>
      <c r="O115" s="61">
        <f t="shared" si="82"/>
        <v>0</v>
      </c>
      <c r="P115" s="61">
        <f t="shared" si="82"/>
        <v>0</v>
      </c>
      <c r="Q115" s="61">
        <f t="shared" si="82"/>
        <v>0</v>
      </c>
      <c r="R115" s="61">
        <f t="shared" si="82"/>
        <v>0</v>
      </c>
      <c r="S115" s="61">
        <f t="shared" si="82"/>
        <v>0</v>
      </c>
      <c r="T115" s="61">
        <f t="shared" si="82"/>
        <v>0</v>
      </c>
      <c r="U115" s="61">
        <f t="shared" si="82"/>
        <v>0</v>
      </c>
      <c r="V115" s="61">
        <f t="shared" si="82"/>
        <v>0</v>
      </c>
      <c r="W115" s="61">
        <f t="shared" ref="W115:AE122" si="83">IF(AND(W$2&gt;=$B115,W$2&lt;$C115),$E115,0)</f>
        <v>0</v>
      </c>
      <c r="X115" s="61">
        <f t="shared" si="83"/>
        <v>0</v>
      </c>
      <c r="Y115" s="61">
        <f t="shared" si="83"/>
        <v>0</v>
      </c>
      <c r="Z115" s="61">
        <f t="shared" si="83"/>
        <v>0</v>
      </c>
      <c r="AA115" s="61">
        <f t="shared" si="83"/>
        <v>0</v>
      </c>
      <c r="AB115" s="61">
        <f t="shared" si="83"/>
        <v>0</v>
      </c>
      <c r="AC115" s="61">
        <f t="shared" si="83"/>
        <v>0</v>
      </c>
      <c r="AD115" s="61">
        <f t="shared" si="83"/>
        <v>0</v>
      </c>
      <c r="AE115" s="61">
        <f t="shared" si="83"/>
        <v>0</v>
      </c>
      <c r="AF115" s="61">
        <f t="shared" si="65"/>
        <v>0</v>
      </c>
      <c r="AG115" s="61">
        <f t="shared" si="67"/>
        <v>0</v>
      </c>
      <c r="AH115" s="61">
        <f t="shared" si="69"/>
        <v>0</v>
      </c>
      <c r="AI115" s="61">
        <f t="shared" si="71"/>
        <v>0</v>
      </c>
      <c r="AJ115" s="61">
        <f t="shared" si="73"/>
        <v>0</v>
      </c>
      <c r="AK115" s="61">
        <f t="shared" si="74"/>
        <v>0</v>
      </c>
      <c r="AL115" s="61">
        <f t="shared" si="75"/>
        <v>0</v>
      </c>
      <c r="AM115" s="61">
        <f t="shared" si="76"/>
        <v>0</v>
      </c>
      <c r="AN115" s="61">
        <f t="shared" si="77"/>
        <v>0</v>
      </c>
      <c r="AO115" s="61">
        <f t="shared" si="80"/>
        <v>0</v>
      </c>
      <c r="AP115" s="61">
        <f t="shared" si="81"/>
        <v>0</v>
      </c>
      <c r="AQ115" s="61"/>
    </row>
    <row r="116" spans="2:43" x14ac:dyDescent="0.25">
      <c r="B116" s="54">
        <v>0.77083333335758597</v>
      </c>
      <c r="C116" s="54">
        <v>1.1250000000945899</v>
      </c>
      <c r="D116" s="60"/>
      <c r="E116" s="91"/>
      <c r="G116" s="91"/>
      <c r="H116" s="92">
        <f t="shared" si="58"/>
        <v>0</v>
      </c>
      <c r="I116" s="180">
        <f>AJ$91-AJ$92</f>
        <v>0</v>
      </c>
      <c r="M116" s="61">
        <f t="shared" si="82"/>
        <v>0</v>
      </c>
      <c r="N116" s="61">
        <f t="shared" si="82"/>
        <v>0</v>
      </c>
      <c r="O116" s="61">
        <f t="shared" si="82"/>
        <v>0</v>
      </c>
      <c r="P116" s="61">
        <f t="shared" si="82"/>
        <v>0</v>
      </c>
      <c r="Q116" s="61">
        <f t="shared" si="82"/>
        <v>0</v>
      </c>
      <c r="R116" s="61">
        <f t="shared" si="82"/>
        <v>0</v>
      </c>
      <c r="S116" s="61">
        <f t="shared" si="82"/>
        <v>0</v>
      </c>
      <c r="T116" s="61">
        <f t="shared" si="82"/>
        <v>0</v>
      </c>
      <c r="U116" s="61">
        <f t="shared" si="82"/>
        <v>0</v>
      </c>
      <c r="V116" s="61">
        <f t="shared" si="82"/>
        <v>0</v>
      </c>
      <c r="W116" s="61">
        <f t="shared" si="83"/>
        <v>0</v>
      </c>
      <c r="X116" s="61">
        <f t="shared" si="83"/>
        <v>0</v>
      </c>
      <c r="Y116" s="61">
        <f t="shared" si="83"/>
        <v>0</v>
      </c>
      <c r="Z116" s="61">
        <f t="shared" si="83"/>
        <v>0</v>
      </c>
      <c r="AA116" s="61">
        <f t="shared" si="83"/>
        <v>0</v>
      </c>
      <c r="AB116" s="61">
        <f t="shared" si="83"/>
        <v>0</v>
      </c>
      <c r="AC116" s="61">
        <f t="shared" si="83"/>
        <v>0</v>
      </c>
      <c r="AD116" s="61">
        <f t="shared" si="83"/>
        <v>0</v>
      </c>
      <c r="AE116" s="61">
        <f t="shared" si="83"/>
        <v>0</v>
      </c>
      <c r="AF116" s="61">
        <f t="shared" si="65"/>
        <v>0</v>
      </c>
      <c r="AG116" s="61">
        <f t="shared" si="67"/>
        <v>0</v>
      </c>
      <c r="AH116" s="61">
        <f t="shared" si="69"/>
        <v>0</v>
      </c>
      <c r="AI116" s="61">
        <f t="shared" si="71"/>
        <v>0</v>
      </c>
      <c r="AJ116" s="61">
        <f t="shared" si="73"/>
        <v>0</v>
      </c>
      <c r="AK116" s="61">
        <f t="shared" si="74"/>
        <v>0</v>
      </c>
      <c r="AL116" s="61">
        <f t="shared" si="75"/>
        <v>0</v>
      </c>
      <c r="AM116" s="61">
        <f t="shared" si="76"/>
        <v>0</v>
      </c>
      <c r="AN116" s="61">
        <f t="shared" si="77"/>
        <v>0</v>
      </c>
      <c r="AO116" s="61">
        <f t="shared" si="80"/>
        <v>0</v>
      </c>
      <c r="AP116" s="61">
        <f t="shared" si="81"/>
        <v>0</v>
      </c>
      <c r="AQ116" s="61"/>
    </row>
    <row r="117" spans="2:43" x14ac:dyDescent="0.25">
      <c r="B117" s="54">
        <v>0.79166666669334496</v>
      </c>
      <c r="C117" s="54">
        <v>1.1458333334303501</v>
      </c>
      <c r="D117" s="60"/>
      <c r="E117" s="91"/>
      <c r="G117" s="91"/>
      <c r="H117" s="92">
        <f t="shared" si="58"/>
        <v>0</v>
      </c>
      <c r="I117" s="180">
        <f>AK$91-AK$92</f>
        <v>0</v>
      </c>
      <c r="M117" s="61">
        <f t="shared" si="82"/>
        <v>0</v>
      </c>
      <c r="N117" s="61">
        <f t="shared" si="82"/>
        <v>0</v>
      </c>
      <c r="O117" s="61">
        <f t="shared" si="82"/>
        <v>0</v>
      </c>
      <c r="P117" s="61">
        <f t="shared" si="82"/>
        <v>0</v>
      </c>
      <c r="Q117" s="61">
        <f t="shared" si="82"/>
        <v>0</v>
      </c>
      <c r="R117" s="61">
        <f t="shared" si="82"/>
        <v>0</v>
      </c>
      <c r="S117" s="61">
        <f t="shared" si="82"/>
        <v>0</v>
      </c>
      <c r="T117" s="61">
        <f t="shared" si="82"/>
        <v>0</v>
      </c>
      <c r="U117" s="61">
        <f t="shared" si="82"/>
        <v>0</v>
      </c>
      <c r="V117" s="61">
        <f t="shared" si="82"/>
        <v>0</v>
      </c>
      <c r="W117" s="61">
        <f t="shared" si="83"/>
        <v>0</v>
      </c>
      <c r="X117" s="61">
        <f t="shared" si="83"/>
        <v>0</v>
      </c>
      <c r="Y117" s="61">
        <f t="shared" si="83"/>
        <v>0</v>
      </c>
      <c r="Z117" s="61">
        <f t="shared" si="83"/>
        <v>0</v>
      </c>
      <c r="AA117" s="61">
        <f t="shared" si="83"/>
        <v>0</v>
      </c>
      <c r="AB117" s="61">
        <f t="shared" si="83"/>
        <v>0</v>
      </c>
      <c r="AC117" s="61">
        <f t="shared" si="83"/>
        <v>0</v>
      </c>
      <c r="AD117" s="61">
        <f t="shared" si="83"/>
        <v>0</v>
      </c>
      <c r="AE117" s="61">
        <f t="shared" si="83"/>
        <v>0</v>
      </c>
      <c r="AF117" s="61">
        <f t="shared" si="65"/>
        <v>0</v>
      </c>
      <c r="AG117" s="61">
        <f t="shared" si="67"/>
        <v>0</v>
      </c>
      <c r="AH117" s="61">
        <f t="shared" si="69"/>
        <v>0</v>
      </c>
      <c r="AI117" s="61">
        <f t="shared" si="71"/>
        <v>0</v>
      </c>
      <c r="AJ117" s="61">
        <f t="shared" si="73"/>
        <v>0</v>
      </c>
      <c r="AK117" s="61">
        <f t="shared" si="74"/>
        <v>0</v>
      </c>
      <c r="AL117" s="61">
        <f t="shared" si="75"/>
        <v>0</v>
      </c>
      <c r="AM117" s="61">
        <f t="shared" si="76"/>
        <v>0</v>
      </c>
      <c r="AN117" s="61">
        <f t="shared" si="77"/>
        <v>0</v>
      </c>
      <c r="AO117" s="61">
        <f t="shared" si="80"/>
        <v>0</v>
      </c>
      <c r="AP117" s="61">
        <f t="shared" si="81"/>
        <v>0</v>
      </c>
      <c r="AQ117" s="61"/>
    </row>
    <row r="118" spans="2:43" x14ac:dyDescent="0.25">
      <c r="B118" s="54">
        <v>0.81250000002910305</v>
      </c>
      <c r="C118" s="54">
        <v>1.1666666667661101</v>
      </c>
      <c r="D118" s="60"/>
      <c r="E118" s="91"/>
      <c r="G118" s="91"/>
      <c r="H118" s="92">
        <f t="shared" si="58"/>
        <v>0</v>
      </c>
      <c r="I118" s="180">
        <f>AL$91-AL$92</f>
        <v>0</v>
      </c>
      <c r="M118" s="61">
        <f t="shared" si="82"/>
        <v>0</v>
      </c>
      <c r="N118" s="61">
        <f t="shared" si="82"/>
        <v>0</v>
      </c>
      <c r="O118" s="61">
        <f t="shared" si="82"/>
        <v>0</v>
      </c>
      <c r="P118" s="61">
        <f t="shared" si="82"/>
        <v>0</v>
      </c>
      <c r="Q118" s="61">
        <f t="shared" si="82"/>
        <v>0</v>
      </c>
      <c r="R118" s="61">
        <f t="shared" si="82"/>
        <v>0</v>
      </c>
      <c r="S118" s="61">
        <f t="shared" si="82"/>
        <v>0</v>
      </c>
      <c r="T118" s="61">
        <f t="shared" si="82"/>
        <v>0</v>
      </c>
      <c r="U118" s="61">
        <f t="shared" si="82"/>
        <v>0</v>
      </c>
      <c r="V118" s="61">
        <f t="shared" si="82"/>
        <v>0</v>
      </c>
      <c r="W118" s="61">
        <f t="shared" si="83"/>
        <v>0</v>
      </c>
      <c r="X118" s="61">
        <f t="shared" si="83"/>
        <v>0</v>
      </c>
      <c r="Y118" s="61">
        <f t="shared" si="83"/>
        <v>0</v>
      </c>
      <c r="Z118" s="61">
        <f t="shared" si="83"/>
        <v>0</v>
      </c>
      <c r="AA118" s="61">
        <f t="shared" si="83"/>
        <v>0</v>
      </c>
      <c r="AB118" s="61">
        <f t="shared" si="83"/>
        <v>0</v>
      </c>
      <c r="AC118" s="61">
        <f t="shared" si="83"/>
        <v>0</v>
      </c>
      <c r="AD118" s="61">
        <f t="shared" si="83"/>
        <v>0</v>
      </c>
      <c r="AE118" s="61">
        <f t="shared" si="83"/>
        <v>0</v>
      </c>
      <c r="AF118" s="61">
        <f t="shared" si="65"/>
        <v>0</v>
      </c>
      <c r="AG118" s="61">
        <f t="shared" si="67"/>
        <v>0</v>
      </c>
      <c r="AH118" s="61">
        <f t="shared" si="69"/>
        <v>0</v>
      </c>
      <c r="AI118" s="61">
        <f t="shared" si="71"/>
        <v>0</v>
      </c>
      <c r="AJ118" s="61">
        <f t="shared" si="73"/>
        <v>0</v>
      </c>
      <c r="AK118" s="61">
        <f t="shared" si="74"/>
        <v>0</v>
      </c>
      <c r="AL118" s="61">
        <f t="shared" si="75"/>
        <v>0</v>
      </c>
      <c r="AM118" s="61">
        <f t="shared" si="76"/>
        <v>0</v>
      </c>
      <c r="AN118" s="61">
        <f t="shared" si="77"/>
        <v>0</v>
      </c>
      <c r="AO118" s="61">
        <f t="shared" si="80"/>
        <v>0</v>
      </c>
      <c r="AP118" s="61">
        <f t="shared" si="81"/>
        <v>0</v>
      </c>
      <c r="AQ118" s="61"/>
    </row>
    <row r="119" spans="2:43" x14ac:dyDescent="0.25">
      <c r="B119" s="54">
        <v>0.83333333336486204</v>
      </c>
      <c r="C119" s="54">
        <v>1.1875000001018701</v>
      </c>
      <c r="D119" s="60"/>
      <c r="E119" s="91"/>
      <c r="G119" s="91"/>
      <c r="H119" s="92">
        <f t="shared" si="58"/>
        <v>0</v>
      </c>
      <c r="I119" s="180">
        <f>AM$91-AM$92</f>
        <v>0</v>
      </c>
      <c r="M119" s="61">
        <f t="shared" si="82"/>
        <v>0</v>
      </c>
      <c r="N119" s="61">
        <f t="shared" si="82"/>
        <v>0</v>
      </c>
      <c r="O119" s="61">
        <f t="shared" si="82"/>
        <v>0</v>
      </c>
      <c r="P119" s="61">
        <f t="shared" si="82"/>
        <v>0</v>
      </c>
      <c r="Q119" s="61">
        <f t="shared" si="82"/>
        <v>0</v>
      </c>
      <c r="R119" s="61">
        <f t="shared" si="82"/>
        <v>0</v>
      </c>
      <c r="S119" s="61">
        <f t="shared" si="82"/>
        <v>0</v>
      </c>
      <c r="T119" s="61">
        <f t="shared" si="82"/>
        <v>0</v>
      </c>
      <c r="U119" s="61">
        <f t="shared" si="82"/>
        <v>0</v>
      </c>
      <c r="V119" s="61">
        <f t="shared" si="82"/>
        <v>0</v>
      </c>
      <c r="W119" s="61">
        <f t="shared" si="83"/>
        <v>0</v>
      </c>
      <c r="X119" s="61">
        <f t="shared" si="83"/>
        <v>0</v>
      </c>
      <c r="Y119" s="61">
        <f t="shared" si="83"/>
        <v>0</v>
      </c>
      <c r="Z119" s="61">
        <f t="shared" si="83"/>
        <v>0</v>
      </c>
      <c r="AA119" s="61">
        <f t="shared" si="83"/>
        <v>0</v>
      </c>
      <c r="AB119" s="61">
        <f t="shared" si="83"/>
        <v>0</v>
      </c>
      <c r="AC119" s="61">
        <f t="shared" si="83"/>
        <v>0</v>
      </c>
      <c r="AD119" s="61">
        <f t="shared" si="83"/>
        <v>0</v>
      </c>
      <c r="AE119" s="61">
        <f t="shared" si="83"/>
        <v>0</v>
      </c>
      <c r="AF119" s="61">
        <f t="shared" si="65"/>
        <v>0</v>
      </c>
      <c r="AG119" s="61">
        <f t="shared" si="67"/>
        <v>0</v>
      </c>
      <c r="AH119" s="61">
        <f t="shared" si="69"/>
        <v>0</v>
      </c>
      <c r="AI119" s="61">
        <f t="shared" si="71"/>
        <v>0</v>
      </c>
      <c r="AJ119" s="61">
        <f t="shared" si="73"/>
        <v>0</v>
      </c>
      <c r="AK119" s="61">
        <f t="shared" si="74"/>
        <v>0</v>
      </c>
      <c r="AL119" s="61">
        <f t="shared" si="75"/>
        <v>0</v>
      </c>
      <c r="AM119" s="61">
        <f t="shared" si="76"/>
        <v>0</v>
      </c>
      <c r="AN119" s="61">
        <f t="shared" si="77"/>
        <v>0</v>
      </c>
      <c r="AO119" s="61">
        <f t="shared" si="80"/>
        <v>0</v>
      </c>
      <c r="AP119" s="61">
        <f t="shared" si="81"/>
        <v>0</v>
      </c>
      <c r="AQ119" s="61"/>
    </row>
    <row r="120" spans="2:43" x14ac:dyDescent="0.25">
      <c r="B120" s="54">
        <v>0.85416666670062102</v>
      </c>
      <c r="C120" s="54">
        <v>1.2083333334376301</v>
      </c>
      <c r="D120" s="60"/>
      <c r="E120" s="91"/>
      <c r="G120" s="91"/>
      <c r="H120" s="92">
        <f t="shared" si="58"/>
        <v>0</v>
      </c>
      <c r="I120" s="180">
        <f>AN$91-AN$92</f>
        <v>0</v>
      </c>
      <c r="M120" s="61">
        <f t="shared" si="82"/>
        <v>0</v>
      </c>
      <c r="N120" s="61">
        <f t="shared" si="82"/>
        <v>0</v>
      </c>
      <c r="O120" s="61">
        <f t="shared" si="82"/>
        <v>0</v>
      </c>
      <c r="P120" s="61">
        <f t="shared" si="82"/>
        <v>0</v>
      </c>
      <c r="Q120" s="61">
        <f t="shared" si="82"/>
        <v>0</v>
      </c>
      <c r="R120" s="61">
        <f t="shared" si="82"/>
        <v>0</v>
      </c>
      <c r="S120" s="61">
        <f t="shared" si="82"/>
        <v>0</v>
      </c>
      <c r="T120" s="61">
        <f t="shared" si="82"/>
        <v>0</v>
      </c>
      <c r="U120" s="61">
        <f t="shared" si="82"/>
        <v>0</v>
      </c>
      <c r="V120" s="61">
        <f t="shared" si="82"/>
        <v>0</v>
      </c>
      <c r="W120" s="61">
        <f t="shared" si="83"/>
        <v>0</v>
      </c>
      <c r="X120" s="61">
        <f t="shared" si="83"/>
        <v>0</v>
      </c>
      <c r="Y120" s="61">
        <f t="shared" si="83"/>
        <v>0</v>
      </c>
      <c r="Z120" s="61">
        <f t="shared" si="83"/>
        <v>0</v>
      </c>
      <c r="AA120" s="61">
        <f t="shared" si="83"/>
        <v>0</v>
      </c>
      <c r="AB120" s="61">
        <f t="shared" si="83"/>
        <v>0</v>
      </c>
      <c r="AC120" s="61">
        <f t="shared" si="83"/>
        <v>0</v>
      </c>
      <c r="AD120" s="61">
        <f t="shared" si="83"/>
        <v>0</v>
      </c>
      <c r="AE120" s="61">
        <f t="shared" si="83"/>
        <v>0</v>
      </c>
      <c r="AF120" s="61">
        <f t="shared" si="65"/>
        <v>0</v>
      </c>
      <c r="AG120" s="61">
        <f t="shared" si="67"/>
        <v>0</v>
      </c>
      <c r="AH120" s="61">
        <f t="shared" si="69"/>
        <v>0</v>
      </c>
      <c r="AI120" s="61">
        <f t="shared" si="71"/>
        <v>0</v>
      </c>
      <c r="AJ120" s="61">
        <f t="shared" si="73"/>
        <v>0</v>
      </c>
      <c r="AK120" s="61">
        <f t="shared" si="74"/>
        <v>0</v>
      </c>
      <c r="AL120" s="61">
        <f t="shared" si="75"/>
        <v>0</v>
      </c>
      <c r="AM120" s="61">
        <f t="shared" si="76"/>
        <v>0</v>
      </c>
      <c r="AN120" s="61">
        <f t="shared" si="77"/>
        <v>0</v>
      </c>
      <c r="AO120" s="61">
        <f t="shared" si="80"/>
        <v>0</v>
      </c>
      <c r="AP120" s="61">
        <f t="shared" si="81"/>
        <v>0</v>
      </c>
      <c r="AQ120" s="61"/>
    </row>
    <row r="121" spans="2:43" x14ac:dyDescent="0.25">
      <c r="B121" s="54">
        <v>0.87500000003637901</v>
      </c>
      <c r="C121" s="54">
        <v>1.22916666677339</v>
      </c>
      <c r="D121" s="60"/>
      <c r="E121" s="91"/>
      <c r="G121" s="91"/>
      <c r="H121" s="92">
        <f t="shared" si="58"/>
        <v>0</v>
      </c>
      <c r="I121" s="180">
        <f>AO$91-AO$92</f>
        <v>0</v>
      </c>
      <c r="M121" s="61">
        <f t="shared" si="82"/>
        <v>0</v>
      </c>
      <c r="N121" s="61">
        <f t="shared" si="82"/>
        <v>0</v>
      </c>
      <c r="O121" s="61">
        <f t="shared" si="82"/>
        <v>0</v>
      </c>
      <c r="P121" s="61">
        <f t="shared" si="82"/>
        <v>0</v>
      </c>
      <c r="Q121" s="61">
        <f t="shared" si="82"/>
        <v>0</v>
      </c>
      <c r="R121" s="61">
        <f t="shared" si="82"/>
        <v>0</v>
      </c>
      <c r="S121" s="61">
        <f t="shared" si="82"/>
        <v>0</v>
      </c>
      <c r="T121" s="61">
        <f t="shared" si="82"/>
        <v>0</v>
      </c>
      <c r="U121" s="61">
        <f t="shared" si="82"/>
        <v>0</v>
      </c>
      <c r="V121" s="61">
        <f t="shared" si="82"/>
        <v>0</v>
      </c>
      <c r="W121" s="61">
        <f t="shared" si="83"/>
        <v>0</v>
      </c>
      <c r="X121" s="61">
        <f t="shared" si="83"/>
        <v>0</v>
      </c>
      <c r="Y121" s="61">
        <f t="shared" si="83"/>
        <v>0</v>
      </c>
      <c r="Z121" s="61">
        <f t="shared" si="83"/>
        <v>0</v>
      </c>
      <c r="AA121" s="61">
        <f t="shared" si="83"/>
        <v>0</v>
      </c>
      <c r="AB121" s="61">
        <f t="shared" si="83"/>
        <v>0</v>
      </c>
      <c r="AC121" s="61">
        <f t="shared" si="83"/>
        <v>0</v>
      </c>
      <c r="AD121" s="61">
        <f t="shared" si="83"/>
        <v>0</v>
      </c>
      <c r="AE121" s="61">
        <f t="shared" si="83"/>
        <v>0</v>
      </c>
      <c r="AF121" s="61">
        <f t="shared" si="65"/>
        <v>0</v>
      </c>
      <c r="AG121" s="61">
        <f t="shared" si="67"/>
        <v>0</v>
      </c>
      <c r="AH121" s="61">
        <f t="shared" si="69"/>
        <v>0</v>
      </c>
      <c r="AI121" s="61">
        <f t="shared" si="71"/>
        <v>0</v>
      </c>
      <c r="AJ121" s="61">
        <f t="shared" si="73"/>
        <v>0</v>
      </c>
      <c r="AK121" s="61">
        <f t="shared" si="74"/>
        <v>0</v>
      </c>
      <c r="AL121" s="61">
        <f t="shared" si="75"/>
        <v>0</v>
      </c>
      <c r="AM121" s="61">
        <f t="shared" si="76"/>
        <v>0</v>
      </c>
      <c r="AN121" s="61">
        <f t="shared" si="77"/>
        <v>0</v>
      </c>
      <c r="AO121" s="61">
        <f t="shared" si="80"/>
        <v>0</v>
      </c>
      <c r="AP121" s="61">
        <f t="shared" si="81"/>
        <v>0</v>
      </c>
      <c r="AQ121" s="61"/>
    </row>
    <row r="122" spans="2:43" x14ac:dyDescent="0.25">
      <c r="B122" s="54">
        <v>0.895833333372138</v>
      </c>
      <c r="C122" s="54">
        <v>1.25000000010915</v>
      </c>
      <c r="D122" s="60"/>
      <c r="E122" s="91"/>
      <c r="G122" s="91"/>
      <c r="H122" s="92">
        <f t="shared" si="58"/>
        <v>0</v>
      </c>
      <c r="I122" s="180">
        <f>AP$91-AP$92</f>
        <v>0</v>
      </c>
      <c r="M122" s="61">
        <f t="shared" si="82"/>
        <v>0</v>
      </c>
      <c r="N122" s="61">
        <f t="shared" si="82"/>
        <v>0</v>
      </c>
      <c r="O122" s="61">
        <f t="shared" si="82"/>
        <v>0</v>
      </c>
      <c r="P122" s="61">
        <f t="shared" si="82"/>
        <v>0</v>
      </c>
      <c r="Q122" s="61">
        <f t="shared" si="82"/>
        <v>0</v>
      </c>
      <c r="R122" s="61">
        <f t="shared" si="82"/>
        <v>0</v>
      </c>
      <c r="S122" s="61">
        <f t="shared" si="82"/>
        <v>0</v>
      </c>
      <c r="T122" s="61">
        <f t="shared" si="82"/>
        <v>0</v>
      </c>
      <c r="U122" s="61">
        <f t="shared" si="82"/>
        <v>0</v>
      </c>
      <c r="V122" s="61">
        <f t="shared" si="82"/>
        <v>0</v>
      </c>
      <c r="W122" s="61">
        <f t="shared" si="83"/>
        <v>0</v>
      </c>
      <c r="X122" s="61">
        <f t="shared" si="83"/>
        <v>0</v>
      </c>
      <c r="Y122" s="61">
        <f t="shared" si="83"/>
        <v>0</v>
      </c>
      <c r="Z122" s="61">
        <f t="shared" si="83"/>
        <v>0</v>
      </c>
      <c r="AA122" s="61">
        <f t="shared" si="83"/>
        <v>0</v>
      </c>
      <c r="AB122" s="61">
        <f t="shared" si="83"/>
        <v>0</v>
      </c>
      <c r="AC122" s="61">
        <f t="shared" si="83"/>
        <v>0</v>
      </c>
      <c r="AD122" s="61">
        <f t="shared" si="83"/>
        <v>0</v>
      </c>
      <c r="AE122" s="61">
        <f t="shared" si="83"/>
        <v>0</v>
      </c>
      <c r="AF122" s="61">
        <f t="shared" si="65"/>
        <v>0</v>
      </c>
      <c r="AG122" s="61">
        <f t="shared" si="67"/>
        <v>0</v>
      </c>
      <c r="AH122" s="61">
        <f t="shared" si="69"/>
        <v>0</v>
      </c>
      <c r="AI122" s="61">
        <f t="shared" si="71"/>
        <v>0</v>
      </c>
      <c r="AJ122" s="61">
        <f t="shared" si="73"/>
        <v>0</v>
      </c>
      <c r="AK122" s="61">
        <f t="shared" si="74"/>
        <v>0</v>
      </c>
      <c r="AL122" s="61">
        <f t="shared" si="75"/>
        <v>0</v>
      </c>
      <c r="AM122" s="61">
        <f t="shared" si="76"/>
        <v>0</v>
      </c>
      <c r="AN122" s="61">
        <f t="shared" si="77"/>
        <v>0</v>
      </c>
      <c r="AO122" s="61">
        <f t="shared" si="80"/>
        <v>0</v>
      </c>
      <c r="AP122" s="61">
        <f t="shared" si="81"/>
        <v>0</v>
      </c>
      <c r="AQ122" s="61"/>
    </row>
    <row r="123" spans="2:43" x14ac:dyDescent="0.25">
      <c r="E123" s="91"/>
      <c r="G123" s="91"/>
      <c r="I123" s="180">
        <f>NCC!$P$36</f>
        <v>0</v>
      </c>
    </row>
    <row r="129" spans="2:43" s="52" customFormat="1" x14ac:dyDescent="0.25">
      <c r="E129" s="53"/>
      <c r="F129" s="53"/>
      <c r="G129" s="53"/>
      <c r="H129" s="53"/>
      <c r="I129" s="53"/>
      <c r="J129" s="53"/>
      <c r="K129" s="58" t="s">
        <v>32</v>
      </c>
      <c r="L129" s="53"/>
      <c r="M129" s="84">
        <f>G134</f>
        <v>0</v>
      </c>
      <c r="N129" s="84">
        <f>M129+G135</f>
        <v>0</v>
      </c>
      <c r="O129" s="84">
        <f>N129+G136</f>
        <v>0</v>
      </c>
      <c r="P129" s="84">
        <f>+O129+G137</f>
        <v>0</v>
      </c>
      <c r="Q129" s="84">
        <f>P129+G138</f>
        <v>0</v>
      </c>
      <c r="R129" s="84">
        <f>Q129+G139</f>
        <v>0</v>
      </c>
      <c r="S129" s="84">
        <f>R129+G140</f>
        <v>0</v>
      </c>
      <c r="T129" s="84">
        <f>S129+G141</f>
        <v>0</v>
      </c>
      <c r="U129" s="84">
        <f>T129+G142-G134</f>
        <v>0</v>
      </c>
      <c r="V129" s="84">
        <f>U129+G143-G135</f>
        <v>0</v>
      </c>
      <c r="W129" s="84">
        <f>V129+G144-G136</f>
        <v>0</v>
      </c>
      <c r="X129" s="84">
        <f>W129+G145-G137</f>
        <v>0</v>
      </c>
      <c r="Y129" s="84">
        <f>X129+G146-G138</f>
        <v>0</v>
      </c>
      <c r="Z129" s="84">
        <f>Y129+G147-G139</f>
        <v>0</v>
      </c>
      <c r="AA129" s="84">
        <f>Z129+G148-G140</f>
        <v>0</v>
      </c>
      <c r="AB129" s="84">
        <f>AA129+G149-G141</f>
        <v>0</v>
      </c>
      <c r="AC129" s="84">
        <f>AB129+G150-G142</f>
        <v>0</v>
      </c>
      <c r="AD129" s="84">
        <f>AC129+G151-G143</f>
        <v>0</v>
      </c>
      <c r="AE129" s="84">
        <f>AD129+G152-G144</f>
        <v>0</v>
      </c>
      <c r="AF129" s="84">
        <f>AE129+G153-G145</f>
        <v>0</v>
      </c>
      <c r="AG129" s="84">
        <f>AF129+G154-G146</f>
        <v>0</v>
      </c>
      <c r="AH129" s="84">
        <f>AG129+G155-G147</f>
        <v>0</v>
      </c>
      <c r="AI129" s="84">
        <f>AH129+G156-G148</f>
        <v>0</v>
      </c>
      <c r="AJ129" s="84">
        <f>AI129+G157-G149</f>
        <v>0</v>
      </c>
      <c r="AK129" s="84">
        <f>AJ129+G158-G150</f>
        <v>0</v>
      </c>
      <c r="AL129" s="84">
        <f>AK129+G159-G151</f>
        <v>0</v>
      </c>
      <c r="AM129" s="84">
        <f>AL129+G160-G152</f>
        <v>0</v>
      </c>
      <c r="AN129" s="84">
        <f>AM129+G161-G153</f>
        <v>0</v>
      </c>
      <c r="AO129" s="84">
        <f>AN129+G162-G154</f>
        <v>0</v>
      </c>
      <c r="AP129" s="84">
        <f>AO129+G163-G155</f>
        <v>0</v>
      </c>
      <c r="AQ129" s="84">
        <f>SUM(M129:AP129)/8.5</f>
        <v>0</v>
      </c>
    </row>
    <row r="130" spans="2:43" x14ac:dyDescent="0.25">
      <c r="J130" s="57"/>
      <c r="K130" s="58" t="s">
        <v>31</v>
      </c>
      <c r="M130" s="84">
        <f>F134</f>
        <v>0</v>
      </c>
      <c r="N130" s="84">
        <f>M130+F135</f>
        <v>0</v>
      </c>
      <c r="O130" s="84">
        <f>N130+F136</f>
        <v>0</v>
      </c>
      <c r="P130" s="84">
        <f>O130+F137</f>
        <v>0</v>
      </c>
      <c r="Q130" s="84">
        <f>P130+F138</f>
        <v>0</v>
      </c>
      <c r="R130" s="84">
        <f>Q130+F139</f>
        <v>0</v>
      </c>
      <c r="S130" s="84">
        <f>R130+F140</f>
        <v>0</v>
      </c>
      <c r="T130" s="84">
        <f>S130+F141</f>
        <v>0</v>
      </c>
      <c r="U130" s="84">
        <f>T130+F142</f>
        <v>0</v>
      </c>
      <c r="V130" s="84">
        <f>U130</f>
        <v>0</v>
      </c>
      <c r="W130" s="84">
        <f>V130</f>
        <v>0</v>
      </c>
      <c r="X130" s="84">
        <f>W130</f>
        <v>0</v>
      </c>
      <c r="Y130" s="96"/>
      <c r="Z130" s="96"/>
      <c r="AA130" s="96"/>
      <c r="AB130" s="96"/>
      <c r="AC130" s="84">
        <f t="shared" ref="AC130:AN130" si="84">M130</f>
        <v>0</v>
      </c>
      <c r="AD130" s="84">
        <f t="shared" si="84"/>
        <v>0</v>
      </c>
      <c r="AE130" s="84">
        <f t="shared" si="84"/>
        <v>0</v>
      </c>
      <c r="AF130" s="84">
        <f t="shared" si="84"/>
        <v>0</v>
      </c>
      <c r="AG130" s="84">
        <f t="shared" si="84"/>
        <v>0</v>
      </c>
      <c r="AH130" s="84">
        <f t="shared" si="84"/>
        <v>0</v>
      </c>
      <c r="AI130" s="84">
        <f t="shared" si="84"/>
        <v>0</v>
      </c>
      <c r="AJ130" s="84">
        <f t="shared" si="84"/>
        <v>0</v>
      </c>
      <c r="AK130" s="84">
        <f t="shared" si="84"/>
        <v>0</v>
      </c>
      <c r="AL130" s="84">
        <f t="shared" si="84"/>
        <v>0</v>
      </c>
      <c r="AM130" s="84">
        <f t="shared" si="84"/>
        <v>0</v>
      </c>
      <c r="AN130" s="84">
        <f t="shared" si="84"/>
        <v>0</v>
      </c>
      <c r="AO130" s="84"/>
      <c r="AP130" s="84"/>
      <c r="AQ130" s="182"/>
    </row>
    <row r="131" spans="2:43" s="57" customFormat="1" ht="17.25" customHeight="1" x14ac:dyDescent="0.25">
      <c r="K131" s="58" t="s">
        <v>13</v>
      </c>
      <c r="M131" s="84"/>
      <c r="N131" s="84"/>
      <c r="O131" s="84"/>
      <c r="P131" s="84"/>
      <c r="Q131" s="84"/>
      <c r="R131" s="84"/>
      <c r="S131" s="84"/>
      <c r="T131" s="84"/>
      <c r="U131" s="84">
        <f>M130</f>
        <v>0</v>
      </c>
      <c r="V131" s="84">
        <f>N130</f>
        <v>0</v>
      </c>
      <c r="W131" s="84">
        <f>O130</f>
        <v>0</v>
      </c>
      <c r="X131" s="84">
        <f>P130</f>
        <v>0</v>
      </c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>
        <f>AC130</f>
        <v>0</v>
      </c>
      <c r="AL131" s="84">
        <f>AD130</f>
        <v>0</v>
      </c>
      <c r="AM131" s="84">
        <f>AE130</f>
        <v>0</v>
      </c>
      <c r="AN131" s="84">
        <f>AF130</f>
        <v>0</v>
      </c>
      <c r="AO131" s="84"/>
      <c r="AP131" s="85"/>
      <c r="AQ131" s="86"/>
    </row>
    <row r="132" spans="2:43" s="57" customFormat="1" ht="17.25" customHeight="1" x14ac:dyDescent="0.25">
      <c r="B132" s="57" t="s">
        <v>19</v>
      </c>
      <c r="E132" s="59" t="s">
        <v>8</v>
      </c>
      <c r="F132" s="59" t="s">
        <v>15</v>
      </c>
      <c r="G132" s="59" t="s">
        <v>32</v>
      </c>
      <c r="H132" s="59" t="s">
        <v>16</v>
      </c>
      <c r="J132" s="58" t="s">
        <v>9</v>
      </c>
      <c r="K132" s="58">
        <f>SUM(M132:AP132)/16</f>
        <v>0</v>
      </c>
      <c r="M132" s="87">
        <f t="shared" ref="M132:AP132" si="85">SUM(M134:M163)+M130+M129-M131</f>
        <v>0</v>
      </c>
      <c r="N132" s="87">
        <f t="shared" si="85"/>
        <v>0</v>
      </c>
      <c r="O132" s="87">
        <f t="shared" si="85"/>
        <v>0</v>
      </c>
      <c r="P132" s="87">
        <f t="shared" si="85"/>
        <v>0</v>
      </c>
      <c r="Q132" s="87">
        <f t="shared" si="85"/>
        <v>0</v>
      </c>
      <c r="R132" s="87">
        <f t="shared" si="85"/>
        <v>0</v>
      </c>
      <c r="S132" s="87">
        <f t="shared" si="85"/>
        <v>0</v>
      </c>
      <c r="T132" s="87">
        <f t="shared" si="85"/>
        <v>0</v>
      </c>
      <c r="U132" s="87">
        <f t="shared" si="85"/>
        <v>0</v>
      </c>
      <c r="V132" s="87">
        <f t="shared" si="85"/>
        <v>0</v>
      </c>
      <c r="W132" s="87">
        <f t="shared" si="85"/>
        <v>0</v>
      </c>
      <c r="X132" s="87">
        <f t="shared" si="85"/>
        <v>0</v>
      </c>
      <c r="Y132" s="87">
        <f t="shared" si="85"/>
        <v>0</v>
      </c>
      <c r="Z132" s="87">
        <f t="shared" si="85"/>
        <v>0</v>
      </c>
      <c r="AA132" s="87">
        <f t="shared" si="85"/>
        <v>0</v>
      </c>
      <c r="AB132" s="87">
        <f t="shared" si="85"/>
        <v>0</v>
      </c>
      <c r="AC132" s="87">
        <f t="shared" si="85"/>
        <v>0</v>
      </c>
      <c r="AD132" s="87">
        <f t="shared" si="85"/>
        <v>0</v>
      </c>
      <c r="AE132" s="87">
        <f t="shared" si="85"/>
        <v>0</v>
      </c>
      <c r="AF132" s="87">
        <f t="shared" si="85"/>
        <v>0</v>
      </c>
      <c r="AG132" s="87">
        <f t="shared" si="85"/>
        <v>0</v>
      </c>
      <c r="AH132" s="87">
        <f t="shared" si="85"/>
        <v>0</v>
      </c>
      <c r="AI132" s="87">
        <f t="shared" si="85"/>
        <v>0</v>
      </c>
      <c r="AJ132" s="87">
        <f t="shared" si="85"/>
        <v>0</v>
      </c>
      <c r="AK132" s="87">
        <f t="shared" si="85"/>
        <v>0</v>
      </c>
      <c r="AL132" s="87">
        <f t="shared" si="85"/>
        <v>0</v>
      </c>
      <c r="AM132" s="87">
        <f t="shared" si="85"/>
        <v>0</v>
      </c>
      <c r="AN132" s="87">
        <f t="shared" si="85"/>
        <v>0</v>
      </c>
      <c r="AO132" s="87">
        <f t="shared" si="85"/>
        <v>0</v>
      </c>
      <c r="AP132" s="87">
        <f t="shared" si="85"/>
        <v>0</v>
      </c>
      <c r="AQ132" s="87"/>
    </row>
    <row r="133" spans="2:43" s="88" customFormat="1" x14ac:dyDescent="0.25">
      <c r="E133" s="178">
        <f>SUM(E134:E163)</f>
        <v>0</v>
      </c>
      <c r="F133" s="178">
        <f>SUM(F134:F163)</f>
        <v>0</v>
      </c>
      <c r="G133" s="178">
        <f>SUM(G134:G163)</f>
        <v>0</v>
      </c>
      <c r="H133" s="178">
        <f>SUM(H134:H163)</f>
        <v>0</v>
      </c>
      <c r="I133" s="89"/>
      <c r="J133" s="89"/>
      <c r="K133" s="58" t="s">
        <v>7</v>
      </c>
      <c r="L133" s="89"/>
      <c r="M133" s="180">
        <f>SUMMARY!$H$6</f>
        <v>0</v>
      </c>
      <c r="N133" s="180">
        <f>SUMMARY!$H$7</f>
        <v>0</v>
      </c>
      <c r="O133" s="180">
        <f>SUMMARY!$H$8</f>
        <v>0</v>
      </c>
      <c r="P133" s="180">
        <f>SUMMARY!$H$9</f>
        <v>0</v>
      </c>
      <c r="Q133" s="180">
        <f>SUMMARY!$H$10</f>
        <v>0</v>
      </c>
      <c r="R133" s="180">
        <f>SUMMARY!$H$11</f>
        <v>0</v>
      </c>
      <c r="S133" s="180">
        <f>SUMMARY!$H$12</f>
        <v>0</v>
      </c>
      <c r="T133" s="180">
        <f>SUMMARY!$H$13</f>
        <v>0</v>
      </c>
      <c r="U133" s="180">
        <f>SUMMARY!$H$14</f>
        <v>0</v>
      </c>
      <c r="V133" s="180">
        <f>SUMMARY!$H$15</f>
        <v>0</v>
      </c>
      <c r="W133" s="180">
        <f>SUMMARY!$H$16</f>
        <v>0</v>
      </c>
      <c r="X133" s="180">
        <f>SUMMARY!$H$17</f>
        <v>0</v>
      </c>
      <c r="Y133" s="180">
        <f>SUMMARY!$H$18</f>
        <v>0</v>
      </c>
      <c r="Z133" s="180">
        <f>SUMMARY!$H$19</f>
        <v>0</v>
      </c>
      <c r="AA133" s="180">
        <f>SUMMARY!$H$20</f>
        <v>0</v>
      </c>
      <c r="AB133" s="180">
        <f>SUMMARY!$H$21</f>
        <v>0</v>
      </c>
      <c r="AC133" s="180">
        <f>SUMMARY!$H$22</f>
        <v>0</v>
      </c>
      <c r="AD133" s="180">
        <f>SUMMARY!$H$23</f>
        <v>0</v>
      </c>
      <c r="AE133" s="180">
        <f>SUMMARY!$H$24</f>
        <v>0</v>
      </c>
      <c r="AF133" s="180">
        <f>SUMMARY!$H$25</f>
        <v>0</v>
      </c>
      <c r="AG133" s="180">
        <f>SUMMARY!$H$26</f>
        <v>0</v>
      </c>
      <c r="AH133" s="180">
        <f>SUMMARY!$H$27</f>
        <v>0</v>
      </c>
      <c r="AI133" s="180">
        <f>SUMMARY!$H$28</f>
        <v>0</v>
      </c>
      <c r="AJ133" s="180">
        <f>SUMMARY!$H$29</f>
        <v>0</v>
      </c>
      <c r="AK133" s="180">
        <f>SUMMARY!$H$30</f>
        <v>0</v>
      </c>
      <c r="AL133" s="180">
        <f>SUMMARY!$H$31</f>
        <v>0</v>
      </c>
      <c r="AM133" s="180">
        <f>SUMMARY!$H$32</f>
        <v>0</v>
      </c>
      <c r="AN133" s="180">
        <f>SUMMARY!$H$33</f>
        <v>0</v>
      </c>
      <c r="AO133" s="180">
        <f>SUMMARY!$H$34</f>
        <v>0</v>
      </c>
      <c r="AP133" s="180">
        <f>SUMMARY!$H$35</f>
        <v>0</v>
      </c>
      <c r="AQ133" s="90"/>
    </row>
    <row r="134" spans="2:43" x14ac:dyDescent="0.25">
      <c r="B134" s="54">
        <v>0.29166666666424135</v>
      </c>
      <c r="C134" s="54">
        <v>0.645833333372138</v>
      </c>
      <c r="D134" s="60"/>
      <c r="E134" s="91">
        <f>SUMMARY!S6</f>
        <v>0</v>
      </c>
      <c r="F134" s="91"/>
      <c r="G134" s="91"/>
      <c r="H134" s="92">
        <f t="shared" ref="H134:H163" si="86">SUM(E134:G134)</f>
        <v>0</v>
      </c>
      <c r="I134" s="180">
        <f>M$132-M$133</f>
        <v>0</v>
      </c>
      <c r="M134" s="61">
        <f t="shared" ref="M134:V135" si="87">IF(AND(M$2&gt;=$B134,M$2&lt;$C134),$E134,0)</f>
        <v>0</v>
      </c>
      <c r="N134" s="61">
        <f t="shared" si="87"/>
        <v>0</v>
      </c>
      <c r="O134" s="61">
        <f t="shared" si="87"/>
        <v>0</v>
      </c>
      <c r="P134" s="61">
        <f t="shared" si="87"/>
        <v>0</v>
      </c>
      <c r="Q134" s="61">
        <f t="shared" si="87"/>
        <v>0</v>
      </c>
      <c r="R134" s="61">
        <f t="shared" si="87"/>
        <v>0</v>
      </c>
      <c r="S134" s="61">
        <f t="shared" si="87"/>
        <v>0</v>
      </c>
      <c r="T134" s="61">
        <f t="shared" si="87"/>
        <v>0</v>
      </c>
      <c r="U134" s="61">
        <f t="shared" si="87"/>
        <v>0</v>
      </c>
      <c r="V134" s="61">
        <f t="shared" si="87"/>
        <v>0</v>
      </c>
      <c r="W134" s="61">
        <f t="shared" ref="W134:AF135" si="88">IF(AND(W$2&gt;=$B134,W$2&lt;$C134),$E134,0)</f>
        <v>0</v>
      </c>
      <c r="X134" s="61">
        <f t="shared" si="88"/>
        <v>0</v>
      </c>
      <c r="Y134" s="61">
        <f t="shared" si="88"/>
        <v>0</v>
      </c>
      <c r="Z134" s="61">
        <f t="shared" si="88"/>
        <v>0</v>
      </c>
      <c r="AA134" s="61">
        <f t="shared" si="88"/>
        <v>0</v>
      </c>
      <c r="AB134" s="61">
        <f t="shared" si="88"/>
        <v>0</v>
      </c>
      <c r="AC134" s="61">
        <f t="shared" si="88"/>
        <v>0</v>
      </c>
      <c r="AD134" s="61">
        <f t="shared" si="88"/>
        <v>0</v>
      </c>
      <c r="AE134" s="61">
        <f t="shared" si="88"/>
        <v>0</v>
      </c>
      <c r="AF134" s="61">
        <f t="shared" si="88"/>
        <v>0</v>
      </c>
      <c r="AG134" s="61">
        <f t="shared" ref="AG134:AP135" si="89">IF(AND(AG$2&gt;=$B134,AG$2&lt;$C134),$E134,0)</f>
        <v>0</v>
      </c>
      <c r="AH134" s="61">
        <f t="shared" si="89"/>
        <v>0</v>
      </c>
      <c r="AI134" s="61">
        <f t="shared" si="89"/>
        <v>0</v>
      </c>
      <c r="AJ134" s="61">
        <f t="shared" si="89"/>
        <v>0</v>
      </c>
      <c r="AK134" s="61">
        <f t="shared" si="89"/>
        <v>0</v>
      </c>
      <c r="AL134" s="61">
        <f t="shared" si="89"/>
        <v>0</v>
      </c>
      <c r="AM134" s="61">
        <f t="shared" si="89"/>
        <v>0</v>
      </c>
      <c r="AN134" s="61">
        <f t="shared" si="89"/>
        <v>0</v>
      </c>
      <c r="AO134" s="61">
        <f t="shared" si="89"/>
        <v>0</v>
      </c>
      <c r="AP134" s="61">
        <f t="shared" si="89"/>
        <v>0</v>
      </c>
      <c r="AQ134" s="61"/>
    </row>
    <row r="135" spans="2:43" x14ac:dyDescent="0.25">
      <c r="B135" s="54">
        <v>0.3125</v>
      </c>
      <c r="C135" s="54">
        <v>0.66666666670789698</v>
      </c>
      <c r="D135" s="60"/>
      <c r="E135" s="91">
        <f>SUMMARY!S7</f>
        <v>0</v>
      </c>
      <c r="F135" s="91"/>
      <c r="G135" s="91"/>
      <c r="H135" s="92">
        <f t="shared" si="86"/>
        <v>0</v>
      </c>
      <c r="I135" s="180">
        <f>N$132-N$133</f>
        <v>0</v>
      </c>
      <c r="M135" s="61">
        <f t="shared" si="87"/>
        <v>0</v>
      </c>
      <c r="N135" s="61">
        <f t="shared" si="87"/>
        <v>0</v>
      </c>
      <c r="O135" s="61">
        <f t="shared" si="87"/>
        <v>0</v>
      </c>
      <c r="P135" s="61">
        <f t="shared" si="87"/>
        <v>0</v>
      </c>
      <c r="Q135" s="61">
        <f t="shared" si="87"/>
        <v>0</v>
      </c>
      <c r="R135" s="61">
        <f t="shared" si="87"/>
        <v>0</v>
      </c>
      <c r="S135" s="61">
        <f t="shared" si="87"/>
        <v>0</v>
      </c>
      <c r="T135" s="61">
        <f t="shared" si="87"/>
        <v>0</v>
      </c>
      <c r="U135" s="61">
        <f t="shared" si="87"/>
        <v>0</v>
      </c>
      <c r="V135" s="61">
        <f t="shared" si="87"/>
        <v>0</v>
      </c>
      <c r="W135" s="61">
        <f t="shared" si="88"/>
        <v>0</v>
      </c>
      <c r="X135" s="61">
        <f t="shared" si="88"/>
        <v>0</v>
      </c>
      <c r="Y135" s="61">
        <f t="shared" si="88"/>
        <v>0</v>
      </c>
      <c r="Z135" s="61">
        <f t="shared" si="88"/>
        <v>0</v>
      </c>
      <c r="AA135" s="61">
        <f t="shared" si="88"/>
        <v>0</v>
      </c>
      <c r="AB135" s="61">
        <f t="shared" si="88"/>
        <v>0</v>
      </c>
      <c r="AC135" s="61">
        <f t="shared" si="88"/>
        <v>0</v>
      </c>
      <c r="AD135" s="61">
        <f t="shared" si="88"/>
        <v>0</v>
      </c>
      <c r="AE135" s="61">
        <f t="shared" si="88"/>
        <v>0</v>
      </c>
      <c r="AF135" s="61">
        <f t="shared" si="88"/>
        <v>0</v>
      </c>
      <c r="AG135" s="61">
        <f t="shared" si="89"/>
        <v>0</v>
      </c>
      <c r="AH135" s="61">
        <f t="shared" si="89"/>
        <v>0</v>
      </c>
      <c r="AI135" s="61">
        <f t="shared" si="89"/>
        <v>0</v>
      </c>
      <c r="AJ135" s="61">
        <f t="shared" si="89"/>
        <v>0</v>
      </c>
      <c r="AK135" s="61">
        <f t="shared" si="89"/>
        <v>0</v>
      </c>
      <c r="AL135" s="61">
        <f t="shared" si="89"/>
        <v>0</v>
      </c>
      <c r="AM135" s="61">
        <f t="shared" si="89"/>
        <v>0</v>
      </c>
      <c r="AN135" s="61">
        <f t="shared" si="89"/>
        <v>0</v>
      </c>
      <c r="AO135" s="61">
        <f t="shared" si="89"/>
        <v>0</v>
      </c>
      <c r="AP135" s="61">
        <f t="shared" si="89"/>
        <v>0</v>
      </c>
      <c r="AQ135" s="61"/>
    </row>
    <row r="136" spans="2:43" x14ac:dyDescent="0.25">
      <c r="B136" s="54">
        <v>0.33333333333575865</v>
      </c>
      <c r="C136" s="54">
        <v>0.68750000004365597</v>
      </c>
      <c r="D136" s="60"/>
      <c r="E136" s="91">
        <f>SUMMARY!S8</f>
        <v>0</v>
      </c>
      <c r="F136" s="91"/>
      <c r="G136" s="91"/>
      <c r="H136" s="92">
        <f t="shared" si="86"/>
        <v>0</v>
      </c>
      <c r="I136" s="180">
        <f>O$132-O$133</f>
        <v>0</v>
      </c>
      <c r="M136" s="61">
        <f t="shared" ref="M136:V145" si="90">IF(AND(M$2&gt;=$B136,M$2&lt;$C136),$E136,0)</f>
        <v>0</v>
      </c>
      <c r="N136" s="61">
        <f t="shared" si="90"/>
        <v>0</v>
      </c>
      <c r="O136" s="61">
        <f t="shared" si="90"/>
        <v>0</v>
      </c>
      <c r="P136" s="61">
        <f t="shared" si="90"/>
        <v>0</v>
      </c>
      <c r="Q136" s="61">
        <f t="shared" si="90"/>
        <v>0</v>
      </c>
      <c r="R136" s="61">
        <f t="shared" si="90"/>
        <v>0</v>
      </c>
      <c r="S136" s="61">
        <f t="shared" si="90"/>
        <v>0</v>
      </c>
      <c r="T136" s="61">
        <f t="shared" si="90"/>
        <v>0</v>
      </c>
      <c r="U136" s="61">
        <f t="shared" si="90"/>
        <v>0</v>
      </c>
      <c r="V136" s="61">
        <f t="shared" si="90"/>
        <v>0</v>
      </c>
      <c r="W136" s="61">
        <f t="shared" ref="W136:AE145" si="91">IF(AND(W$2&gt;=$B136,W$2&lt;$C136),$E136,0)</f>
        <v>0</v>
      </c>
      <c r="X136" s="61">
        <f t="shared" si="91"/>
        <v>0</v>
      </c>
      <c r="Y136" s="61">
        <f t="shared" si="91"/>
        <v>0</v>
      </c>
      <c r="Z136" s="61">
        <f t="shared" si="91"/>
        <v>0</v>
      </c>
      <c r="AA136" s="61">
        <f t="shared" si="91"/>
        <v>0</v>
      </c>
      <c r="AB136" s="61">
        <f t="shared" si="91"/>
        <v>0</v>
      </c>
      <c r="AC136" s="61">
        <f t="shared" si="91"/>
        <v>0</v>
      </c>
      <c r="AD136" s="61">
        <f t="shared" si="91"/>
        <v>0</v>
      </c>
      <c r="AE136" s="61">
        <f t="shared" si="91"/>
        <v>0</v>
      </c>
      <c r="AF136" s="61"/>
      <c r="AG136" s="61">
        <f t="shared" ref="AG136:AP136" si="92">IF(AND(AG$2&gt;=$B136,AG$2&lt;$C136),$E136,0)</f>
        <v>0</v>
      </c>
      <c r="AH136" s="61">
        <f t="shared" si="92"/>
        <v>0</v>
      </c>
      <c r="AI136" s="61">
        <f t="shared" si="92"/>
        <v>0</v>
      </c>
      <c r="AJ136" s="61">
        <f t="shared" si="92"/>
        <v>0</v>
      </c>
      <c r="AK136" s="61">
        <f t="shared" si="92"/>
        <v>0</v>
      </c>
      <c r="AL136" s="61">
        <f t="shared" si="92"/>
        <v>0</v>
      </c>
      <c r="AM136" s="61">
        <f t="shared" si="92"/>
        <v>0</v>
      </c>
      <c r="AN136" s="61">
        <f t="shared" si="92"/>
        <v>0</v>
      </c>
      <c r="AO136" s="61">
        <f t="shared" si="92"/>
        <v>0</v>
      </c>
      <c r="AP136" s="61">
        <f t="shared" si="92"/>
        <v>0</v>
      </c>
      <c r="AQ136" s="61"/>
    </row>
    <row r="137" spans="2:43" x14ac:dyDescent="0.25">
      <c r="B137" s="54">
        <v>0.35416666666424135</v>
      </c>
      <c r="C137" s="54">
        <v>0.70833333337941495</v>
      </c>
      <c r="D137" s="60"/>
      <c r="E137" s="91">
        <f>SUMMARY!S9</f>
        <v>0</v>
      </c>
      <c r="F137" s="91"/>
      <c r="G137" s="91"/>
      <c r="H137" s="92">
        <f t="shared" si="86"/>
        <v>0</v>
      </c>
      <c r="I137" s="180">
        <f>P$132-P$133</f>
        <v>0</v>
      </c>
      <c r="M137" s="61">
        <f t="shared" si="90"/>
        <v>0</v>
      </c>
      <c r="N137" s="61">
        <f t="shared" si="90"/>
        <v>0</v>
      </c>
      <c r="O137" s="61">
        <f t="shared" si="90"/>
        <v>0</v>
      </c>
      <c r="P137" s="61">
        <f t="shared" si="90"/>
        <v>0</v>
      </c>
      <c r="Q137" s="61">
        <f t="shared" si="90"/>
        <v>0</v>
      </c>
      <c r="R137" s="61">
        <f t="shared" si="90"/>
        <v>0</v>
      </c>
      <c r="S137" s="61">
        <f t="shared" si="90"/>
        <v>0</v>
      </c>
      <c r="T137" s="61">
        <f t="shared" si="90"/>
        <v>0</v>
      </c>
      <c r="U137" s="61">
        <f t="shared" si="90"/>
        <v>0</v>
      </c>
      <c r="V137" s="61">
        <f t="shared" si="90"/>
        <v>0</v>
      </c>
      <c r="W137" s="61">
        <f t="shared" si="91"/>
        <v>0</v>
      </c>
      <c r="X137" s="61">
        <f t="shared" si="91"/>
        <v>0</v>
      </c>
      <c r="Y137" s="61">
        <f t="shared" si="91"/>
        <v>0</v>
      </c>
      <c r="Z137" s="61">
        <f t="shared" si="91"/>
        <v>0</v>
      </c>
      <c r="AA137" s="61">
        <f t="shared" si="91"/>
        <v>0</v>
      </c>
      <c r="AB137" s="61">
        <f t="shared" si="91"/>
        <v>0</v>
      </c>
      <c r="AC137" s="61">
        <f t="shared" si="91"/>
        <v>0</v>
      </c>
      <c r="AD137" s="61">
        <f t="shared" si="91"/>
        <v>0</v>
      </c>
      <c r="AE137" s="61">
        <f t="shared" si="91"/>
        <v>0</v>
      </c>
      <c r="AF137" s="61">
        <f t="shared" ref="AF137:AF163" si="93">IF(AND(AF$2&gt;=$B137,AF$2&lt;$C137),$E137,0)</f>
        <v>0</v>
      </c>
      <c r="AG137" s="61"/>
      <c r="AH137" s="61">
        <f t="shared" ref="AH137:AP137" si="94">IF(AND(AH$2&gt;=$B137,AH$2&lt;$C137),$E137,0)</f>
        <v>0</v>
      </c>
      <c r="AI137" s="61">
        <f t="shared" si="94"/>
        <v>0</v>
      </c>
      <c r="AJ137" s="61">
        <f t="shared" si="94"/>
        <v>0</v>
      </c>
      <c r="AK137" s="61">
        <f t="shared" si="94"/>
        <v>0</v>
      </c>
      <c r="AL137" s="61">
        <f t="shared" si="94"/>
        <v>0</v>
      </c>
      <c r="AM137" s="61">
        <f t="shared" si="94"/>
        <v>0</v>
      </c>
      <c r="AN137" s="61">
        <f t="shared" si="94"/>
        <v>0</v>
      </c>
      <c r="AO137" s="61">
        <f t="shared" si="94"/>
        <v>0</v>
      </c>
      <c r="AP137" s="61">
        <f t="shared" si="94"/>
        <v>0</v>
      </c>
      <c r="AQ137" s="61"/>
    </row>
    <row r="138" spans="2:43" x14ac:dyDescent="0.25">
      <c r="B138" s="54">
        <v>0.375</v>
      </c>
      <c r="C138" s="54">
        <v>0.72916666671517405</v>
      </c>
      <c r="D138" s="60"/>
      <c r="E138" s="91">
        <f>SUMMARY!S10</f>
        <v>0</v>
      </c>
      <c r="F138" s="91"/>
      <c r="G138" s="91"/>
      <c r="H138" s="92">
        <f t="shared" si="86"/>
        <v>0</v>
      </c>
      <c r="I138" s="180">
        <f>Q$132-Q$133</f>
        <v>0</v>
      </c>
      <c r="M138" s="61">
        <f t="shared" si="90"/>
        <v>0</v>
      </c>
      <c r="N138" s="61">
        <f t="shared" si="90"/>
        <v>0</v>
      </c>
      <c r="O138" s="61">
        <f t="shared" si="90"/>
        <v>0</v>
      </c>
      <c r="P138" s="61">
        <f t="shared" si="90"/>
        <v>0</v>
      </c>
      <c r="Q138" s="61">
        <f t="shared" si="90"/>
        <v>0</v>
      </c>
      <c r="R138" s="61">
        <f t="shared" si="90"/>
        <v>0</v>
      </c>
      <c r="S138" s="61">
        <f t="shared" si="90"/>
        <v>0</v>
      </c>
      <c r="T138" s="61">
        <f t="shared" si="90"/>
        <v>0</v>
      </c>
      <c r="U138" s="61">
        <f t="shared" si="90"/>
        <v>0</v>
      </c>
      <c r="V138" s="61">
        <f t="shared" si="90"/>
        <v>0</v>
      </c>
      <c r="W138" s="61">
        <f t="shared" si="91"/>
        <v>0</v>
      </c>
      <c r="X138" s="61">
        <f t="shared" si="91"/>
        <v>0</v>
      </c>
      <c r="Y138" s="61">
        <f t="shared" si="91"/>
        <v>0</v>
      </c>
      <c r="Z138" s="61">
        <f t="shared" si="91"/>
        <v>0</v>
      </c>
      <c r="AA138" s="61">
        <f t="shared" si="91"/>
        <v>0</v>
      </c>
      <c r="AB138" s="61">
        <f t="shared" si="91"/>
        <v>0</v>
      </c>
      <c r="AC138" s="61">
        <f t="shared" si="91"/>
        <v>0</v>
      </c>
      <c r="AD138" s="61">
        <f t="shared" si="91"/>
        <v>0</v>
      </c>
      <c r="AE138" s="61">
        <f t="shared" si="91"/>
        <v>0</v>
      </c>
      <c r="AF138" s="61">
        <f t="shared" si="93"/>
        <v>0</v>
      </c>
      <c r="AG138" s="61">
        <f t="shared" ref="AG138:AG163" si="95">IF(AND(AG$2&gt;=$B138,AG$2&lt;$C138),$E138,0)</f>
        <v>0</v>
      </c>
      <c r="AH138" s="61"/>
      <c r="AI138" s="61">
        <f t="shared" ref="AI138:AP138" si="96">IF(AND(AI$2&gt;=$B138,AI$2&lt;$C138),$E138,0)</f>
        <v>0</v>
      </c>
      <c r="AJ138" s="61">
        <f t="shared" si="96"/>
        <v>0</v>
      </c>
      <c r="AK138" s="61">
        <f t="shared" si="96"/>
        <v>0</v>
      </c>
      <c r="AL138" s="61">
        <f t="shared" si="96"/>
        <v>0</v>
      </c>
      <c r="AM138" s="61">
        <f t="shared" si="96"/>
        <v>0</v>
      </c>
      <c r="AN138" s="61">
        <f t="shared" si="96"/>
        <v>0</v>
      </c>
      <c r="AO138" s="61">
        <f t="shared" si="96"/>
        <v>0</v>
      </c>
      <c r="AP138" s="61">
        <f t="shared" si="96"/>
        <v>0</v>
      </c>
      <c r="AQ138" s="61"/>
    </row>
    <row r="139" spans="2:43" x14ac:dyDescent="0.25">
      <c r="B139" s="54">
        <v>0.39583333333575865</v>
      </c>
      <c r="C139" s="54">
        <v>0.75000000005093304</v>
      </c>
      <c r="D139" s="60"/>
      <c r="E139" s="91">
        <f>SUMMARY!S11</f>
        <v>0</v>
      </c>
      <c r="F139" s="91"/>
      <c r="G139" s="91"/>
      <c r="H139" s="92">
        <f t="shared" si="86"/>
        <v>0</v>
      </c>
      <c r="I139" s="180">
        <f>R$132-R$133</f>
        <v>0</v>
      </c>
      <c r="M139" s="61">
        <f t="shared" si="90"/>
        <v>0</v>
      </c>
      <c r="N139" s="61">
        <f t="shared" si="90"/>
        <v>0</v>
      </c>
      <c r="O139" s="61">
        <f t="shared" si="90"/>
        <v>0</v>
      </c>
      <c r="P139" s="61">
        <f t="shared" si="90"/>
        <v>0</v>
      </c>
      <c r="Q139" s="61">
        <f t="shared" si="90"/>
        <v>0</v>
      </c>
      <c r="R139" s="61">
        <f t="shared" si="90"/>
        <v>0</v>
      </c>
      <c r="S139" s="61">
        <f t="shared" si="90"/>
        <v>0</v>
      </c>
      <c r="T139" s="61">
        <f t="shared" si="90"/>
        <v>0</v>
      </c>
      <c r="U139" s="61">
        <f t="shared" si="90"/>
        <v>0</v>
      </c>
      <c r="V139" s="61">
        <f t="shared" si="90"/>
        <v>0</v>
      </c>
      <c r="W139" s="61">
        <f t="shared" si="91"/>
        <v>0</v>
      </c>
      <c r="X139" s="61">
        <f t="shared" si="91"/>
        <v>0</v>
      </c>
      <c r="Y139" s="61">
        <f t="shared" si="91"/>
        <v>0</v>
      </c>
      <c r="Z139" s="61">
        <f t="shared" si="91"/>
        <v>0</v>
      </c>
      <c r="AA139" s="61">
        <f t="shared" si="91"/>
        <v>0</v>
      </c>
      <c r="AB139" s="61">
        <f t="shared" si="91"/>
        <v>0</v>
      </c>
      <c r="AC139" s="61">
        <f t="shared" si="91"/>
        <v>0</v>
      </c>
      <c r="AD139" s="61">
        <f t="shared" si="91"/>
        <v>0</v>
      </c>
      <c r="AE139" s="61">
        <f t="shared" si="91"/>
        <v>0</v>
      </c>
      <c r="AF139" s="61">
        <f t="shared" si="93"/>
        <v>0</v>
      </c>
      <c r="AG139" s="61">
        <f t="shared" si="95"/>
        <v>0</v>
      </c>
      <c r="AH139" s="61">
        <f t="shared" ref="AH139:AH163" si="97">IF(AND(AH$2&gt;=$B139,AH$2&lt;$C139),$E139,0)</f>
        <v>0</v>
      </c>
      <c r="AI139" s="61"/>
      <c r="AJ139" s="61">
        <f t="shared" ref="AJ139:AP139" si="98">IF(AND(AJ$2&gt;=$B139,AJ$2&lt;$C139),$E139,0)</f>
        <v>0</v>
      </c>
      <c r="AK139" s="61">
        <f t="shared" si="98"/>
        <v>0</v>
      </c>
      <c r="AL139" s="61">
        <f t="shared" si="98"/>
        <v>0</v>
      </c>
      <c r="AM139" s="61">
        <f t="shared" si="98"/>
        <v>0</v>
      </c>
      <c r="AN139" s="61">
        <f t="shared" si="98"/>
        <v>0</v>
      </c>
      <c r="AO139" s="61">
        <f t="shared" si="98"/>
        <v>0</v>
      </c>
      <c r="AP139" s="61">
        <f t="shared" si="98"/>
        <v>0</v>
      </c>
      <c r="AQ139" s="61"/>
    </row>
    <row r="140" spans="2:43" x14ac:dyDescent="0.25">
      <c r="B140" s="54">
        <v>0.41666666666424135</v>
      </c>
      <c r="C140" s="54">
        <v>0.77083333338669202</v>
      </c>
      <c r="D140" s="60"/>
      <c r="E140" s="91">
        <f>SUMMARY!S12</f>
        <v>0</v>
      </c>
      <c r="F140" s="91"/>
      <c r="G140" s="91"/>
      <c r="H140" s="92">
        <f t="shared" si="86"/>
        <v>0</v>
      </c>
      <c r="I140" s="180">
        <f>S$132-S$133</f>
        <v>0</v>
      </c>
      <c r="M140" s="61">
        <f t="shared" si="90"/>
        <v>0</v>
      </c>
      <c r="N140" s="61">
        <f t="shared" si="90"/>
        <v>0</v>
      </c>
      <c r="O140" s="61">
        <f t="shared" si="90"/>
        <v>0</v>
      </c>
      <c r="P140" s="61">
        <f t="shared" si="90"/>
        <v>0</v>
      </c>
      <c r="Q140" s="61">
        <f t="shared" si="90"/>
        <v>0</v>
      </c>
      <c r="R140" s="61">
        <f t="shared" si="90"/>
        <v>0</v>
      </c>
      <c r="S140" s="61">
        <f t="shared" si="90"/>
        <v>0</v>
      </c>
      <c r="T140" s="61">
        <f t="shared" si="90"/>
        <v>0</v>
      </c>
      <c r="U140" s="61">
        <f t="shared" si="90"/>
        <v>0</v>
      </c>
      <c r="V140" s="61">
        <f t="shared" si="90"/>
        <v>0</v>
      </c>
      <c r="W140" s="61">
        <f t="shared" si="91"/>
        <v>0</v>
      </c>
      <c r="X140" s="61">
        <f t="shared" si="91"/>
        <v>0</v>
      </c>
      <c r="Y140" s="61">
        <f t="shared" si="91"/>
        <v>0</v>
      </c>
      <c r="Z140" s="61">
        <f t="shared" si="91"/>
        <v>0</v>
      </c>
      <c r="AA140" s="61">
        <f t="shared" si="91"/>
        <v>0</v>
      </c>
      <c r="AB140" s="61">
        <f t="shared" si="91"/>
        <v>0</v>
      </c>
      <c r="AC140" s="61">
        <f t="shared" si="91"/>
        <v>0</v>
      </c>
      <c r="AD140" s="61">
        <f t="shared" si="91"/>
        <v>0</v>
      </c>
      <c r="AE140" s="61">
        <f t="shared" si="91"/>
        <v>0</v>
      </c>
      <c r="AF140" s="61">
        <f t="shared" si="93"/>
        <v>0</v>
      </c>
      <c r="AG140" s="61">
        <f t="shared" si="95"/>
        <v>0</v>
      </c>
      <c r="AH140" s="61">
        <f t="shared" si="97"/>
        <v>0</v>
      </c>
      <c r="AI140" s="61">
        <f t="shared" ref="AI140:AI163" si="99">IF(AND(AI$2&gt;=$B140,AI$2&lt;$C140),$E140,0)</f>
        <v>0</v>
      </c>
      <c r="AJ140" s="61"/>
      <c r="AK140" s="61">
        <f t="shared" ref="AK140:AP140" si="100">IF(AND(AK$2&gt;=$B140,AK$2&lt;$C140),$E140,0)</f>
        <v>0</v>
      </c>
      <c r="AL140" s="61">
        <f t="shared" si="100"/>
        <v>0</v>
      </c>
      <c r="AM140" s="61">
        <f t="shared" si="100"/>
        <v>0</v>
      </c>
      <c r="AN140" s="61">
        <f t="shared" si="100"/>
        <v>0</v>
      </c>
      <c r="AO140" s="61">
        <f t="shared" si="100"/>
        <v>0</v>
      </c>
      <c r="AP140" s="61">
        <f t="shared" si="100"/>
        <v>0</v>
      </c>
      <c r="AQ140" s="61"/>
    </row>
    <row r="141" spans="2:43" x14ac:dyDescent="0.25">
      <c r="B141" s="54">
        <v>0.4375</v>
      </c>
      <c r="C141" s="54">
        <v>0.79166666672245101</v>
      </c>
      <c r="D141" s="60"/>
      <c r="E141" s="91">
        <f>SUMMARY!S13</f>
        <v>0</v>
      </c>
      <c r="F141" s="91"/>
      <c r="G141" s="91"/>
      <c r="H141" s="92">
        <f t="shared" si="86"/>
        <v>0</v>
      </c>
      <c r="I141" s="180">
        <f>T$132-T$133</f>
        <v>0</v>
      </c>
      <c r="M141" s="61">
        <f t="shared" si="90"/>
        <v>0</v>
      </c>
      <c r="N141" s="61">
        <f t="shared" si="90"/>
        <v>0</v>
      </c>
      <c r="O141" s="61">
        <f t="shared" si="90"/>
        <v>0</v>
      </c>
      <c r="P141" s="61">
        <f t="shared" si="90"/>
        <v>0</v>
      </c>
      <c r="Q141" s="61">
        <f t="shared" si="90"/>
        <v>0</v>
      </c>
      <c r="R141" s="61">
        <f t="shared" si="90"/>
        <v>0</v>
      </c>
      <c r="S141" s="61">
        <f t="shared" si="90"/>
        <v>0</v>
      </c>
      <c r="T141" s="61">
        <f t="shared" si="90"/>
        <v>0</v>
      </c>
      <c r="U141" s="61">
        <f t="shared" si="90"/>
        <v>0</v>
      </c>
      <c r="V141" s="61">
        <f t="shared" si="90"/>
        <v>0</v>
      </c>
      <c r="W141" s="61">
        <f t="shared" si="91"/>
        <v>0</v>
      </c>
      <c r="X141" s="61">
        <f t="shared" si="91"/>
        <v>0</v>
      </c>
      <c r="Y141" s="61">
        <f t="shared" si="91"/>
        <v>0</v>
      </c>
      <c r="Z141" s="61">
        <f t="shared" si="91"/>
        <v>0</v>
      </c>
      <c r="AA141" s="61">
        <f t="shared" si="91"/>
        <v>0</v>
      </c>
      <c r="AB141" s="61">
        <f t="shared" si="91"/>
        <v>0</v>
      </c>
      <c r="AC141" s="61">
        <f t="shared" si="91"/>
        <v>0</v>
      </c>
      <c r="AD141" s="61">
        <f t="shared" si="91"/>
        <v>0</v>
      </c>
      <c r="AE141" s="61">
        <f t="shared" si="91"/>
        <v>0</v>
      </c>
      <c r="AF141" s="61">
        <f t="shared" si="93"/>
        <v>0</v>
      </c>
      <c r="AG141" s="61">
        <f t="shared" si="95"/>
        <v>0</v>
      </c>
      <c r="AH141" s="61">
        <f t="shared" si="97"/>
        <v>0</v>
      </c>
      <c r="AI141" s="61">
        <f t="shared" si="99"/>
        <v>0</v>
      </c>
      <c r="AJ141" s="61">
        <f t="shared" ref="AJ141:AJ163" si="101">IF(AND(AJ$2&gt;=$B141,AJ$2&lt;$C141),$E141,0)</f>
        <v>0</v>
      </c>
      <c r="AK141" s="61"/>
      <c r="AL141" s="61">
        <f>IF(AND(AL$2&gt;=$B141,AL$2&lt;$C141),$E141,0)</f>
        <v>0</v>
      </c>
      <c r="AM141" s="61">
        <f>IF(AND(AM$2&gt;=$B141,AM$2&lt;$C141),$E141,0)</f>
        <v>0</v>
      </c>
      <c r="AN141" s="61">
        <f>IF(AND(AN$2&gt;=$B141,AN$2&lt;$C141),$E141,0)</f>
        <v>0</v>
      </c>
      <c r="AO141" s="61">
        <f>IF(AND(AO$2&gt;=$B141,AO$2&lt;$C141),$E141,0)</f>
        <v>0</v>
      </c>
      <c r="AP141" s="61">
        <f>IF(AND(AP$2&gt;=$B141,AP$2&lt;$C141),$E141,0)</f>
        <v>0</v>
      </c>
      <c r="AQ141" s="61"/>
    </row>
    <row r="142" spans="2:43" x14ac:dyDescent="0.25">
      <c r="B142" s="54">
        <v>0.45833333333575865</v>
      </c>
      <c r="C142" s="54">
        <v>0.81250000005820999</v>
      </c>
      <c r="D142" s="60"/>
      <c r="E142" s="91">
        <f>SUMMARY!S14</f>
        <v>0</v>
      </c>
      <c r="F142" s="91"/>
      <c r="G142" s="91"/>
      <c r="H142" s="92">
        <f t="shared" si="86"/>
        <v>0</v>
      </c>
      <c r="I142" s="180">
        <f>U$132-U$133</f>
        <v>0</v>
      </c>
      <c r="M142" s="61">
        <f t="shared" si="90"/>
        <v>0</v>
      </c>
      <c r="N142" s="61">
        <f t="shared" si="90"/>
        <v>0</v>
      </c>
      <c r="O142" s="61">
        <f t="shared" si="90"/>
        <v>0</v>
      </c>
      <c r="P142" s="61">
        <f t="shared" si="90"/>
        <v>0</v>
      </c>
      <c r="Q142" s="61">
        <f t="shared" si="90"/>
        <v>0</v>
      </c>
      <c r="R142" s="61">
        <f t="shared" si="90"/>
        <v>0</v>
      </c>
      <c r="S142" s="61">
        <f t="shared" si="90"/>
        <v>0</v>
      </c>
      <c r="T142" s="61">
        <f t="shared" si="90"/>
        <v>0</v>
      </c>
      <c r="U142" s="61">
        <f t="shared" si="90"/>
        <v>0</v>
      </c>
      <c r="V142" s="61">
        <f t="shared" si="90"/>
        <v>0</v>
      </c>
      <c r="W142" s="61">
        <f t="shared" si="91"/>
        <v>0</v>
      </c>
      <c r="X142" s="61">
        <f t="shared" si="91"/>
        <v>0</v>
      </c>
      <c r="Y142" s="61">
        <f t="shared" si="91"/>
        <v>0</v>
      </c>
      <c r="Z142" s="61">
        <f t="shared" si="91"/>
        <v>0</v>
      </c>
      <c r="AA142" s="61">
        <f t="shared" si="91"/>
        <v>0</v>
      </c>
      <c r="AB142" s="61">
        <f t="shared" si="91"/>
        <v>0</v>
      </c>
      <c r="AC142" s="61">
        <f t="shared" si="91"/>
        <v>0</v>
      </c>
      <c r="AD142" s="61">
        <f t="shared" si="91"/>
        <v>0</v>
      </c>
      <c r="AE142" s="61">
        <f t="shared" si="91"/>
        <v>0</v>
      </c>
      <c r="AF142" s="61">
        <f t="shared" si="93"/>
        <v>0</v>
      </c>
      <c r="AG142" s="61">
        <f t="shared" si="95"/>
        <v>0</v>
      </c>
      <c r="AH142" s="61">
        <f t="shared" si="97"/>
        <v>0</v>
      </c>
      <c r="AI142" s="61">
        <f t="shared" si="99"/>
        <v>0</v>
      </c>
      <c r="AJ142" s="61">
        <f t="shared" si="101"/>
        <v>0</v>
      </c>
      <c r="AK142" s="61">
        <f t="shared" ref="AK142:AK163" si="102">IF(AND(AK$2&gt;=$B142,AK$2&lt;$C142),$E142,0)</f>
        <v>0</v>
      </c>
      <c r="AL142" s="61"/>
      <c r="AM142" s="61">
        <f>IF(AND(AM$2&gt;=$B142,AM$2&lt;$C142),$E142,0)</f>
        <v>0</v>
      </c>
      <c r="AN142" s="61">
        <f>IF(AND(AN$2&gt;=$B142,AN$2&lt;$C142),$E142,0)</f>
        <v>0</v>
      </c>
      <c r="AO142" s="61">
        <f>IF(AND(AO$2&gt;=$B142,AO$2&lt;$C142),$E142,0)</f>
        <v>0</v>
      </c>
      <c r="AP142" s="61">
        <f>IF(AND(AP$2&gt;=$B142,AP$2&lt;$C142),$E142,0)</f>
        <v>0</v>
      </c>
      <c r="AQ142" s="61"/>
    </row>
    <row r="143" spans="2:43" x14ac:dyDescent="0.25">
      <c r="B143" s="54">
        <v>0.47916666666424135</v>
      </c>
      <c r="C143" s="54">
        <v>0.83333333339396898</v>
      </c>
      <c r="D143" s="60"/>
      <c r="E143" s="91">
        <f>SUMMARY!S15</f>
        <v>0</v>
      </c>
      <c r="G143" s="91"/>
      <c r="H143" s="92">
        <f t="shared" si="86"/>
        <v>0</v>
      </c>
      <c r="I143" s="180">
        <f>V$132-V$133</f>
        <v>0</v>
      </c>
      <c r="M143" s="61">
        <f t="shared" si="90"/>
        <v>0</v>
      </c>
      <c r="N143" s="61">
        <f t="shared" si="90"/>
        <v>0</v>
      </c>
      <c r="O143" s="61">
        <f t="shared" si="90"/>
        <v>0</v>
      </c>
      <c r="P143" s="61">
        <f t="shared" si="90"/>
        <v>0</v>
      </c>
      <c r="Q143" s="61">
        <f t="shared" si="90"/>
        <v>0</v>
      </c>
      <c r="R143" s="61">
        <f t="shared" si="90"/>
        <v>0</v>
      </c>
      <c r="S143" s="61">
        <f t="shared" si="90"/>
        <v>0</v>
      </c>
      <c r="T143" s="61">
        <f t="shared" si="90"/>
        <v>0</v>
      </c>
      <c r="U143" s="61">
        <f t="shared" si="90"/>
        <v>0</v>
      </c>
      <c r="V143" s="61">
        <f t="shared" si="90"/>
        <v>0</v>
      </c>
      <c r="W143" s="61">
        <f t="shared" si="91"/>
        <v>0</v>
      </c>
      <c r="X143" s="61">
        <f t="shared" si="91"/>
        <v>0</v>
      </c>
      <c r="Y143" s="61">
        <f t="shared" si="91"/>
        <v>0</v>
      </c>
      <c r="Z143" s="61">
        <f t="shared" si="91"/>
        <v>0</v>
      </c>
      <c r="AA143" s="61">
        <f t="shared" si="91"/>
        <v>0</v>
      </c>
      <c r="AB143" s="61">
        <f t="shared" si="91"/>
        <v>0</v>
      </c>
      <c r="AC143" s="61">
        <f t="shared" si="91"/>
        <v>0</v>
      </c>
      <c r="AD143" s="61">
        <f t="shared" si="91"/>
        <v>0</v>
      </c>
      <c r="AE143" s="61">
        <f t="shared" si="91"/>
        <v>0</v>
      </c>
      <c r="AF143" s="61">
        <f t="shared" si="93"/>
        <v>0</v>
      </c>
      <c r="AG143" s="61">
        <f t="shared" si="95"/>
        <v>0</v>
      </c>
      <c r="AH143" s="61">
        <f t="shared" si="97"/>
        <v>0</v>
      </c>
      <c r="AI143" s="61">
        <f t="shared" si="99"/>
        <v>0</v>
      </c>
      <c r="AJ143" s="61">
        <f t="shared" si="101"/>
        <v>0</v>
      </c>
      <c r="AK143" s="61">
        <f t="shared" si="102"/>
        <v>0</v>
      </c>
      <c r="AL143" s="61">
        <f t="shared" ref="AL143:AL163" si="103">IF(AND(AL$2&gt;=$B143,AL$2&lt;$C143),$E143,0)</f>
        <v>0</v>
      </c>
      <c r="AM143" s="61"/>
      <c r="AN143" s="61">
        <f>IF(AND(AN$2&gt;=$B143,AN$2&lt;$C143),$E143,0)</f>
        <v>0</v>
      </c>
      <c r="AO143" s="61">
        <f>IF(AND(AO$2&gt;=$B143,AO$2&lt;$C143),$E143,0)</f>
        <v>0</v>
      </c>
      <c r="AP143" s="61">
        <f>IF(AND(AP$2&gt;=$B143,AP$2&lt;$C143),$E143,0)</f>
        <v>0</v>
      </c>
      <c r="AQ143" s="61"/>
    </row>
    <row r="144" spans="2:43" x14ac:dyDescent="0.25">
      <c r="B144" s="54">
        <v>0.5</v>
      </c>
      <c r="C144" s="54">
        <v>0.85416666672972796</v>
      </c>
      <c r="D144" s="60"/>
      <c r="E144" s="91">
        <f>SUMMARY!S16</f>
        <v>0</v>
      </c>
      <c r="G144" s="91"/>
      <c r="H144" s="92">
        <f t="shared" si="86"/>
        <v>0</v>
      </c>
      <c r="I144" s="180">
        <f>W$132-W$133</f>
        <v>0</v>
      </c>
      <c r="M144" s="61">
        <f t="shared" si="90"/>
        <v>0</v>
      </c>
      <c r="N144" s="61">
        <f t="shared" si="90"/>
        <v>0</v>
      </c>
      <c r="O144" s="61">
        <f t="shared" si="90"/>
        <v>0</v>
      </c>
      <c r="P144" s="61">
        <f t="shared" si="90"/>
        <v>0</v>
      </c>
      <c r="Q144" s="61">
        <f t="shared" si="90"/>
        <v>0</v>
      </c>
      <c r="R144" s="61">
        <f t="shared" si="90"/>
        <v>0</v>
      </c>
      <c r="S144" s="61">
        <f t="shared" si="90"/>
        <v>0</v>
      </c>
      <c r="T144" s="61">
        <f t="shared" si="90"/>
        <v>0</v>
      </c>
      <c r="U144" s="61">
        <f t="shared" si="90"/>
        <v>0</v>
      </c>
      <c r="V144" s="61">
        <f t="shared" si="90"/>
        <v>0</v>
      </c>
      <c r="W144" s="61">
        <f t="shared" si="91"/>
        <v>0</v>
      </c>
      <c r="X144" s="61">
        <f t="shared" si="91"/>
        <v>0</v>
      </c>
      <c r="Y144" s="61">
        <f t="shared" si="91"/>
        <v>0</v>
      </c>
      <c r="Z144" s="61">
        <f t="shared" si="91"/>
        <v>0</v>
      </c>
      <c r="AA144" s="61">
        <f t="shared" si="91"/>
        <v>0</v>
      </c>
      <c r="AB144" s="61">
        <f t="shared" si="91"/>
        <v>0</v>
      </c>
      <c r="AC144" s="61">
        <f t="shared" si="91"/>
        <v>0</v>
      </c>
      <c r="AD144" s="61">
        <f t="shared" si="91"/>
        <v>0</v>
      </c>
      <c r="AE144" s="61">
        <f t="shared" si="91"/>
        <v>0</v>
      </c>
      <c r="AF144" s="61">
        <f t="shared" si="93"/>
        <v>0</v>
      </c>
      <c r="AG144" s="61">
        <f t="shared" si="95"/>
        <v>0</v>
      </c>
      <c r="AH144" s="61">
        <f t="shared" si="97"/>
        <v>0</v>
      </c>
      <c r="AI144" s="61">
        <f t="shared" si="99"/>
        <v>0</v>
      </c>
      <c r="AJ144" s="61">
        <f t="shared" si="101"/>
        <v>0</v>
      </c>
      <c r="AK144" s="61">
        <f t="shared" si="102"/>
        <v>0</v>
      </c>
      <c r="AL144" s="61">
        <f t="shared" si="103"/>
        <v>0</v>
      </c>
      <c r="AM144" s="61">
        <f t="shared" ref="AM144:AM163" si="104">IF(AND(AM$2&gt;=$B144,AM$2&lt;$C144),$E144,0)</f>
        <v>0</v>
      </c>
      <c r="AN144" s="61"/>
      <c r="AO144" s="61">
        <f>IF(AND(AO$2&gt;=$B144,AO$2&lt;$C144),$E144,0)</f>
        <v>0</v>
      </c>
      <c r="AP144" s="61">
        <f>IF(AND(AP$2&gt;=$B144,AP$2&lt;$C144),$E144,0)</f>
        <v>0</v>
      </c>
      <c r="AQ144" s="61"/>
    </row>
    <row r="145" spans="2:43" x14ac:dyDescent="0.25">
      <c r="B145" s="54">
        <v>0.52083333333575865</v>
      </c>
      <c r="C145" s="54">
        <v>0.87500000006548695</v>
      </c>
      <c r="D145" s="60"/>
      <c r="E145" s="91">
        <f>SUMMARY!S17</f>
        <v>0</v>
      </c>
      <c r="G145" s="91"/>
      <c r="H145" s="92">
        <f t="shared" si="86"/>
        <v>0</v>
      </c>
      <c r="I145" s="180">
        <f>X$132-X$133</f>
        <v>0</v>
      </c>
      <c r="M145" s="61">
        <f t="shared" si="90"/>
        <v>0</v>
      </c>
      <c r="N145" s="61">
        <f t="shared" si="90"/>
        <v>0</v>
      </c>
      <c r="O145" s="61">
        <f t="shared" si="90"/>
        <v>0</v>
      </c>
      <c r="P145" s="61">
        <f t="shared" si="90"/>
        <v>0</v>
      </c>
      <c r="Q145" s="61">
        <f t="shared" si="90"/>
        <v>0</v>
      </c>
      <c r="R145" s="61">
        <f t="shared" si="90"/>
        <v>0</v>
      </c>
      <c r="S145" s="61">
        <f t="shared" si="90"/>
        <v>0</v>
      </c>
      <c r="T145" s="61">
        <f t="shared" si="90"/>
        <v>0</v>
      </c>
      <c r="U145" s="61">
        <f t="shared" si="90"/>
        <v>0</v>
      </c>
      <c r="V145" s="61">
        <f t="shared" si="90"/>
        <v>0</v>
      </c>
      <c r="W145" s="61">
        <f t="shared" si="91"/>
        <v>0</v>
      </c>
      <c r="X145" s="61">
        <f t="shared" si="91"/>
        <v>0</v>
      </c>
      <c r="Y145" s="61">
        <f t="shared" si="91"/>
        <v>0</v>
      </c>
      <c r="Z145" s="61">
        <f t="shared" si="91"/>
        <v>0</v>
      </c>
      <c r="AA145" s="61">
        <f t="shared" si="91"/>
        <v>0</v>
      </c>
      <c r="AB145" s="61">
        <f t="shared" si="91"/>
        <v>0</v>
      </c>
      <c r="AC145" s="61">
        <f t="shared" si="91"/>
        <v>0</v>
      </c>
      <c r="AD145" s="61">
        <f t="shared" si="91"/>
        <v>0</v>
      </c>
      <c r="AE145" s="61">
        <f t="shared" si="91"/>
        <v>0</v>
      </c>
      <c r="AF145" s="61">
        <f t="shared" si="93"/>
        <v>0</v>
      </c>
      <c r="AG145" s="61">
        <f t="shared" si="95"/>
        <v>0</v>
      </c>
      <c r="AH145" s="61">
        <f t="shared" si="97"/>
        <v>0</v>
      </c>
      <c r="AI145" s="61">
        <f t="shared" si="99"/>
        <v>0</v>
      </c>
      <c r="AJ145" s="61">
        <f t="shared" si="101"/>
        <v>0</v>
      </c>
      <c r="AK145" s="61">
        <f t="shared" si="102"/>
        <v>0</v>
      </c>
      <c r="AL145" s="61">
        <f t="shared" si="103"/>
        <v>0</v>
      </c>
      <c r="AM145" s="61">
        <f t="shared" si="104"/>
        <v>0</v>
      </c>
      <c r="AN145" s="61">
        <f t="shared" ref="AN145:AN163" si="105">IF(AND(AN$2&gt;=$B145,AN$2&lt;$C145),$E145,0)</f>
        <v>0</v>
      </c>
      <c r="AO145" s="61"/>
      <c r="AP145" s="61">
        <f>IF(AND(AP$2&gt;=$B145,AP$2&lt;$C145),$E145,0)</f>
        <v>0</v>
      </c>
      <c r="AQ145" s="61"/>
    </row>
    <row r="146" spans="2:43" x14ac:dyDescent="0.25">
      <c r="B146" s="54">
        <v>0.54166666666424135</v>
      </c>
      <c r="C146" s="54">
        <v>0.89583333340124605</v>
      </c>
      <c r="D146" s="60"/>
      <c r="E146" s="91">
        <f>SUMMARY!S18</f>
        <v>0</v>
      </c>
      <c r="G146" s="91"/>
      <c r="H146" s="92">
        <f t="shared" si="86"/>
        <v>0</v>
      </c>
      <c r="I146" s="180">
        <f>Y$132-Y$133</f>
        <v>0</v>
      </c>
      <c r="M146" s="61">
        <f t="shared" ref="M146:V155" si="106">IF(AND(M$2&gt;=$B146,M$2&lt;$C146),$E146,0)</f>
        <v>0</v>
      </c>
      <c r="N146" s="61">
        <f t="shared" si="106"/>
        <v>0</v>
      </c>
      <c r="O146" s="61">
        <f t="shared" si="106"/>
        <v>0</v>
      </c>
      <c r="P146" s="61">
        <f t="shared" si="106"/>
        <v>0</v>
      </c>
      <c r="Q146" s="61">
        <f t="shared" si="106"/>
        <v>0</v>
      </c>
      <c r="R146" s="61">
        <f t="shared" si="106"/>
        <v>0</v>
      </c>
      <c r="S146" s="61">
        <f t="shared" si="106"/>
        <v>0</v>
      </c>
      <c r="T146" s="61">
        <f t="shared" si="106"/>
        <v>0</v>
      </c>
      <c r="U146" s="61">
        <f t="shared" si="106"/>
        <v>0</v>
      </c>
      <c r="V146" s="61">
        <f t="shared" si="106"/>
        <v>0</v>
      </c>
      <c r="W146" s="61">
        <f t="shared" ref="W146:AE155" si="107">IF(AND(W$2&gt;=$B146,W$2&lt;$C146),$E146,0)</f>
        <v>0</v>
      </c>
      <c r="X146" s="61">
        <f t="shared" si="107"/>
        <v>0</v>
      </c>
      <c r="Y146" s="61">
        <f t="shared" si="107"/>
        <v>0</v>
      </c>
      <c r="Z146" s="61">
        <f t="shared" si="107"/>
        <v>0</v>
      </c>
      <c r="AA146" s="61">
        <f t="shared" si="107"/>
        <v>0</v>
      </c>
      <c r="AB146" s="61">
        <f t="shared" si="107"/>
        <v>0</v>
      </c>
      <c r="AC146" s="61">
        <f t="shared" si="107"/>
        <v>0</v>
      </c>
      <c r="AD146" s="61">
        <f t="shared" si="107"/>
        <v>0</v>
      </c>
      <c r="AE146" s="61">
        <f t="shared" si="107"/>
        <v>0</v>
      </c>
      <c r="AF146" s="61">
        <f t="shared" si="93"/>
        <v>0</v>
      </c>
      <c r="AG146" s="61">
        <f t="shared" si="95"/>
        <v>0</v>
      </c>
      <c r="AH146" s="61">
        <f t="shared" si="97"/>
        <v>0</v>
      </c>
      <c r="AI146" s="61">
        <f t="shared" si="99"/>
        <v>0</v>
      </c>
      <c r="AJ146" s="61">
        <f t="shared" si="101"/>
        <v>0</v>
      </c>
      <c r="AK146" s="61">
        <f t="shared" si="102"/>
        <v>0</v>
      </c>
      <c r="AL146" s="61">
        <f t="shared" si="103"/>
        <v>0</v>
      </c>
      <c r="AM146" s="61">
        <f t="shared" si="104"/>
        <v>0</v>
      </c>
      <c r="AN146" s="61">
        <f t="shared" si="105"/>
        <v>0</v>
      </c>
      <c r="AO146" s="61">
        <f t="shared" ref="AO146:AO163" si="108">IF(AND(AO$2&gt;=$B146,AO$2&lt;$C146),$E146,0)</f>
        <v>0</v>
      </c>
      <c r="AP146" s="61"/>
      <c r="AQ146" s="61"/>
    </row>
    <row r="147" spans="2:43" x14ac:dyDescent="0.25">
      <c r="B147" s="54">
        <v>0.5625</v>
      </c>
      <c r="C147" s="54">
        <v>0.91666666673700503</v>
      </c>
      <c r="D147" s="60"/>
      <c r="E147" s="91">
        <f>SUMMARY!S19</f>
        <v>0</v>
      </c>
      <c r="G147" s="91"/>
      <c r="H147" s="92">
        <f t="shared" si="86"/>
        <v>0</v>
      </c>
      <c r="I147" s="180">
        <f>Z$132-Z$133</f>
        <v>0</v>
      </c>
      <c r="M147" s="61">
        <f t="shared" si="106"/>
        <v>0</v>
      </c>
      <c r="N147" s="61">
        <f t="shared" si="106"/>
        <v>0</v>
      </c>
      <c r="O147" s="61">
        <f t="shared" si="106"/>
        <v>0</v>
      </c>
      <c r="P147" s="61">
        <f t="shared" si="106"/>
        <v>0</v>
      </c>
      <c r="Q147" s="61">
        <f t="shared" si="106"/>
        <v>0</v>
      </c>
      <c r="R147" s="61">
        <f t="shared" si="106"/>
        <v>0</v>
      </c>
      <c r="S147" s="61">
        <f t="shared" si="106"/>
        <v>0</v>
      </c>
      <c r="T147" s="61">
        <f t="shared" si="106"/>
        <v>0</v>
      </c>
      <c r="U147" s="61">
        <f t="shared" si="106"/>
        <v>0</v>
      </c>
      <c r="V147" s="61">
        <f t="shared" si="106"/>
        <v>0</v>
      </c>
      <c r="W147" s="61">
        <f t="shared" si="107"/>
        <v>0</v>
      </c>
      <c r="X147" s="61">
        <f t="shared" si="107"/>
        <v>0</v>
      </c>
      <c r="Y147" s="61">
        <f t="shared" si="107"/>
        <v>0</v>
      </c>
      <c r="Z147" s="61">
        <f t="shared" si="107"/>
        <v>0</v>
      </c>
      <c r="AA147" s="61">
        <f t="shared" si="107"/>
        <v>0</v>
      </c>
      <c r="AB147" s="61">
        <f t="shared" si="107"/>
        <v>0</v>
      </c>
      <c r="AC147" s="61">
        <f t="shared" si="107"/>
        <v>0</v>
      </c>
      <c r="AD147" s="61">
        <f t="shared" si="107"/>
        <v>0</v>
      </c>
      <c r="AE147" s="61">
        <f t="shared" si="107"/>
        <v>0</v>
      </c>
      <c r="AF147" s="61">
        <f t="shared" si="93"/>
        <v>0</v>
      </c>
      <c r="AG147" s="61">
        <f t="shared" si="95"/>
        <v>0</v>
      </c>
      <c r="AH147" s="61">
        <f t="shared" si="97"/>
        <v>0</v>
      </c>
      <c r="AI147" s="61">
        <f t="shared" si="99"/>
        <v>0</v>
      </c>
      <c r="AJ147" s="61">
        <f t="shared" si="101"/>
        <v>0</v>
      </c>
      <c r="AK147" s="61">
        <f t="shared" si="102"/>
        <v>0</v>
      </c>
      <c r="AL147" s="61">
        <f t="shared" si="103"/>
        <v>0</v>
      </c>
      <c r="AM147" s="61">
        <f t="shared" si="104"/>
        <v>0</v>
      </c>
      <c r="AN147" s="61">
        <f t="shared" si="105"/>
        <v>0</v>
      </c>
      <c r="AO147" s="61">
        <f t="shared" si="108"/>
        <v>0</v>
      </c>
      <c r="AP147" s="61">
        <f t="shared" ref="AP147:AP163" si="109">IF(AND(AP$2&gt;=$B147,AP$2&lt;$C147),$E147,0)</f>
        <v>0</v>
      </c>
      <c r="AQ147" s="61"/>
    </row>
    <row r="148" spans="2:43" x14ac:dyDescent="0.25">
      <c r="B148" s="54">
        <v>0.58333333333575899</v>
      </c>
      <c r="C148" s="54">
        <v>0.93750000007276402</v>
      </c>
      <c r="D148" s="60"/>
      <c r="E148" s="91"/>
      <c r="G148" s="91"/>
      <c r="H148" s="92">
        <f t="shared" si="86"/>
        <v>0</v>
      </c>
      <c r="I148" s="180">
        <f>AA$132-AA$133</f>
        <v>0</v>
      </c>
      <c r="M148" s="61">
        <f t="shared" si="106"/>
        <v>0</v>
      </c>
      <c r="N148" s="61">
        <f t="shared" si="106"/>
        <v>0</v>
      </c>
      <c r="O148" s="61">
        <f t="shared" si="106"/>
        <v>0</v>
      </c>
      <c r="P148" s="61">
        <f t="shared" si="106"/>
        <v>0</v>
      </c>
      <c r="Q148" s="61">
        <f t="shared" si="106"/>
        <v>0</v>
      </c>
      <c r="R148" s="61">
        <f t="shared" si="106"/>
        <v>0</v>
      </c>
      <c r="S148" s="61">
        <f t="shared" si="106"/>
        <v>0</v>
      </c>
      <c r="T148" s="61">
        <f t="shared" si="106"/>
        <v>0</v>
      </c>
      <c r="U148" s="61">
        <f t="shared" si="106"/>
        <v>0</v>
      </c>
      <c r="V148" s="61">
        <f t="shared" si="106"/>
        <v>0</v>
      </c>
      <c r="W148" s="61">
        <f t="shared" si="107"/>
        <v>0</v>
      </c>
      <c r="X148" s="61">
        <f t="shared" si="107"/>
        <v>0</v>
      </c>
      <c r="Y148" s="61">
        <f t="shared" si="107"/>
        <v>0</v>
      </c>
      <c r="Z148" s="61">
        <f t="shared" si="107"/>
        <v>0</v>
      </c>
      <c r="AA148" s="61">
        <f t="shared" si="107"/>
        <v>0</v>
      </c>
      <c r="AB148" s="61">
        <f t="shared" si="107"/>
        <v>0</v>
      </c>
      <c r="AC148" s="61">
        <f t="shared" si="107"/>
        <v>0</v>
      </c>
      <c r="AD148" s="61">
        <f t="shared" si="107"/>
        <v>0</v>
      </c>
      <c r="AE148" s="61">
        <f t="shared" si="107"/>
        <v>0</v>
      </c>
      <c r="AF148" s="61">
        <f t="shared" si="93"/>
        <v>0</v>
      </c>
      <c r="AG148" s="61">
        <f t="shared" si="95"/>
        <v>0</v>
      </c>
      <c r="AH148" s="61">
        <f t="shared" si="97"/>
        <v>0</v>
      </c>
      <c r="AI148" s="61">
        <f t="shared" si="99"/>
        <v>0</v>
      </c>
      <c r="AJ148" s="61">
        <f t="shared" si="101"/>
        <v>0</v>
      </c>
      <c r="AK148" s="61">
        <f t="shared" si="102"/>
        <v>0</v>
      </c>
      <c r="AL148" s="61">
        <f t="shared" si="103"/>
        <v>0</v>
      </c>
      <c r="AM148" s="61">
        <f t="shared" si="104"/>
        <v>0</v>
      </c>
      <c r="AN148" s="61">
        <f t="shared" si="105"/>
        <v>0</v>
      </c>
      <c r="AO148" s="61">
        <f t="shared" si="108"/>
        <v>0</v>
      </c>
      <c r="AP148" s="61">
        <f t="shared" si="109"/>
        <v>0</v>
      </c>
      <c r="AQ148" s="61"/>
    </row>
    <row r="149" spans="2:43" x14ac:dyDescent="0.25">
      <c r="B149" s="54">
        <v>0.60416666667151697</v>
      </c>
      <c r="C149" s="54">
        <v>0.958333333408523</v>
      </c>
      <c r="D149" s="60"/>
      <c r="E149" s="91"/>
      <c r="G149" s="91"/>
      <c r="H149" s="92">
        <f t="shared" si="86"/>
        <v>0</v>
      </c>
      <c r="I149" s="180">
        <f>AB$132-AB$133</f>
        <v>0</v>
      </c>
      <c r="M149" s="61">
        <f t="shared" si="106"/>
        <v>0</v>
      </c>
      <c r="N149" s="61">
        <f t="shared" si="106"/>
        <v>0</v>
      </c>
      <c r="O149" s="61">
        <f t="shared" si="106"/>
        <v>0</v>
      </c>
      <c r="P149" s="61">
        <f t="shared" si="106"/>
        <v>0</v>
      </c>
      <c r="Q149" s="61">
        <f t="shared" si="106"/>
        <v>0</v>
      </c>
      <c r="R149" s="61">
        <f t="shared" si="106"/>
        <v>0</v>
      </c>
      <c r="S149" s="61">
        <f t="shared" si="106"/>
        <v>0</v>
      </c>
      <c r="T149" s="61">
        <f t="shared" si="106"/>
        <v>0</v>
      </c>
      <c r="U149" s="61">
        <f t="shared" si="106"/>
        <v>0</v>
      </c>
      <c r="V149" s="61">
        <f t="shared" si="106"/>
        <v>0</v>
      </c>
      <c r="W149" s="61">
        <f t="shared" si="107"/>
        <v>0</v>
      </c>
      <c r="X149" s="61">
        <f t="shared" si="107"/>
        <v>0</v>
      </c>
      <c r="Y149" s="61">
        <f t="shared" si="107"/>
        <v>0</v>
      </c>
      <c r="Z149" s="61">
        <f t="shared" si="107"/>
        <v>0</v>
      </c>
      <c r="AA149" s="61">
        <f t="shared" si="107"/>
        <v>0</v>
      </c>
      <c r="AB149" s="61">
        <f t="shared" si="107"/>
        <v>0</v>
      </c>
      <c r="AC149" s="61">
        <f t="shared" si="107"/>
        <v>0</v>
      </c>
      <c r="AD149" s="61">
        <f t="shared" si="107"/>
        <v>0</v>
      </c>
      <c r="AE149" s="61">
        <f t="shared" si="107"/>
        <v>0</v>
      </c>
      <c r="AF149" s="61">
        <f t="shared" si="93"/>
        <v>0</v>
      </c>
      <c r="AG149" s="61">
        <f t="shared" si="95"/>
        <v>0</v>
      </c>
      <c r="AH149" s="61">
        <f t="shared" si="97"/>
        <v>0</v>
      </c>
      <c r="AI149" s="61">
        <f t="shared" si="99"/>
        <v>0</v>
      </c>
      <c r="AJ149" s="61">
        <f t="shared" si="101"/>
        <v>0</v>
      </c>
      <c r="AK149" s="61">
        <f t="shared" si="102"/>
        <v>0</v>
      </c>
      <c r="AL149" s="61">
        <f t="shared" si="103"/>
        <v>0</v>
      </c>
      <c r="AM149" s="61">
        <f t="shared" si="104"/>
        <v>0</v>
      </c>
      <c r="AN149" s="61">
        <f t="shared" si="105"/>
        <v>0</v>
      </c>
      <c r="AO149" s="61">
        <f t="shared" si="108"/>
        <v>0</v>
      </c>
      <c r="AP149" s="61">
        <f t="shared" si="109"/>
        <v>0</v>
      </c>
      <c r="AQ149" s="61"/>
    </row>
    <row r="150" spans="2:43" x14ac:dyDescent="0.25">
      <c r="B150" s="54">
        <v>0.62500000000727596</v>
      </c>
      <c r="C150" s="54">
        <v>0.97916666674428199</v>
      </c>
      <c r="D150" s="60"/>
      <c r="E150" s="91"/>
      <c r="G150" s="91"/>
      <c r="H150" s="92">
        <f t="shared" si="86"/>
        <v>0</v>
      </c>
      <c r="I150" s="180">
        <f>AC$132-AC$133</f>
        <v>0</v>
      </c>
      <c r="M150" s="61">
        <f t="shared" si="106"/>
        <v>0</v>
      </c>
      <c r="N150" s="61">
        <f t="shared" si="106"/>
        <v>0</v>
      </c>
      <c r="O150" s="61">
        <f t="shared" si="106"/>
        <v>0</v>
      </c>
      <c r="P150" s="61">
        <f t="shared" si="106"/>
        <v>0</v>
      </c>
      <c r="Q150" s="61">
        <f t="shared" si="106"/>
        <v>0</v>
      </c>
      <c r="R150" s="61">
        <f t="shared" si="106"/>
        <v>0</v>
      </c>
      <c r="S150" s="61">
        <f t="shared" si="106"/>
        <v>0</v>
      </c>
      <c r="T150" s="61">
        <f t="shared" si="106"/>
        <v>0</v>
      </c>
      <c r="U150" s="61">
        <f t="shared" si="106"/>
        <v>0</v>
      </c>
      <c r="V150" s="61">
        <f t="shared" si="106"/>
        <v>0</v>
      </c>
      <c r="W150" s="61">
        <f t="shared" si="107"/>
        <v>0</v>
      </c>
      <c r="X150" s="61">
        <f t="shared" si="107"/>
        <v>0</v>
      </c>
      <c r="Y150" s="61">
        <f t="shared" si="107"/>
        <v>0</v>
      </c>
      <c r="Z150" s="61">
        <f t="shared" si="107"/>
        <v>0</v>
      </c>
      <c r="AA150" s="61">
        <f t="shared" si="107"/>
        <v>0</v>
      </c>
      <c r="AB150" s="61">
        <f t="shared" si="107"/>
        <v>0</v>
      </c>
      <c r="AC150" s="61">
        <f t="shared" si="107"/>
        <v>0</v>
      </c>
      <c r="AD150" s="61">
        <f t="shared" si="107"/>
        <v>0</v>
      </c>
      <c r="AE150" s="61">
        <f t="shared" si="107"/>
        <v>0</v>
      </c>
      <c r="AF150" s="61">
        <f t="shared" si="93"/>
        <v>0</v>
      </c>
      <c r="AG150" s="61">
        <f t="shared" si="95"/>
        <v>0</v>
      </c>
      <c r="AH150" s="61">
        <f t="shared" si="97"/>
        <v>0</v>
      </c>
      <c r="AI150" s="61">
        <f t="shared" si="99"/>
        <v>0</v>
      </c>
      <c r="AJ150" s="61">
        <f t="shared" si="101"/>
        <v>0</v>
      </c>
      <c r="AK150" s="61">
        <f t="shared" si="102"/>
        <v>0</v>
      </c>
      <c r="AL150" s="61">
        <f t="shared" si="103"/>
        <v>0</v>
      </c>
      <c r="AM150" s="61">
        <f t="shared" si="104"/>
        <v>0</v>
      </c>
      <c r="AN150" s="61">
        <f t="shared" si="105"/>
        <v>0</v>
      </c>
      <c r="AO150" s="61">
        <f t="shared" si="108"/>
        <v>0</v>
      </c>
      <c r="AP150" s="61">
        <f t="shared" si="109"/>
        <v>0</v>
      </c>
      <c r="AQ150" s="61"/>
    </row>
    <row r="151" spans="2:43" x14ac:dyDescent="0.25">
      <c r="B151" s="54">
        <v>0.64583333334303406</v>
      </c>
      <c r="C151" s="54">
        <v>1.00000000008004</v>
      </c>
      <c r="D151" s="60"/>
      <c r="E151" s="91"/>
      <c r="G151" s="91"/>
      <c r="H151" s="92">
        <f t="shared" si="86"/>
        <v>0</v>
      </c>
      <c r="I151" s="180">
        <f>AD$132-AD$133</f>
        <v>0</v>
      </c>
      <c r="M151" s="61">
        <f t="shared" si="106"/>
        <v>0</v>
      </c>
      <c r="N151" s="61">
        <f t="shared" si="106"/>
        <v>0</v>
      </c>
      <c r="O151" s="61">
        <f t="shared" si="106"/>
        <v>0</v>
      </c>
      <c r="P151" s="61">
        <f t="shared" si="106"/>
        <v>0</v>
      </c>
      <c r="Q151" s="61">
        <f t="shared" si="106"/>
        <v>0</v>
      </c>
      <c r="R151" s="61">
        <f t="shared" si="106"/>
        <v>0</v>
      </c>
      <c r="S151" s="61">
        <f t="shared" si="106"/>
        <v>0</v>
      </c>
      <c r="T151" s="61">
        <f t="shared" si="106"/>
        <v>0</v>
      </c>
      <c r="U151" s="61">
        <f t="shared" si="106"/>
        <v>0</v>
      </c>
      <c r="V151" s="61">
        <f t="shared" si="106"/>
        <v>0</v>
      </c>
      <c r="W151" s="61">
        <f t="shared" si="107"/>
        <v>0</v>
      </c>
      <c r="X151" s="61">
        <f t="shared" si="107"/>
        <v>0</v>
      </c>
      <c r="Y151" s="61">
        <f t="shared" si="107"/>
        <v>0</v>
      </c>
      <c r="Z151" s="61">
        <f t="shared" si="107"/>
        <v>0</v>
      </c>
      <c r="AA151" s="61">
        <f t="shared" si="107"/>
        <v>0</v>
      </c>
      <c r="AB151" s="61">
        <f t="shared" si="107"/>
        <v>0</v>
      </c>
      <c r="AC151" s="61">
        <f t="shared" si="107"/>
        <v>0</v>
      </c>
      <c r="AD151" s="61">
        <f t="shared" si="107"/>
        <v>0</v>
      </c>
      <c r="AE151" s="61">
        <f t="shared" si="107"/>
        <v>0</v>
      </c>
      <c r="AF151" s="61">
        <f t="shared" si="93"/>
        <v>0</v>
      </c>
      <c r="AG151" s="61">
        <f t="shared" si="95"/>
        <v>0</v>
      </c>
      <c r="AH151" s="61">
        <f t="shared" si="97"/>
        <v>0</v>
      </c>
      <c r="AI151" s="61">
        <f t="shared" si="99"/>
        <v>0</v>
      </c>
      <c r="AJ151" s="61">
        <f t="shared" si="101"/>
        <v>0</v>
      </c>
      <c r="AK151" s="61">
        <f t="shared" si="102"/>
        <v>0</v>
      </c>
      <c r="AL151" s="61">
        <f t="shared" si="103"/>
        <v>0</v>
      </c>
      <c r="AM151" s="61">
        <f t="shared" si="104"/>
        <v>0</v>
      </c>
      <c r="AN151" s="61">
        <f t="shared" si="105"/>
        <v>0</v>
      </c>
      <c r="AO151" s="61">
        <f t="shared" si="108"/>
        <v>0</v>
      </c>
      <c r="AP151" s="61">
        <f t="shared" si="109"/>
        <v>0</v>
      </c>
      <c r="AQ151" s="61"/>
    </row>
    <row r="152" spans="2:43" x14ac:dyDescent="0.25">
      <c r="B152" s="54">
        <v>0.66666666667879304</v>
      </c>
      <c r="C152" s="54">
        <v>1.0208333334158</v>
      </c>
      <c r="D152" s="60"/>
      <c r="E152" s="91"/>
      <c r="G152" s="91"/>
      <c r="H152" s="92">
        <f t="shared" si="86"/>
        <v>0</v>
      </c>
      <c r="I152" s="180">
        <f>AE$132-AE$133</f>
        <v>0</v>
      </c>
      <c r="M152" s="61">
        <f t="shared" si="106"/>
        <v>0</v>
      </c>
      <c r="N152" s="61">
        <f t="shared" si="106"/>
        <v>0</v>
      </c>
      <c r="O152" s="61">
        <f t="shared" si="106"/>
        <v>0</v>
      </c>
      <c r="P152" s="61">
        <f t="shared" si="106"/>
        <v>0</v>
      </c>
      <c r="Q152" s="61">
        <f t="shared" si="106"/>
        <v>0</v>
      </c>
      <c r="R152" s="61">
        <f t="shared" si="106"/>
        <v>0</v>
      </c>
      <c r="S152" s="61">
        <f t="shared" si="106"/>
        <v>0</v>
      </c>
      <c r="T152" s="61">
        <f t="shared" si="106"/>
        <v>0</v>
      </c>
      <c r="U152" s="61">
        <f t="shared" si="106"/>
        <v>0</v>
      </c>
      <c r="V152" s="61">
        <f t="shared" si="106"/>
        <v>0</v>
      </c>
      <c r="W152" s="61">
        <f t="shared" si="107"/>
        <v>0</v>
      </c>
      <c r="X152" s="61">
        <f t="shared" si="107"/>
        <v>0</v>
      </c>
      <c r="Y152" s="61">
        <f t="shared" si="107"/>
        <v>0</v>
      </c>
      <c r="Z152" s="61">
        <f t="shared" si="107"/>
        <v>0</v>
      </c>
      <c r="AA152" s="61">
        <f t="shared" si="107"/>
        <v>0</v>
      </c>
      <c r="AB152" s="61">
        <f t="shared" si="107"/>
        <v>0</v>
      </c>
      <c r="AC152" s="61">
        <f t="shared" si="107"/>
        <v>0</v>
      </c>
      <c r="AD152" s="61">
        <f t="shared" si="107"/>
        <v>0</v>
      </c>
      <c r="AE152" s="61">
        <f t="shared" si="107"/>
        <v>0</v>
      </c>
      <c r="AF152" s="61">
        <f t="shared" si="93"/>
        <v>0</v>
      </c>
      <c r="AG152" s="61">
        <f t="shared" si="95"/>
        <v>0</v>
      </c>
      <c r="AH152" s="61">
        <f t="shared" si="97"/>
        <v>0</v>
      </c>
      <c r="AI152" s="61">
        <f t="shared" si="99"/>
        <v>0</v>
      </c>
      <c r="AJ152" s="61">
        <f t="shared" si="101"/>
        <v>0</v>
      </c>
      <c r="AK152" s="61">
        <f t="shared" si="102"/>
        <v>0</v>
      </c>
      <c r="AL152" s="61">
        <f t="shared" si="103"/>
        <v>0</v>
      </c>
      <c r="AM152" s="61">
        <f t="shared" si="104"/>
        <v>0</v>
      </c>
      <c r="AN152" s="61">
        <f t="shared" si="105"/>
        <v>0</v>
      </c>
      <c r="AO152" s="61">
        <f t="shared" si="108"/>
        <v>0</v>
      </c>
      <c r="AP152" s="61">
        <f t="shared" si="109"/>
        <v>0</v>
      </c>
      <c r="AQ152" s="61"/>
    </row>
    <row r="153" spans="2:43" x14ac:dyDescent="0.25">
      <c r="B153" s="54">
        <v>0.68750000001455203</v>
      </c>
      <c r="C153" s="54">
        <v>1.0416666667515599</v>
      </c>
      <c r="D153" s="60"/>
      <c r="E153" s="91"/>
      <c r="G153" s="91"/>
      <c r="H153" s="92">
        <f t="shared" si="86"/>
        <v>0</v>
      </c>
      <c r="I153" s="180">
        <f>AF$132-AF$133</f>
        <v>0</v>
      </c>
      <c r="M153" s="61">
        <f t="shared" si="106"/>
        <v>0</v>
      </c>
      <c r="N153" s="61">
        <f t="shared" si="106"/>
        <v>0</v>
      </c>
      <c r="O153" s="61">
        <f t="shared" si="106"/>
        <v>0</v>
      </c>
      <c r="P153" s="61">
        <f t="shared" si="106"/>
        <v>0</v>
      </c>
      <c r="Q153" s="61">
        <f t="shared" si="106"/>
        <v>0</v>
      </c>
      <c r="R153" s="61">
        <f t="shared" si="106"/>
        <v>0</v>
      </c>
      <c r="S153" s="61">
        <f t="shared" si="106"/>
        <v>0</v>
      </c>
      <c r="T153" s="61">
        <f t="shared" si="106"/>
        <v>0</v>
      </c>
      <c r="U153" s="61">
        <f t="shared" si="106"/>
        <v>0</v>
      </c>
      <c r="V153" s="61">
        <f t="shared" si="106"/>
        <v>0</v>
      </c>
      <c r="W153" s="61">
        <f t="shared" si="107"/>
        <v>0</v>
      </c>
      <c r="X153" s="61">
        <f t="shared" si="107"/>
        <v>0</v>
      </c>
      <c r="Y153" s="61">
        <f t="shared" si="107"/>
        <v>0</v>
      </c>
      <c r="Z153" s="61">
        <f t="shared" si="107"/>
        <v>0</v>
      </c>
      <c r="AA153" s="61">
        <f t="shared" si="107"/>
        <v>0</v>
      </c>
      <c r="AB153" s="61">
        <f t="shared" si="107"/>
        <v>0</v>
      </c>
      <c r="AC153" s="61">
        <f t="shared" si="107"/>
        <v>0</v>
      </c>
      <c r="AD153" s="61">
        <f t="shared" si="107"/>
        <v>0</v>
      </c>
      <c r="AE153" s="61">
        <f t="shared" si="107"/>
        <v>0</v>
      </c>
      <c r="AF153" s="61">
        <f t="shared" si="93"/>
        <v>0</v>
      </c>
      <c r="AG153" s="61">
        <f t="shared" si="95"/>
        <v>0</v>
      </c>
      <c r="AH153" s="61">
        <f t="shared" si="97"/>
        <v>0</v>
      </c>
      <c r="AI153" s="61">
        <f t="shared" si="99"/>
        <v>0</v>
      </c>
      <c r="AJ153" s="61">
        <f t="shared" si="101"/>
        <v>0</v>
      </c>
      <c r="AK153" s="61">
        <f t="shared" si="102"/>
        <v>0</v>
      </c>
      <c r="AL153" s="61">
        <f t="shared" si="103"/>
        <v>0</v>
      </c>
      <c r="AM153" s="61">
        <f t="shared" si="104"/>
        <v>0</v>
      </c>
      <c r="AN153" s="61">
        <f t="shared" si="105"/>
        <v>0</v>
      </c>
      <c r="AO153" s="61">
        <f t="shared" si="108"/>
        <v>0</v>
      </c>
      <c r="AP153" s="61">
        <f t="shared" si="109"/>
        <v>0</v>
      </c>
      <c r="AQ153" s="61"/>
    </row>
    <row r="154" spans="2:43" x14ac:dyDescent="0.25">
      <c r="B154" s="54">
        <v>0.70833333335031001</v>
      </c>
      <c r="C154" s="54">
        <v>1.0625000000873199</v>
      </c>
      <c r="D154" s="60"/>
      <c r="E154" s="91"/>
      <c r="G154" s="91"/>
      <c r="H154" s="92">
        <f t="shared" si="86"/>
        <v>0</v>
      </c>
      <c r="I154" s="180">
        <f>AG$132-AG$133</f>
        <v>0</v>
      </c>
      <c r="M154" s="61">
        <f t="shared" si="106"/>
        <v>0</v>
      </c>
      <c r="N154" s="61">
        <f t="shared" si="106"/>
        <v>0</v>
      </c>
      <c r="O154" s="61">
        <f t="shared" si="106"/>
        <v>0</v>
      </c>
      <c r="P154" s="61">
        <f t="shared" si="106"/>
        <v>0</v>
      </c>
      <c r="Q154" s="61">
        <f t="shared" si="106"/>
        <v>0</v>
      </c>
      <c r="R154" s="61">
        <f t="shared" si="106"/>
        <v>0</v>
      </c>
      <c r="S154" s="61">
        <f t="shared" si="106"/>
        <v>0</v>
      </c>
      <c r="T154" s="61">
        <f t="shared" si="106"/>
        <v>0</v>
      </c>
      <c r="U154" s="61">
        <f t="shared" si="106"/>
        <v>0</v>
      </c>
      <c r="V154" s="61">
        <f t="shared" si="106"/>
        <v>0</v>
      </c>
      <c r="W154" s="61">
        <f t="shared" si="107"/>
        <v>0</v>
      </c>
      <c r="X154" s="61">
        <f t="shared" si="107"/>
        <v>0</v>
      </c>
      <c r="Y154" s="61">
        <f t="shared" si="107"/>
        <v>0</v>
      </c>
      <c r="Z154" s="61">
        <f t="shared" si="107"/>
        <v>0</v>
      </c>
      <c r="AA154" s="61">
        <f t="shared" si="107"/>
        <v>0</v>
      </c>
      <c r="AB154" s="61">
        <f t="shared" si="107"/>
        <v>0</v>
      </c>
      <c r="AC154" s="61">
        <f t="shared" si="107"/>
        <v>0</v>
      </c>
      <c r="AD154" s="61">
        <f t="shared" si="107"/>
        <v>0</v>
      </c>
      <c r="AE154" s="61">
        <f t="shared" si="107"/>
        <v>0</v>
      </c>
      <c r="AF154" s="61">
        <f t="shared" si="93"/>
        <v>0</v>
      </c>
      <c r="AG154" s="61">
        <f t="shared" si="95"/>
        <v>0</v>
      </c>
      <c r="AH154" s="61">
        <f t="shared" si="97"/>
        <v>0</v>
      </c>
      <c r="AI154" s="61">
        <f t="shared" si="99"/>
        <v>0</v>
      </c>
      <c r="AJ154" s="61">
        <f t="shared" si="101"/>
        <v>0</v>
      </c>
      <c r="AK154" s="61">
        <f t="shared" si="102"/>
        <v>0</v>
      </c>
      <c r="AL154" s="61">
        <f t="shared" si="103"/>
        <v>0</v>
      </c>
      <c r="AM154" s="61">
        <f t="shared" si="104"/>
        <v>0</v>
      </c>
      <c r="AN154" s="61">
        <f t="shared" si="105"/>
        <v>0</v>
      </c>
      <c r="AO154" s="61">
        <f t="shared" si="108"/>
        <v>0</v>
      </c>
      <c r="AP154" s="61">
        <f t="shared" si="109"/>
        <v>0</v>
      </c>
      <c r="AQ154" s="61"/>
    </row>
    <row r="155" spans="2:43" x14ac:dyDescent="0.25">
      <c r="B155" s="54">
        <v>0.729166666686069</v>
      </c>
      <c r="C155" s="54">
        <v>1.0833333334230799</v>
      </c>
      <c r="D155" s="60"/>
      <c r="E155" s="91"/>
      <c r="G155" s="91"/>
      <c r="H155" s="92">
        <f t="shared" si="86"/>
        <v>0</v>
      </c>
      <c r="I155" s="180">
        <f>AH$132-AH$133</f>
        <v>0</v>
      </c>
      <c r="M155" s="61">
        <f t="shared" si="106"/>
        <v>0</v>
      </c>
      <c r="N155" s="61">
        <f t="shared" si="106"/>
        <v>0</v>
      </c>
      <c r="O155" s="61">
        <f t="shared" si="106"/>
        <v>0</v>
      </c>
      <c r="P155" s="61">
        <f t="shared" si="106"/>
        <v>0</v>
      </c>
      <c r="Q155" s="61">
        <f t="shared" si="106"/>
        <v>0</v>
      </c>
      <c r="R155" s="61">
        <f t="shared" si="106"/>
        <v>0</v>
      </c>
      <c r="S155" s="61">
        <f t="shared" si="106"/>
        <v>0</v>
      </c>
      <c r="T155" s="61">
        <f t="shared" si="106"/>
        <v>0</v>
      </c>
      <c r="U155" s="61">
        <f t="shared" si="106"/>
        <v>0</v>
      </c>
      <c r="V155" s="61">
        <f t="shared" si="106"/>
        <v>0</v>
      </c>
      <c r="W155" s="61">
        <f t="shared" si="107"/>
        <v>0</v>
      </c>
      <c r="X155" s="61">
        <f t="shared" si="107"/>
        <v>0</v>
      </c>
      <c r="Y155" s="61">
        <f t="shared" si="107"/>
        <v>0</v>
      </c>
      <c r="Z155" s="61">
        <f t="shared" si="107"/>
        <v>0</v>
      </c>
      <c r="AA155" s="61">
        <f t="shared" si="107"/>
        <v>0</v>
      </c>
      <c r="AB155" s="61">
        <f t="shared" si="107"/>
        <v>0</v>
      </c>
      <c r="AC155" s="61">
        <f t="shared" si="107"/>
        <v>0</v>
      </c>
      <c r="AD155" s="61">
        <f t="shared" si="107"/>
        <v>0</v>
      </c>
      <c r="AE155" s="61">
        <f t="shared" si="107"/>
        <v>0</v>
      </c>
      <c r="AF155" s="61">
        <f t="shared" si="93"/>
        <v>0</v>
      </c>
      <c r="AG155" s="61">
        <f t="shared" si="95"/>
        <v>0</v>
      </c>
      <c r="AH155" s="61">
        <f t="shared" si="97"/>
        <v>0</v>
      </c>
      <c r="AI155" s="61">
        <f t="shared" si="99"/>
        <v>0</v>
      </c>
      <c r="AJ155" s="61">
        <f t="shared" si="101"/>
        <v>0</v>
      </c>
      <c r="AK155" s="61">
        <f t="shared" si="102"/>
        <v>0</v>
      </c>
      <c r="AL155" s="61">
        <f t="shared" si="103"/>
        <v>0</v>
      </c>
      <c r="AM155" s="61">
        <f t="shared" si="104"/>
        <v>0</v>
      </c>
      <c r="AN155" s="61">
        <f t="shared" si="105"/>
        <v>0</v>
      </c>
      <c r="AO155" s="61">
        <f t="shared" si="108"/>
        <v>0</v>
      </c>
      <c r="AP155" s="61">
        <f t="shared" si="109"/>
        <v>0</v>
      </c>
      <c r="AQ155" s="61"/>
    </row>
    <row r="156" spans="2:43" x14ac:dyDescent="0.25">
      <c r="B156" s="54">
        <v>0.75000000002182798</v>
      </c>
      <c r="C156" s="54">
        <v>1.1041666667588399</v>
      </c>
      <c r="D156" s="60"/>
      <c r="E156" s="91"/>
      <c r="G156" s="91"/>
      <c r="H156" s="92">
        <f t="shared" si="86"/>
        <v>0</v>
      </c>
      <c r="I156" s="180">
        <f>AI$132-AI$133</f>
        <v>0</v>
      </c>
      <c r="M156" s="61">
        <f t="shared" ref="M156:V163" si="110">IF(AND(M$2&gt;=$B156,M$2&lt;$C156),$E156,0)</f>
        <v>0</v>
      </c>
      <c r="N156" s="61">
        <f t="shared" si="110"/>
        <v>0</v>
      </c>
      <c r="O156" s="61">
        <f t="shared" si="110"/>
        <v>0</v>
      </c>
      <c r="P156" s="61">
        <f t="shared" si="110"/>
        <v>0</v>
      </c>
      <c r="Q156" s="61">
        <f t="shared" si="110"/>
        <v>0</v>
      </c>
      <c r="R156" s="61">
        <f t="shared" si="110"/>
        <v>0</v>
      </c>
      <c r="S156" s="61">
        <f t="shared" si="110"/>
        <v>0</v>
      </c>
      <c r="T156" s="61">
        <f t="shared" si="110"/>
        <v>0</v>
      </c>
      <c r="U156" s="61">
        <f t="shared" si="110"/>
        <v>0</v>
      </c>
      <c r="V156" s="61">
        <f t="shared" si="110"/>
        <v>0</v>
      </c>
      <c r="W156" s="61">
        <f t="shared" ref="W156:AE163" si="111">IF(AND(W$2&gt;=$B156,W$2&lt;$C156),$E156,0)</f>
        <v>0</v>
      </c>
      <c r="X156" s="61">
        <f t="shared" si="111"/>
        <v>0</v>
      </c>
      <c r="Y156" s="61">
        <f t="shared" si="111"/>
        <v>0</v>
      </c>
      <c r="Z156" s="61">
        <f t="shared" si="111"/>
        <v>0</v>
      </c>
      <c r="AA156" s="61">
        <f t="shared" si="111"/>
        <v>0</v>
      </c>
      <c r="AB156" s="61">
        <f t="shared" si="111"/>
        <v>0</v>
      </c>
      <c r="AC156" s="61">
        <f t="shared" si="111"/>
        <v>0</v>
      </c>
      <c r="AD156" s="61">
        <f t="shared" si="111"/>
        <v>0</v>
      </c>
      <c r="AE156" s="61">
        <f t="shared" si="111"/>
        <v>0</v>
      </c>
      <c r="AF156" s="61">
        <f t="shared" si="93"/>
        <v>0</v>
      </c>
      <c r="AG156" s="61">
        <f t="shared" si="95"/>
        <v>0</v>
      </c>
      <c r="AH156" s="61">
        <f t="shared" si="97"/>
        <v>0</v>
      </c>
      <c r="AI156" s="61">
        <f t="shared" si="99"/>
        <v>0</v>
      </c>
      <c r="AJ156" s="61">
        <f t="shared" si="101"/>
        <v>0</v>
      </c>
      <c r="AK156" s="61">
        <f t="shared" si="102"/>
        <v>0</v>
      </c>
      <c r="AL156" s="61">
        <f t="shared" si="103"/>
        <v>0</v>
      </c>
      <c r="AM156" s="61">
        <f t="shared" si="104"/>
        <v>0</v>
      </c>
      <c r="AN156" s="61">
        <f t="shared" si="105"/>
        <v>0</v>
      </c>
      <c r="AO156" s="61">
        <f t="shared" si="108"/>
        <v>0</v>
      </c>
      <c r="AP156" s="61">
        <f t="shared" si="109"/>
        <v>0</v>
      </c>
      <c r="AQ156" s="61"/>
    </row>
    <row r="157" spans="2:43" x14ac:dyDescent="0.25">
      <c r="B157" s="54">
        <v>0.77083333335758597</v>
      </c>
      <c r="C157" s="54">
        <v>1.1250000000945899</v>
      </c>
      <c r="D157" s="60"/>
      <c r="E157" s="91"/>
      <c r="G157" s="91"/>
      <c r="H157" s="92">
        <f t="shared" si="86"/>
        <v>0</v>
      </c>
      <c r="I157" s="180">
        <f>AJ$132-AJ$133</f>
        <v>0</v>
      </c>
      <c r="M157" s="61">
        <f t="shared" si="110"/>
        <v>0</v>
      </c>
      <c r="N157" s="61">
        <f t="shared" si="110"/>
        <v>0</v>
      </c>
      <c r="O157" s="61">
        <f t="shared" si="110"/>
        <v>0</v>
      </c>
      <c r="P157" s="61">
        <f t="shared" si="110"/>
        <v>0</v>
      </c>
      <c r="Q157" s="61">
        <f t="shared" si="110"/>
        <v>0</v>
      </c>
      <c r="R157" s="61">
        <f t="shared" si="110"/>
        <v>0</v>
      </c>
      <c r="S157" s="61">
        <f t="shared" si="110"/>
        <v>0</v>
      </c>
      <c r="T157" s="61">
        <f t="shared" si="110"/>
        <v>0</v>
      </c>
      <c r="U157" s="61">
        <f t="shared" si="110"/>
        <v>0</v>
      </c>
      <c r="V157" s="61">
        <f t="shared" si="110"/>
        <v>0</v>
      </c>
      <c r="W157" s="61">
        <f t="shared" si="111"/>
        <v>0</v>
      </c>
      <c r="X157" s="61">
        <f t="shared" si="111"/>
        <v>0</v>
      </c>
      <c r="Y157" s="61">
        <f t="shared" si="111"/>
        <v>0</v>
      </c>
      <c r="Z157" s="61">
        <f t="shared" si="111"/>
        <v>0</v>
      </c>
      <c r="AA157" s="61">
        <f t="shared" si="111"/>
        <v>0</v>
      </c>
      <c r="AB157" s="61">
        <f t="shared" si="111"/>
        <v>0</v>
      </c>
      <c r="AC157" s="61">
        <f t="shared" si="111"/>
        <v>0</v>
      </c>
      <c r="AD157" s="61">
        <f t="shared" si="111"/>
        <v>0</v>
      </c>
      <c r="AE157" s="61">
        <f t="shared" si="111"/>
        <v>0</v>
      </c>
      <c r="AF157" s="61">
        <f t="shared" si="93"/>
        <v>0</v>
      </c>
      <c r="AG157" s="61">
        <f t="shared" si="95"/>
        <v>0</v>
      </c>
      <c r="AH157" s="61">
        <f t="shared" si="97"/>
        <v>0</v>
      </c>
      <c r="AI157" s="61">
        <f t="shared" si="99"/>
        <v>0</v>
      </c>
      <c r="AJ157" s="61">
        <f t="shared" si="101"/>
        <v>0</v>
      </c>
      <c r="AK157" s="61">
        <f t="shared" si="102"/>
        <v>0</v>
      </c>
      <c r="AL157" s="61">
        <f t="shared" si="103"/>
        <v>0</v>
      </c>
      <c r="AM157" s="61">
        <f t="shared" si="104"/>
        <v>0</v>
      </c>
      <c r="AN157" s="61">
        <f t="shared" si="105"/>
        <v>0</v>
      </c>
      <c r="AO157" s="61">
        <f t="shared" si="108"/>
        <v>0</v>
      </c>
      <c r="AP157" s="61">
        <f t="shared" si="109"/>
        <v>0</v>
      </c>
      <c r="AQ157" s="61"/>
    </row>
    <row r="158" spans="2:43" x14ac:dyDescent="0.25">
      <c r="B158" s="54">
        <v>0.79166666669334496</v>
      </c>
      <c r="C158" s="54">
        <v>1.1458333334303501</v>
      </c>
      <c r="D158" s="60"/>
      <c r="E158" s="91"/>
      <c r="G158" s="91"/>
      <c r="H158" s="92">
        <f t="shared" si="86"/>
        <v>0</v>
      </c>
      <c r="I158" s="180">
        <f>AK$132-AK$133</f>
        <v>0</v>
      </c>
      <c r="M158" s="61">
        <f t="shared" si="110"/>
        <v>0</v>
      </c>
      <c r="N158" s="61">
        <f t="shared" si="110"/>
        <v>0</v>
      </c>
      <c r="O158" s="61">
        <f t="shared" si="110"/>
        <v>0</v>
      </c>
      <c r="P158" s="61">
        <f t="shared" si="110"/>
        <v>0</v>
      </c>
      <c r="Q158" s="61">
        <f t="shared" si="110"/>
        <v>0</v>
      </c>
      <c r="R158" s="61">
        <f t="shared" si="110"/>
        <v>0</v>
      </c>
      <c r="S158" s="61">
        <f t="shared" si="110"/>
        <v>0</v>
      </c>
      <c r="T158" s="61">
        <f t="shared" si="110"/>
        <v>0</v>
      </c>
      <c r="U158" s="61">
        <f t="shared" si="110"/>
        <v>0</v>
      </c>
      <c r="V158" s="61">
        <f t="shared" si="110"/>
        <v>0</v>
      </c>
      <c r="W158" s="61">
        <f t="shared" si="111"/>
        <v>0</v>
      </c>
      <c r="X158" s="61">
        <f t="shared" si="111"/>
        <v>0</v>
      </c>
      <c r="Y158" s="61">
        <f t="shared" si="111"/>
        <v>0</v>
      </c>
      <c r="Z158" s="61">
        <f t="shared" si="111"/>
        <v>0</v>
      </c>
      <c r="AA158" s="61">
        <f t="shared" si="111"/>
        <v>0</v>
      </c>
      <c r="AB158" s="61">
        <f t="shared" si="111"/>
        <v>0</v>
      </c>
      <c r="AC158" s="61">
        <f t="shared" si="111"/>
        <v>0</v>
      </c>
      <c r="AD158" s="61">
        <f t="shared" si="111"/>
        <v>0</v>
      </c>
      <c r="AE158" s="61">
        <f t="shared" si="111"/>
        <v>0</v>
      </c>
      <c r="AF158" s="61">
        <f t="shared" si="93"/>
        <v>0</v>
      </c>
      <c r="AG158" s="61">
        <f t="shared" si="95"/>
        <v>0</v>
      </c>
      <c r="AH158" s="61">
        <f t="shared" si="97"/>
        <v>0</v>
      </c>
      <c r="AI158" s="61">
        <f t="shared" si="99"/>
        <v>0</v>
      </c>
      <c r="AJ158" s="61">
        <f t="shared" si="101"/>
        <v>0</v>
      </c>
      <c r="AK158" s="61">
        <f t="shared" si="102"/>
        <v>0</v>
      </c>
      <c r="AL158" s="61">
        <f t="shared" si="103"/>
        <v>0</v>
      </c>
      <c r="AM158" s="61">
        <f t="shared" si="104"/>
        <v>0</v>
      </c>
      <c r="AN158" s="61">
        <f t="shared" si="105"/>
        <v>0</v>
      </c>
      <c r="AO158" s="61">
        <f t="shared" si="108"/>
        <v>0</v>
      </c>
      <c r="AP158" s="61">
        <f t="shared" si="109"/>
        <v>0</v>
      </c>
      <c r="AQ158" s="61"/>
    </row>
    <row r="159" spans="2:43" x14ac:dyDescent="0.25">
      <c r="B159" s="54">
        <v>0.81250000002910305</v>
      </c>
      <c r="C159" s="54">
        <v>1.1666666667661101</v>
      </c>
      <c r="D159" s="60"/>
      <c r="E159" s="91"/>
      <c r="G159" s="91"/>
      <c r="H159" s="92">
        <f t="shared" si="86"/>
        <v>0</v>
      </c>
      <c r="I159" s="180">
        <f>AL$132-AL$133</f>
        <v>0</v>
      </c>
      <c r="M159" s="61">
        <f t="shared" si="110"/>
        <v>0</v>
      </c>
      <c r="N159" s="61">
        <f t="shared" si="110"/>
        <v>0</v>
      </c>
      <c r="O159" s="61">
        <f t="shared" si="110"/>
        <v>0</v>
      </c>
      <c r="P159" s="61">
        <f t="shared" si="110"/>
        <v>0</v>
      </c>
      <c r="Q159" s="61">
        <f t="shared" si="110"/>
        <v>0</v>
      </c>
      <c r="R159" s="61">
        <f t="shared" si="110"/>
        <v>0</v>
      </c>
      <c r="S159" s="61">
        <f t="shared" si="110"/>
        <v>0</v>
      </c>
      <c r="T159" s="61">
        <f t="shared" si="110"/>
        <v>0</v>
      </c>
      <c r="U159" s="61">
        <f t="shared" si="110"/>
        <v>0</v>
      </c>
      <c r="V159" s="61">
        <f t="shared" si="110"/>
        <v>0</v>
      </c>
      <c r="W159" s="61">
        <f t="shared" si="111"/>
        <v>0</v>
      </c>
      <c r="X159" s="61">
        <f t="shared" si="111"/>
        <v>0</v>
      </c>
      <c r="Y159" s="61">
        <f t="shared" si="111"/>
        <v>0</v>
      </c>
      <c r="Z159" s="61">
        <f t="shared" si="111"/>
        <v>0</v>
      </c>
      <c r="AA159" s="61">
        <f t="shared" si="111"/>
        <v>0</v>
      </c>
      <c r="AB159" s="61">
        <f t="shared" si="111"/>
        <v>0</v>
      </c>
      <c r="AC159" s="61">
        <f t="shared" si="111"/>
        <v>0</v>
      </c>
      <c r="AD159" s="61">
        <f t="shared" si="111"/>
        <v>0</v>
      </c>
      <c r="AE159" s="61">
        <f t="shared" si="111"/>
        <v>0</v>
      </c>
      <c r="AF159" s="61">
        <f t="shared" si="93"/>
        <v>0</v>
      </c>
      <c r="AG159" s="61">
        <f t="shared" si="95"/>
        <v>0</v>
      </c>
      <c r="AH159" s="61">
        <f t="shared" si="97"/>
        <v>0</v>
      </c>
      <c r="AI159" s="61">
        <f t="shared" si="99"/>
        <v>0</v>
      </c>
      <c r="AJ159" s="61">
        <f t="shared" si="101"/>
        <v>0</v>
      </c>
      <c r="AK159" s="61">
        <f t="shared" si="102"/>
        <v>0</v>
      </c>
      <c r="AL159" s="61">
        <f t="shared" si="103"/>
        <v>0</v>
      </c>
      <c r="AM159" s="61">
        <f t="shared" si="104"/>
        <v>0</v>
      </c>
      <c r="AN159" s="61">
        <f t="shared" si="105"/>
        <v>0</v>
      </c>
      <c r="AO159" s="61">
        <f t="shared" si="108"/>
        <v>0</v>
      </c>
      <c r="AP159" s="61">
        <f t="shared" si="109"/>
        <v>0</v>
      </c>
      <c r="AQ159" s="61"/>
    </row>
    <row r="160" spans="2:43" x14ac:dyDescent="0.25">
      <c r="B160" s="54">
        <v>0.83333333336486204</v>
      </c>
      <c r="C160" s="54">
        <v>1.1875000001018701</v>
      </c>
      <c r="D160" s="60"/>
      <c r="E160" s="91"/>
      <c r="G160" s="91"/>
      <c r="H160" s="92">
        <f t="shared" si="86"/>
        <v>0</v>
      </c>
      <c r="I160" s="180">
        <f>AM$132-AM$133</f>
        <v>0</v>
      </c>
      <c r="M160" s="61">
        <f t="shared" si="110"/>
        <v>0</v>
      </c>
      <c r="N160" s="61">
        <f t="shared" si="110"/>
        <v>0</v>
      </c>
      <c r="O160" s="61">
        <f t="shared" si="110"/>
        <v>0</v>
      </c>
      <c r="P160" s="61">
        <f t="shared" si="110"/>
        <v>0</v>
      </c>
      <c r="Q160" s="61">
        <f t="shared" si="110"/>
        <v>0</v>
      </c>
      <c r="R160" s="61">
        <f t="shared" si="110"/>
        <v>0</v>
      </c>
      <c r="S160" s="61">
        <f t="shared" si="110"/>
        <v>0</v>
      </c>
      <c r="T160" s="61">
        <f t="shared" si="110"/>
        <v>0</v>
      </c>
      <c r="U160" s="61">
        <f t="shared" si="110"/>
        <v>0</v>
      </c>
      <c r="V160" s="61">
        <f t="shared" si="110"/>
        <v>0</v>
      </c>
      <c r="W160" s="61">
        <f t="shared" si="111"/>
        <v>0</v>
      </c>
      <c r="X160" s="61">
        <f t="shared" si="111"/>
        <v>0</v>
      </c>
      <c r="Y160" s="61">
        <f t="shared" si="111"/>
        <v>0</v>
      </c>
      <c r="Z160" s="61">
        <f t="shared" si="111"/>
        <v>0</v>
      </c>
      <c r="AA160" s="61">
        <f t="shared" si="111"/>
        <v>0</v>
      </c>
      <c r="AB160" s="61">
        <f t="shared" si="111"/>
        <v>0</v>
      </c>
      <c r="AC160" s="61">
        <f t="shared" si="111"/>
        <v>0</v>
      </c>
      <c r="AD160" s="61">
        <f t="shared" si="111"/>
        <v>0</v>
      </c>
      <c r="AE160" s="61">
        <f t="shared" si="111"/>
        <v>0</v>
      </c>
      <c r="AF160" s="61">
        <f t="shared" si="93"/>
        <v>0</v>
      </c>
      <c r="AG160" s="61">
        <f t="shared" si="95"/>
        <v>0</v>
      </c>
      <c r="AH160" s="61">
        <f t="shared" si="97"/>
        <v>0</v>
      </c>
      <c r="AI160" s="61">
        <f t="shared" si="99"/>
        <v>0</v>
      </c>
      <c r="AJ160" s="61">
        <f t="shared" si="101"/>
        <v>0</v>
      </c>
      <c r="AK160" s="61">
        <f t="shared" si="102"/>
        <v>0</v>
      </c>
      <c r="AL160" s="61">
        <f t="shared" si="103"/>
        <v>0</v>
      </c>
      <c r="AM160" s="61">
        <f t="shared" si="104"/>
        <v>0</v>
      </c>
      <c r="AN160" s="61">
        <f t="shared" si="105"/>
        <v>0</v>
      </c>
      <c r="AO160" s="61">
        <f t="shared" si="108"/>
        <v>0</v>
      </c>
      <c r="AP160" s="61">
        <f t="shared" si="109"/>
        <v>0</v>
      </c>
      <c r="AQ160" s="61"/>
    </row>
    <row r="161" spans="2:43" x14ac:dyDescent="0.25">
      <c r="B161" s="54">
        <v>0.85416666670062102</v>
      </c>
      <c r="C161" s="54">
        <v>1.2083333334376301</v>
      </c>
      <c r="D161" s="60"/>
      <c r="E161" s="91"/>
      <c r="G161" s="91"/>
      <c r="H161" s="92">
        <f t="shared" si="86"/>
        <v>0</v>
      </c>
      <c r="I161" s="180">
        <f>AN$132-AN$133</f>
        <v>0</v>
      </c>
      <c r="M161" s="61">
        <f t="shared" si="110"/>
        <v>0</v>
      </c>
      <c r="N161" s="61">
        <f t="shared" si="110"/>
        <v>0</v>
      </c>
      <c r="O161" s="61">
        <f t="shared" si="110"/>
        <v>0</v>
      </c>
      <c r="P161" s="61">
        <f t="shared" si="110"/>
        <v>0</v>
      </c>
      <c r="Q161" s="61">
        <f t="shared" si="110"/>
        <v>0</v>
      </c>
      <c r="R161" s="61">
        <f t="shared" si="110"/>
        <v>0</v>
      </c>
      <c r="S161" s="61">
        <f t="shared" si="110"/>
        <v>0</v>
      </c>
      <c r="T161" s="61">
        <f t="shared" si="110"/>
        <v>0</v>
      </c>
      <c r="U161" s="61">
        <f t="shared" si="110"/>
        <v>0</v>
      </c>
      <c r="V161" s="61">
        <f t="shared" si="110"/>
        <v>0</v>
      </c>
      <c r="W161" s="61">
        <f t="shared" si="111"/>
        <v>0</v>
      </c>
      <c r="X161" s="61">
        <f t="shared" si="111"/>
        <v>0</v>
      </c>
      <c r="Y161" s="61">
        <f t="shared" si="111"/>
        <v>0</v>
      </c>
      <c r="Z161" s="61">
        <f t="shared" si="111"/>
        <v>0</v>
      </c>
      <c r="AA161" s="61">
        <f t="shared" si="111"/>
        <v>0</v>
      </c>
      <c r="AB161" s="61">
        <f t="shared" si="111"/>
        <v>0</v>
      </c>
      <c r="AC161" s="61">
        <f t="shared" si="111"/>
        <v>0</v>
      </c>
      <c r="AD161" s="61">
        <f t="shared" si="111"/>
        <v>0</v>
      </c>
      <c r="AE161" s="61">
        <f t="shared" si="111"/>
        <v>0</v>
      </c>
      <c r="AF161" s="61">
        <f t="shared" si="93"/>
        <v>0</v>
      </c>
      <c r="AG161" s="61">
        <f t="shared" si="95"/>
        <v>0</v>
      </c>
      <c r="AH161" s="61">
        <f t="shared" si="97"/>
        <v>0</v>
      </c>
      <c r="AI161" s="61">
        <f t="shared" si="99"/>
        <v>0</v>
      </c>
      <c r="AJ161" s="61">
        <f t="shared" si="101"/>
        <v>0</v>
      </c>
      <c r="AK161" s="61">
        <f t="shared" si="102"/>
        <v>0</v>
      </c>
      <c r="AL161" s="61">
        <f t="shared" si="103"/>
        <v>0</v>
      </c>
      <c r="AM161" s="61">
        <f t="shared" si="104"/>
        <v>0</v>
      </c>
      <c r="AN161" s="61">
        <f t="shared" si="105"/>
        <v>0</v>
      </c>
      <c r="AO161" s="61">
        <f t="shared" si="108"/>
        <v>0</v>
      </c>
      <c r="AP161" s="61">
        <f t="shared" si="109"/>
        <v>0</v>
      </c>
      <c r="AQ161" s="61"/>
    </row>
    <row r="162" spans="2:43" x14ac:dyDescent="0.25">
      <c r="B162" s="54">
        <v>0.87500000003637901</v>
      </c>
      <c r="C162" s="54">
        <v>1.22916666677339</v>
      </c>
      <c r="D162" s="60"/>
      <c r="E162" s="91"/>
      <c r="G162" s="91"/>
      <c r="H162" s="92">
        <f t="shared" si="86"/>
        <v>0</v>
      </c>
      <c r="I162" s="180">
        <f>AO$132-AO$133</f>
        <v>0</v>
      </c>
      <c r="M162" s="61">
        <f t="shared" si="110"/>
        <v>0</v>
      </c>
      <c r="N162" s="61">
        <f t="shared" si="110"/>
        <v>0</v>
      </c>
      <c r="O162" s="61">
        <f t="shared" si="110"/>
        <v>0</v>
      </c>
      <c r="P162" s="61">
        <f t="shared" si="110"/>
        <v>0</v>
      </c>
      <c r="Q162" s="61">
        <f t="shared" si="110"/>
        <v>0</v>
      </c>
      <c r="R162" s="61">
        <f t="shared" si="110"/>
        <v>0</v>
      </c>
      <c r="S162" s="61">
        <f t="shared" si="110"/>
        <v>0</v>
      </c>
      <c r="T162" s="61">
        <f t="shared" si="110"/>
        <v>0</v>
      </c>
      <c r="U162" s="61">
        <f t="shared" si="110"/>
        <v>0</v>
      </c>
      <c r="V162" s="61">
        <f t="shared" si="110"/>
        <v>0</v>
      </c>
      <c r="W162" s="61">
        <f t="shared" si="111"/>
        <v>0</v>
      </c>
      <c r="X162" s="61">
        <f t="shared" si="111"/>
        <v>0</v>
      </c>
      <c r="Y162" s="61">
        <f t="shared" si="111"/>
        <v>0</v>
      </c>
      <c r="Z162" s="61">
        <f t="shared" si="111"/>
        <v>0</v>
      </c>
      <c r="AA162" s="61">
        <f t="shared" si="111"/>
        <v>0</v>
      </c>
      <c r="AB162" s="61">
        <f t="shared" si="111"/>
        <v>0</v>
      </c>
      <c r="AC162" s="61">
        <f t="shared" si="111"/>
        <v>0</v>
      </c>
      <c r="AD162" s="61">
        <f t="shared" si="111"/>
        <v>0</v>
      </c>
      <c r="AE162" s="61">
        <f t="shared" si="111"/>
        <v>0</v>
      </c>
      <c r="AF162" s="61">
        <f t="shared" si="93"/>
        <v>0</v>
      </c>
      <c r="AG162" s="61">
        <f t="shared" si="95"/>
        <v>0</v>
      </c>
      <c r="AH162" s="61">
        <f t="shared" si="97"/>
        <v>0</v>
      </c>
      <c r="AI162" s="61">
        <f t="shared" si="99"/>
        <v>0</v>
      </c>
      <c r="AJ162" s="61">
        <f t="shared" si="101"/>
        <v>0</v>
      </c>
      <c r="AK162" s="61">
        <f t="shared" si="102"/>
        <v>0</v>
      </c>
      <c r="AL162" s="61">
        <f t="shared" si="103"/>
        <v>0</v>
      </c>
      <c r="AM162" s="61">
        <f t="shared" si="104"/>
        <v>0</v>
      </c>
      <c r="AN162" s="61">
        <f t="shared" si="105"/>
        <v>0</v>
      </c>
      <c r="AO162" s="61">
        <f t="shared" si="108"/>
        <v>0</v>
      </c>
      <c r="AP162" s="61">
        <f t="shared" si="109"/>
        <v>0</v>
      </c>
      <c r="AQ162" s="61"/>
    </row>
    <row r="163" spans="2:43" x14ac:dyDescent="0.25">
      <c r="B163" s="54">
        <v>0.895833333372138</v>
      </c>
      <c r="C163" s="54">
        <v>1.25000000010915</v>
      </c>
      <c r="D163" s="60"/>
      <c r="E163" s="91"/>
      <c r="G163" s="91"/>
      <c r="H163" s="92">
        <f t="shared" si="86"/>
        <v>0</v>
      </c>
      <c r="I163" s="180">
        <f>AP$132-AP$133</f>
        <v>0</v>
      </c>
      <c r="M163" s="61">
        <f t="shared" si="110"/>
        <v>0</v>
      </c>
      <c r="N163" s="61">
        <f t="shared" si="110"/>
        <v>0</v>
      </c>
      <c r="O163" s="61">
        <f t="shared" si="110"/>
        <v>0</v>
      </c>
      <c r="P163" s="61">
        <f t="shared" si="110"/>
        <v>0</v>
      </c>
      <c r="Q163" s="61">
        <f t="shared" si="110"/>
        <v>0</v>
      </c>
      <c r="R163" s="61">
        <f t="shared" si="110"/>
        <v>0</v>
      </c>
      <c r="S163" s="61">
        <f t="shared" si="110"/>
        <v>0</v>
      </c>
      <c r="T163" s="61">
        <f t="shared" si="110"/>
        <v>0</v>
      </c>
      <c r="U163" s="61">
        <f t="shared" si="110"/>
        <v>0</v>
      </c>
      <c r="V163" s="61">
        <f t="shared" si="110"/>
        <v>0</v>
      </c>
      <c r="W163" s="61">
        <f t="shared" si="111"/>
        <v>0</v>
      </c>
      <c r="X163" s="61">
        <f t="shared" si="111"/>
        <v>0</v>
      </c>
      <c r="Y163" s="61">
        <f t="shared" si="111"/>
        <v>0</v>
      </c>
      <c r="Z163" s="61">
        <f t="shared" si="111"/>
        <v>0</v>
      </c>
      <c r="AA163" s="61">
        <f t="shared" si="111"/>
        <v>0</v>
      </c>
      <c r="AB163" s="61">
        <f t="shared" si="111"/>
        <v>0</v>
      </c>
      <c r="AC163" s="61">
        <f t="shared" si="111"/>
        <v>0</v>
      </c>
      <c r="AD163" s="61">
        <f t="shared" si="111"/>
        <v>0</v>
      </c>
      <c r="AE163" s="61">
        <f t="shared" si="111"/>
        <v>0</v>
      </c>
      <c r="AF163" s="61">
        <f t="shared" si="93"/>
        <v>0</v>
      </c>
      <c r="AG163" s="61">
        <f t="shared" si="95"/>
        <v>0</v>
      </c>
      <c r="AH163" s="61">
        <f t="shared" si="97"/>
        <v>0</v>
      </c>
      <c r="AI163" s="61">
        <f t="shared" si="99"/>
        <v>0</v>
      </c>
      <c r="AJ163" s="61">
        <f t="shared" si="101"/>
        <v>0</v>
      </c>
      <c r="AK163" s="61">
        <f t="shared" si="102"/>
        <v>0</v>
      </c>
      <c r="AL163" s="61">
        <f t="shared" si="103"/>
        <v>0</v>
      </c>
      <c r="AM163" s="61">
        <f t="shared" si="104"/>
        <v>0</v>
      </c>
      <c r="AN163" s="61">
        <f t="shared" si="105"/>
        <v>0</v>
      </c>
      <c r="AO163" s="61">
        <f t="shared" si="108"/>
        <v>0</v>
      </c>
      <c r="AP163" s="61">
        <f t="shared" si="109"/>
        <v>0</v>
      </c>
      <c r="AQ163" s="61"/>
    </row>
    <row r="164" spans="2:43" x14ac:dyDescent="0.25">
      <c r="E164" s="91"/>
      <c r="G164" s="91"/>
      <c r="I164" s="180">
        <f>NCC!$Q$36</f>
        <v>0</v>
      </c>
    </row>
    <row r="170" spans="2:43" s="52" customFormat="1" x14ac:dyDescent="0.25">
      <c r="E170" s="53"/>
      <c r="F170" s="53"/>
      <c r="G170" s="53"/>
      <c r="H170" s="53"/>
      <c r="I170" s="53"/>
      <c r="J170" s="53"/>
      <c r="K170" s="58" t="s">
        <v>32</v>
      </c>
      <c r="L170" s="53"/>
      <c r="M170" s="84">
        <f>G175</f>
        <v>0</v>
      </c>
      <c r="N170" s="84">
        <f>M170+G176</f>
        <v>0</v>
      </c>
      <c r="O170" s="84">
        <f>N170+G177</f>
        <v>0</v>
      </c>
      <c r="P170" s="84">
        <f>+O170+G178</f>
        <v>0</v>
      </c>
      <c r="Q170" s="84">
        <f>P170+G179</f>
        <v>0</v>
      </c>
      <c r="R170" s="84">
        <f>Q170+G180</f>
        <v>0</v>
      </c>
      <c r="S170" s="84">
        <f>R170+G181</f>
        <v>0</v>
      </c>
      <c r="T170" s="84">
        <f>S170+G182</f>
        <v>0</v>
      </c>
      <c r="U170" s="84">
        <f>T170+G183-G175</f>
        <v>0</v>
      </c>
      <c r="V170" s="84">
        <f>U170+G184-G176</f>
        <v>0</v>
      </c>
      <c r="W170" s="84">
        <f>V170+G185-G177</f>
        <v>0</v>
      </c>
      <c r="X170" s="84">
        <f>W170+G186-G178</f>
        <v>0</v>
      </c>
      <c r="Y170" s="84">
        <f>X170+G187-G179</f>
        <v>0</v>
      </c>
      <c r="Z170" s="84">
        <f>Y170+G188-G180</f>
        <v>0</v>
      </c>
      <c r="AA170" s="84">
        <f>Z170+G189-G181</f>
        <v>0</v>
      </c>
      <c r="AB170" s="84">
        <f>AA170+G190-G182</f>
        <v>0</v>
      </c>
      <c r="AC170" s="84">
        <f>AB170+G191-G183</f>
        <v>0</v>
      </c>
      <c r="AD170" s="84">
        <f>AC170+G192-G184</f>
        <v>0</v>
      </c>
      <c r="AE170" s="84">
        <f>AD170+G193-G185</f>
        <v>0</v>
      </c>
      <c r="AF170" s="84">
        <f>AE170+G194-G186</f>
        <v>0</v>
      </c>
      <c r="AG170" s="84">
        <f>AF170+G195-G187</f>
        <v>0</v>
      </c>
      <c r="AH170" s="84">
        <f>AG170+G196-G188</f>
        <v>0</v>
      </c>
      <c r="AI170" s="84">
        <f>AH170+G197-G189</f>
        <v>0</v>
      </c>
      <c r="AJ170" s="84">
        <f>AI170+G198-G190</f>
        <v>0</v>
      </c>
      <c r="AK170" s="84">
        <f>AJ170+G199-G191</f>
        <v>0</v>
      </c>
      <c r="AL170" s="84">
        <f>AK170+G200-G192</f>
        <v>0</v>
      </c>
      <c r="AM170" s="84">
        <f>AL170+G201-G193</f>
        <v>0</v>
      </c>
      <c r="AN170" s="84">
        <f>AM170+G202-G194</f>
        <v>0</v>
      </c>
      <c r="AO170" s="84">
        <f>AN170+G203-G195</f>
        <v>0</v>
      </c>
      <c r="AP170" s="84">
        <f>AO170+G204-G196</f>
        <v>0</v>
      </c>
      <c r="AQ170" s="84">
        <f>SUM(M170:AP170)/8.5</f>
        <v>0</v>
      </c>
    </row>
    <row r="171" spans="2:43" x14ac:dyDescent="0.25">
      <c r="J171" s="57"/>
      <c r="K171" s="58" t="s">
        <v>31</v>
      </c>
      <c r="M171" s="84">
        <f>F175</f>
        <v>0</v>
      </c>
      <c r="N171" s="84">
        <f>M171+F176</f>
        <v>0</v>
      </c>
      <c r="O171" s="84">
        <f>N171+F177</f>
        <v>0</v>
      </c>
      <c r="P171" s="84">
        <f>O171+F178</f>
        <v>0</v>
      </c>
      <c r="Q171" s="84">
        <f>P171+F179</f>
        <v>0</v>
      </c>
      <c r="R171" s="84">
        <f>Q171+F180</f>
        <v>0</v>
      </c>
      <c r="S171" s="84">
        <f>R171+F181</f>
        <v>0</v>
      </c>
      <c r="T171" s="84">
        <f>S171+F182</f>
        <v>0</v>
      </c>
      <c r="U171" s="84">
        <f>T171+F183</f>
        <v>0</v>
      </c>
      <c r="V171" s="84">
        <f>U171</f>
        <v>0</v>
      </c>
      <c r="W171" s="84">
        <f>V171</f>
        <v>0</v>
      </c>
      <c r="X171" s="84">
        <f>W171</f>
        <v>0</v>
      </c>
      <c r="Y171" s="96"/>
      <c r="Z171" s="96"/>
      <c r="AA171" s="96"/>
      <c r="AB171" s="96"/>
      <c r="AC171" s="84">
        <f t="shared" ref="AC171:AN171" si="112">M171</f>
        <v>0</v>
      </c>
      <c r="AD171" s="84">
        <f t="shared" si="112"/>
        <v>0</v>
      </c>
      <c r="AE171" s="84">
        <f t="shared" si="112"/>
        <v>0</v>
      </c>
      <c r="AF171" s="84">
        <f t="shared" si="112"/>
        <v>0</v>
      </c>
      <c r="AG171" s="84">
        <f t="shared" si="112"/>
        <v>0</v>
      </c>
      <c r="AH171" s="84">
        <f t="shared" si="112"/>
        <v>0</v>
      </c>
      <c r="AI171" s="84">
        <f t="shared" si="112"/>
        <v>0</v>
      </c>
      <c r="AJ171" s="84">
        <f t="shared" si="112"/>
        <v>0</v>
      </c>
      <c r="AK171" s="84">
        <f t="shared" si="112"/>
        <v>0</v>
      </c>
      <c r="AL171" s="84">
        <f t="shared" si="112"/>
        <v>0</v>
      </c>
      <c r="AM171" s="84">
        <f t="shared" si="112"/>
        <v>0</v>
      </c>
      <c r="AN171" s="84">
        <f t="shared" si="112"/>
        <v>0</v>
      </c>
      <c r="AO171" s="84"/>
      <c r="AP171" s="84"/>
      <c r="AQ171" s="182"/>
    </row>
    <row r="172" spans="2:43" s="57" customFormat="1" ht="17.25" customHeight="1" x14ac:dyDescent="0.25">
      <c r="K172" s="58" t="s">
        <v>13</v>
      </c>
      <c r="M172" s="84"/>
      <c r="N172" s="84"/>
      <c r="O172" s="84"/>
      <c r="P172" s="84"/>
      <c r="Q172" s="84"/>
      <c r="R172" s="84"/>
      <c r="S172" s="84"/>
      <c r="T172" s="84"/>
      <c r="U172" s="84">
        <f>M171</f>
        <v>0</v>
      </c>
      <c r="V172" s="84">
        <f>N171</f>
        <v>0</v>
      </c>
      <c r="W172" s="84">
        <f>O171</f>
        <v>0</v>
      </c>
      <c r="X172" s="84">
        <f>P171</f>
        <v>0</v>
      </c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>
        <f>AC171</f>
        <v>0</v>
      </c>
      <c r="AL172" s="84">
        <f>AD171</f>
        <v>0</v>
      </c>
      <c r="AM172" s="84">
        <f>AE171</f>
        <v>0</v>
      </c>
      <c r="AN172" s="84">
        <f>AF171</f>
        <v>0</v>
      </c>
      <c r="AO172" s="84"/>
      <c r="AP172" s="85"/>
      <c r="AQ172" s="86"/>
    </row>
    <row r="173" spans="2:43" s="57" customFormat="1" ht="17.25" customHeight="1" x14ac:dyDescent="0.25">
      <c r="B173" s="57" t="s">
        <v>20</v>
      </c>
      <c r="E173" s="59" t="s">
        <v>8</v>
      </c>
      <c r="F173" s="59" t="s">
        <v>15</v>
      </c>
      <c r="G173" s="59" t="s">
        <v>32</v>
      </c>
      <c r="H173" s="59" t="s">
        <v>16</v>
      </c>
      <c r="J173" s="58" t="s">
        <v>9</v>
      </c>
      <c r="K173" s="58">
        <f>SUM(M173:AP173)/16</f>
        <v>0</v>
      </c>
      <c r="M173" s="87">
        <f t="shared" ref="M173:AP173" si="113">SUM(M175:M204)+M171+M170-M172</f>
        <v>0</v>
      </c>
      <c r="N173" s="87">
        <f t="shared" si="113"/>
        <v>0</v>
      </c>
      <c r="O173" s="87">
        <f t="shared" si="113"/>
        <v>0</v>
      </c>
      <c r="P173" s="87">
        <f t="shared" si="113"/>
        <v>0</v>
      </c>
      <c r="Q173" s="87">
        <f t="shared" si="113"/>
        <v>0</v>
      </c>
      <c r="R173" s="87">
        <f t="shared" si="113"/>
        <v>0</v>
      </c>
      <c r="S173" s="87">
        <f t="shared" si="113"/>
        <v>0</v>
      </c>
      <c r="T173" s="87">
        <f t="shared" si="113"/>
        <v>0</v>
      </c>
      <c r="U173" s="87">
        <f t="shared" si="113"/>
        <v>0</v>
      </c>
      <c r="V173" s="87">
        <f t="shared" si="113"/>
        <v>0</v>
      </c>
      <c r="W173" s="87">
        <f t="shared" si="113"/>
        <v>0</v>
      </c>
      <c r="X173" s="87">
        <f t="shared" si="113"/>
        <v>0</v>
      </c>
      <c r="Y173" s="87">
        <f t="shared" si="113"/>
        <v>0</v>
      </c>
      <c r="Z173" s="87">
        <f t="shared" si="113"/>
        <v>0</v>
      </c>
      <c r="AA173" s="87">
        <f t="shared" si="113"/>
        <v>0</v>
      </c>
      <c r="AB173" s="87">
        <f t="shared" si="113"/>
        <v>0</v>
      </c>
      <c r="AC173" s="87">
        <f t="shared" si="113"/>
        <v>0</v>
      </c>
      <c r="AD173" s="87">
        <f t="shared" si="113"/>
        <v>0</v>
      </c>
      <c r="AE173" s="87">
        <f t="shared" si="113"/>
        <v>0</v>
      </c>
      <c r="AF173" s="87">
        <f t="shared" si="113"/>
        <v>0</v>
      </c>
      <c r="AG173" s="87">
        <f t="shared" si="113"/>
        <v>0</v>
      </c>
      <c r="AH173" s="87">
        <f t="shared" si="113"/>
        <v>0</v>
      </c>
      <c r="AI173" s="87">
        <f t="shared" si="113"/>
        <v>0</v>
      </c>
      <c r="AJ173" s="87">
        <f t="shared" si="113"/>
        <v>0</v>
      </c>
      <c r="AK173" s="87">
        <f t="shared" si="113"/>
        <v>0</v>
      </c>
      <c r="AL173" s="87">
        <f t="shared" si="113"/>
        <v>0</v>
      </c>
      <c r="AM173" s="87">
        <f t="shared" si="113"/>
        <v>0</v>
      </c>
      <c r="AN173" s="87">
        <f t="shared" si="113"/>
        <v>0</v>
      </c>
      <c r="AO173" s="87">
        <f t="shared" si="113"/>
        <v>0</v>
      </c>
      <c r="AP173" s="87">
        <f t="shared" si="113"/>
        <v>0</v>
      </c>
      <c r="AQ173" s="87"/>
    </row>
    <row r="174" spans="2:43" s="88" customFormat="1" x14ac:dyDescent="0.25">
      <c r="E174" s="178">
        <f>SUM(E175:E204)</f>
        <v>0</v>
      </c>
      <c r="F174" s="178">
        <f>SUM(F175:F204)</f>
        <v>0</v>
      </c>
      <c r="G174" s="178">
        <f>SUM(G175:G204)</f>
        <v>0</v>
      </c>
      <c r="H174" s="178">
        <f>SUM(H175:H204)</f>
        <v>0</v>
      </c>
      <c r="I174" s="89"/>
      <c r="J174" s="89"/>
      <c r="K174" s="58" t="s">
        <v>7</v>
      </c>
      <c r="L174" s="89"/>
      <c r="M174" s="180">
        <f>SUMMARY!$I$6</f>
        <v>0</v>
      </c>
      <c r="N174" s="180">
        <f>SUMMARY!$I$7</f>
        <v>0</v>
      </c>
      <c r="O174" s="180">
        <f>SUMMARY!$I$8</f>
        <v>0</v>
      </c>
      <c r="P174" s="180">
        <f>SUMMARY!$I$9</f>
        <v>0</v>
      </c>
      <c r="Q174" s="180">
        <f>SUMMARY!$I$10</f>
        <v>0</v>
      </c>
      <c r="R174" s="180">
        <f>SUMMARY!$I$11</f>
        <v>0</v>
      </c>
      <c r="S174" s="180">
        <f>SUMMARY!$I$12</f>
        <v>0</v>
      </c>
      <c r="T174" s="180">
        <f>SUMMARY!$I$13</f>
        <v>0</v>
      </c>
      <c r="U174" s="180">
        <f>SUMMARY!$I$14</f>
        <v>0</v>
      </c>
      <c r="V174" s="180">
        <f>SUMMARY!$I$15</f>
        <v>0</v>
      </c>
      <c r="W174" s="180">
        <f>SUMMARY!$I$16</f>
        <v>0</v>
      </c>
      <c r="X174" s="180">
        <f>SUMMARY!$I$17</f>
        <v>0</v>
      </c>
      <c r="Y174" s="180">
        <f>SUMMARY!$I$18</f>
        <v>0</v>
      </c>
      <c r="Z174" s="180">
        <f>SUMMARY!$I$19</f>
        <v>0</v>
      </c>
      <c r="AA174" s="180">
        <f>SUMMARY!$I$20</f>
        <v>0</v>
      </c>
      <c r="AB174" s="180">
        <f>SUMMARY!$I$21</f>
        <v>0</v>
      </c>
      <c r="AC174" s="180">
        <f>SUMMARY!$I$22</f>
        <v>0</v>
      </c>
      <c r="AD174" s="180">
        <f>SUMMARY!$I$23</f>
        <v>0</v>
      </c>
      <c r="AE174" s="180">
        <f>SUMMARY!$I$24</f>
        <v>0</v>
      </c>
      <c r="AF174" s="180">
        <f>SUMMARY!$I$25</f>
        <v>0</v>
      </c>
      <c r="AG174" s="180">
        <f>SUMMARY!$I$26</f>
        <v>0</v>
      </c>
      <c r="AH174" s="180">
        <f>SUMMARY!$I$27</f>
        <v>0</v>
      </c>
      <c r="AI174" s="180">
        <f>SUMMARY!$I$28</f>
        <v>0</v>
      </c>
      <c r="AJ174" s="180">
        <f>SUMMARY!$I$29</f>
        <v>0</v>
      </c>
      <c r="AK174" s="180">
        <f>SUMMARY!$I$30</f>
        <v>0</v>
      </c>
      <c r="AL174" s="180">
        <f>SUMMARY!$I$31</f>
        <v>0</v>
      </c>
      <c r="AM174" s="180">
        <f>SUMMARY!$I$32</f>
        <v>0</v>
      </c>
      <c r="AN174" s="180">
        <f>SUMMARY!$I$33</f>
        <v>0</v>
      </c>
      <c r="AO174" s="180">
        <f>SUMMARY!$I$34</f>
        <v>0</v>
      </c>
      <c r="AP174" s="180">
        <f>SUMMARY!$I$35</f>
        <v>0</v>
      </c>
      <c r="AQ174" s="90"/>
    </row>
    <row r="175" spans="2:43" x14ac:dyDescent="0.25">
      <c r="B175" s="54">
        <v>0.29166666666424135</v>
      </c>
      <c r="C175" s="54">
        <v>0.645833333372138</v>
      </c>
      <c r="D175" s="60"/>
      <c r="E175" s="91">
        <f>SUMMARY!T6</f>
        <v>0</v>
      </c>
      <c r="F175" s="91"/>
      <c r="G175" s="91"/>
      <c r="H175" s="92">
        <f t="shared" ref="H175:H204" si="114">SUM(E175:G175)</f>
        <v>0</v>
      </c>
      <c r="I175" s="180">
        <f>M$173-M$174</f>
        <v>0</v>
      </c>
      <c r="M175" s="61">
        <f t="shared" ref="M175:V176" si="115">IF(AND(M$2&gt;=$B175,M$2&lt;$C175),$E175,0)</f>
        <v>0</v>
      </c>
      <c r="N175" s="61">
        <f t="shared" si="115"/>
        <v>0</v>
      </c>
      <c r="O175" s="61">
        <f t="shared" si="115"/>
        <v>0</v>
      </c>
      <c r="P175" s="61">
        <f t="shared" si="115"/>
        <v>0</v>
      </c>
      <c r="Q175" s="61">
        <f t="shared" si="115"/>
        <v>0</v>
      </c>
      <c r="R175" s="61">
        <f t="shared" si="115"/>
        <v>0</v>
      </c>
      <c r="S175" s="61">
        <f t="shared" si="115"/>
        <v>0</v>
      </c>
      <c r="T175" s="61">
        <f t="shared" si="115"/>
        <v>0</v>
      </c>
      <c r="U175" s="61">
        <f t="shared" si="115"/>
        <v>0</v>
      </c>
      <c r="V175" s="61">
        <f t="shared" si="115"/>
        <v>0</v>
      </c>
      <c r="W175" s="61">
        <f t="shared" ref="W175:AF176" si="116">IF(AND(W$2&gt;=$B175,W$2&lt;$C175),$E175,0)</f>
        <v>0</v>
      </c>
      <c r="X175" s="61">
        <f t="shared" si="116"/>
        <v>0</v>
      </c>
      <c r="Y175" s="61">
        <f t="shared" si="116"/>
        <v>0</v>
      </c>
      <c r="Z175" s="61">
        <f t="shared" si="116"/>
        <v>0</v>
      </c>
      <c r="AA175" s="61">
        <f t="shared" si="116"/>
        <v>0</v>
      </c>
      <c r="AB175" s="61">
        <f t="shared" si="116"/>
        <v>0</v>
      </c>
      <c r="AC175" s="61">
        <f t="shared" si="116"/>
        <v>0</v>
      </c>
      <c r="AD175" s="61">
        <f t="shared" si="116"/>
        <v>0</v>
      </c>
      <c r="AE175" s="61">
        <f t="shared" si="116"/>
        <v>0</v>
      </c>
      <c r="AF175" s="61">
        <f t="shared" si="116"/>
        <v>0</v>
      </c>
      <c r="AG175" s="61">
        <f t="shared" ref="AG175:AP176" si="117">IF(AND(AG$2&gt;=$B175,AG$2&lt;$C175),$E175,0)</f>
        <v>0</v>
      </c>
      <c r="AH175" s="61">
        <f t="shared" si="117"/>
        <v>0</v>
      </c>
      <c r="AI175" s="61">
        <f t="shared" si="117"/>
        <v>0</v>
      </c>
      <c r="AJ175" s="61">
        <f t="shared" si="117"/>
        <v>0</v>
      </c>
      <c r="AK175" s="61">
        <f t="shared" si="117"/>
        <v>0</v>
      </c>
      <c r="AL175" s="61">
        <f t="shared" si="117"/>
        <v>0</v>
      </c>
      <c r="AM175" s="61">
        <f t="shared" si="117"/>
        <v>0</v>
      </c>
      <c r="AN175" s="61">
        <f t="shared" si="117"/>
        <v>0</v>
      </c>
      <c r="AO175" s="61">
        <f t="shared" si="117"/>
        <v>0</v>
      </c>
      <c r="AP175" s="61">
        <f t="shared" si="117"/>
        <v>0</v>
      </c>
      <c r="AQ175" s="61"/>
    </row>
    <row r="176" spans="2:43" x14ac:dyDescent="0.25">
      <c r="B176" s="54">
        <v>0.3125</v>
      </c>
      <c r="C176" s="54">
        <v>0.66666666670789698</v>
      </c>
      <c r="D176" s="60"/>
      <c r="E176" s="91">
        <f>SUMMARY!T7</f>
        <v>0</v>
      </c>
      <c r="F176" s="91"/>
      <c r="G176" s="91"/>
      <c r="H176" s="92">
        <f t="shared" si="114"/>
        <v>0</v>
      </c>
      <c r="I176" s="180">
        <f>N$173-N$174</f>
        <v>0</v>
      </c>
      <c r="M176" s="61">
        <f t="shared" si="115"/>
        <v>0</v>
      </c>
      <c r="N176" s="61">
        <f t="shared" si="115"/>
        <v>0</v>
      </c>
      <c r="O176" s="61">
        <f t="shared" si="115"/>
        <v>0</v>
      </c>
      <c r="P176" s="61">
        <f t="shared" si="115"/>
        <v>0</v>
      </c>
      <c r="Q176" s="61">
        <f t="shared" si="115"/>
        <v>0</v>
      </c>
      <c r="R176" s="61">
        <f t="shared" si="115"/>
        <v>0</v>
      </c>
      <c r="S176" s="61">
        <f t="shared" si="115"/>
        <v>0</v>
      </c>
      <c r="T176" s="61">
        <f t="shared" si="115"/>
        <v>0</v>
      </c>
      <c r="U176" s="61">
        <f t="shared" si="115"/>
        <v>0</v>
      </c>
      <c r="V176" s="61">
        <f t="shared" si="115"/>
        <v>0</v>
      </c>
      <c r="W176" s="61">
        <f t="shared" si="116"/>
        <v>0</v>
      </c>
      <c r="X176" s="61">
        <f t="shared" si="116"/>
        <v>0</v>
      </c>
      <c r="Y176" s="61">
        <f t="shared" si="116"/>
        <v>0</v>
      </c>
      <c r="Z176" s="61">
        <f t="shared" si="116"/>
        <v>0</v>
      </c>
      <c r="AA176" s="61">
        <f t="shared" si="116"/>
        <v>0</v>
      </c>
      <c r="AB176" s="61">
        <f t="shared" si="116"/>
        <v>0</v>
      </c>
      <c r="AC176" s="61">
        <f t="shared" si="116"/>
        <v>0</v>
      </c>
      <c r="AD176" s="61">
        <f t="shared" si="116"/>
        <v>0</v>
      </c>
      <c r="AE176" s="61">
        <f t="shared" si="116"/>
        <v>0</v>
      </c>
      <c r="AF176" s="61">
        <f t="shared" si="116"/>
        <v>0</v>
      </c>
      <c r="AG176" s="61">
        <f t="shared" si="117"/>
        <v>0</v>
      </c>
      <c r="AH176" s="61">
        <f t="shared" si="117"/>
        <v>0</v>
      </c>
      <c r="AI176" s="61">
        <f t="shared" si="117"/>
        <v>0</v>
      </c>
      <c r="AJ176" s="61">
        <f t="shared" si="117"/>
        <v>0</v>
      </c>
      <c r="AK176" s="61">
        <f t="shared" si="117"/>
        <v>0</v>
      </c>
      <c r="AL176" s="61">
        <f t="shared" si="117"/>
        <v>0</v>
      </c>
      <c r="AM176" s="61">
        <f t="shared" si="117"/>
        <v>0</v>
      </c>
      <c r="AN176" s="61">
        <f t="shared" si="117"/>
        <v>0</v>
      </c>
      <c r="AO176" s="61">
        <f t="shared" si="117"/>
        <v>0</v>
      </c>
      <c r="AP176" s="61">
        <f t="shared" si="117"/>
        <v>0</v>
      </c>
      <c r="AQ176" s="61"/>
    </row>
    <row r="177" spans="2:43" x14ac:dyDescent="0.25">
      <c r="B177" s="54">
        <v>0.33333333333575865</v>
      </c>
      <c r="C177" s="54">
        <v>0.68750000004365597</v>
      </c>
      <c r="D177" s="60"/>
      <c r="E177" s="91">
        <f>SUMMARY!T8</f>
        <v>0</v>
      </c>
      <c r="F177" s="91"/>
      <c r="G177" s="91"/>
      <c r="H177" s="92">
        <f t="shared" si="114"/>
        <v>0</v>
      </c>
      <c r="I177" s="180">
        <f>O$173-O$174</f>
        <v>0</v>
      </c>
      <c r="M177" s="61">
        <f t="shared" ref="M177:V186" si="118">IF(AND(M$2&gt;=$B177,M$2&lt;$C177),$E177,0)</f>
        <v>0</v>
      </c>
      <c r="N177" s="61">
        <f t="shared" si="118"/>
        <v>0</v>
      </c>
      <c r="O177" s="61">
        <f t="shared" si="118"/>
        <v>0</v>
      </c>
      <c r="P177" s="61">
        <f t="shared" si="118"/>
        <v>0</v>
      </c>
      <c r="Q177" s="61">
        <f t="shared" si="118"/>
        <v>0</v>
      </c>
      <c r="R177" s="61">
        <f t="shared" si="118"/>
        <v>0</v>
      </c>
      <c r="S177" s="61">
        <f t="shared" si="118"/>
        <v>0</v>
      </c>
      <c r="T177" s="61">
        <f t="shared" si="118"/>
        <v>0</v>
      </c>
      <c r="U177" s="61">
        <f t="shared" si="118"/>
        <v>0</v>
      </c>
      <c r="V177" s="61">
        <f t="shared" si="118"/>
        <v>0</v>
      </c>
      <c r="W177" s="61">
        <f t="shared" ref="W177:AE186" si="119">IF(AND(W$2&gt;=$B177,W$2&lt;$C177),$E177,0)</f>
        <v>0</v>
      </c>
      <c r="X177" s="61">
        <f t="shared" si="119"/>
        <v>0</v>
      </c>
      <c r="Y177" s="61">
        <f t="shared" si="119"/>
        <v>0</v>
      </c>
      <c r="Z177" s="61">
        <f t="shared" si="119"/>
        <v>0</v>
      </c>
      <c r="AA177" s="61">
        <f t="shared" si="119"/>
        <v>0</v>
      </c>
      <c r="AB177" s="61">
        <f t="shared" si="119"/>
        <v>0</v>
      </c>
      <c r="AC177" s="61">
        <f t="shared" si="119"/>
        <v>0</v>
      </c>
      <c r="AD177" s="61">
        <f t="shared" si="119"/>
        <v>0</v>
      </c>
      <c r="AE177" s="61">
        <f t="shared" si="119"/>
        <v>0</v>
      </c>
      <c r="AF177" s="61"/>
      <c r="AG177" s="61">
        <f t="shared" ref="AG177:AP177" si="120">IF(AND(AG$2&gt;=$B177,AG$2&lt;$C177),$E177,0)</f>
        <v>0</v>
      </c>
      <c r="AH177" s="61">
        <f t="shared" si="120"/>
        <v>0</v>
      </c>
      <c r="AI177" s="61">
        <f t="shared" si="120"/>
        <v>0</v>
      </c>
      <c r="AJ177" s="61">
        <f t="shared" si="120"/>
        <v>0</v>
      </c>
      <c r="AK177" s="61">
        <f t="shared" si="120"/>
        <v>0</v>
      </c>
      <c r="AL177" s="61">
        <f t="shared" si="120"/>
        <v>0</v>
      </c>
      <c r="AM177" s="61">
        <f t="shared" si="120"/>
        <v>0</v>
      </c>
      <c r="AN177" s="61">
        <f t="shared" si="120"/>
        <v>0</v>
      </c>
      <c r="AO177" s="61">
        <f t="shared" si="120"/>
        <v>0</v>
      </c>
      <c r="AP177" s="61">
        <f t="shared" si="120"/>
        <v>0</v>
      </c>
      <c r="AQ177" s="61"/>
    </row>
    <row r="178" spans="2:43" x14ac:dyDescent="0.25">
      <c r="B178" s="54">
        <v>0.35416666666424135</v>
      </c>
      <c r="C178" s="54">
        <v>0.70833333337941495</v>
      </c>
      <c r="D178" s="60"/>
      <c r="E178" s="91">
        <f>SUMMARY!T9</f>
        <v>0</v>
      </c>
      <c r="F178" s="91"/>
      <c r="G178" s="91"/>
      <c r="H178" s="92">
        <f t="shared" si="114"/>
        <v>0</v>
      </c>
      <c r="I178" s="180">
        <f>P$173-P$174</f>
        <v>0</v>
      </c>
      <c r="M178" s="61">
        <f t="shared" si="118"/>
        <v>0</v>
      </c>
      <c r="N178" s="61">
        <f t="shared" si="118"/>
        <v>0</v>
      </c>
      <c r="O178" s="61">
        <f t="shared" si="118"/>
        <v>0</v>
      </c>
      <c r="P178" s="61">
        <f t="shared" si="118"/>
        <v>0</v>
      </c>
      <c r="Q178" s="61">
        <f t="shared" si="118"/>
        <v>0</v>
      </c>
      <c r="R178" s="61">
        <f t="shared" si="118"/>
        <v>0</v>
      </c>
      <c r="S178" s="61">
        <f t="shared" si="118"/>
        <v>0</v>
      </c>
      <c r="T178" s="61">
        <f t="shared" si="118"/>
        <v>0</v>
      </c>
      <c r="U178" s="61">
        <f t="shared" si="118"/>
        <v>0</v>
      </c>
      <c r="V178" s="61">
        <f t="shared" si="118"/>
        <v>0</v>
      </c>
      <c r="W178" s="61">
        <f t="shared" si="119"/>
        <v>0</v>
      </c>
      <c r="X178" s="61">
        <f t="shared" si="119"/>
        <v>0</v>
      </c>
      <c r="Y178" s="61">
        <f t="shared" si="119"/>
        <v>0</v>
      </c>
      <c r="Z178" s="61">
        <f t="shared" si="119"/>
        <v>0</v>
      </c>
      <c r="AA178" s="61">
        <f t="shared" si="119"/>
        <v>0</v>
      </c>
      <c r="AB178" s="61">
        <f t="shared" si="119"/>
        <v>0</v>
      </c>
      <c r="AC178" s="61">
        <f t="shared" si="119"/>
        <v>0</v>
      </c>
      <c r="AD178" s="61">
        <f t="shared" si="119"/>
        <v>0</v>
      </c>
      <c r="AE178" s="61">
        <f t="shared" si="119"/>
        <v>0</v>
      </c>
      <c r="AF178" s="61">
        <f t="shared" ref="AF178:AF204" si="121">IF(AND(AF$2&gt;=$B178,AF$2&lt;$C178),$E178,0)</f>
        <v>0</v>
      </c>
      <c r="AG178" s="61"/>
      <c r="AH178" s="61">
        <f t="shared" ref="AH178:AP178" si="122">IF(AND(AH$2&gt;=$B178,AH$2&lt;$C178),$E178,0)</f>
        <v>0</v>
      </c>
      <c r="AI178" s="61">
        <f t="shared" si="122"/>
        <v>0</v>
      </c>
      <c r="AJ178" s="61">
        <f t="shared" si="122"/>
        <v>0</v>
      </c>
      <c r="AK178" s="61">
        <f t="shared" si="122"/>
        <v>0</v>
      </c>
      <c r="AL178" s="61">
        <f t="shared" si="122"/>
        <v>0</v>
      </c>
      <c r="AM178" s="61">
        <f t="shared" si="122"/>
        <v>0</v>
      </c>
      <c r="AN178" s="61">
        <f t="shared" si="122"/>
        <v>0</v>
      </c>
      <c r="AO178" s="61">
        <f t="shared" si="122"/>
        <v>0</v>
      </c>
      <c r="AP178" s="61">
        <f t="shared" si="122"/>
        <v>0</v>
      </c>
      <c r="AQ178" s="61"/>
    </row>
    <row r="179" spans="2:43" x14ac:dyDescent="0.25">
      <c r="B179" s="54">
        <v>0.375</v>
      </c>
      <c r="C179" s="54">
        <v>0.72916666671517405</v>
      </c>
      <c r="D179" s="60"/>
      <c r="E179" s="91">
        <f>SUMMARY!T10</f>
        <v>0</v>
      </c>
      <c r="F179" s="91"/>
      <c r="G179" s="91"/>
      <c r="H179" s="92">
        <f t="shared" si="114"/>
        <v>0</v>
      </c>
      <c r="I179" s="180">
        <f>Q$173-Q$174</f>
        <v>0</v>
      </c>
      <c r="M179" s="61">
        <f t="shared" si="118"/>
        <v>0</v>
      </c>
      <c r="N179" s="61">
        <f t="shared" si="118"/>
        <v>0</v>
      </c>
      <c r="O179" s="61">
        <f t="shared" si="118"/>
        <v>0</v>
      </c>
      <c r="P179" s="61">
        <f t="shared" si="118"/>
        <v>0</v>
      </c>
      <c r="Q179" s="61">
        <f t="shared" si="118"/>
        <v>0</v>
      </c>
      <c r="R179" s="61">
        <f t="shared" si="118"/>
        <v>0</v>
      </c>
      <c r="S179" s="61">
        <f t="shared" si="118"/>
        <v>0</v>
      </c>
      <c r="T179" s="61">
        <f t="shared" si="118"/>
        <v>0</v>
      </c>
      <c r="U179" s="61">
        <f t="shared" si="118"/>
        <v>0</v>
      </c>
      <c r="V179" s="61">
        <f t="shared" si="118"/>
        <v>0</v>
      </c>
      <c r="W179" s="61">
        <f t="shared" si="119"/>
        <v>0</v>
      </c>
      <c r="X179" s="61">
        <f t="shared" si="119"/>
        <v>0</v>
      </c>
      <c r="Y179" s="61">
        <f t="shared" si="119"/>
        <v>0</v>
      </c>
      <c r="Z179" s="61">
        <f t="shared" si="119"/>
        <v>0</v>
      </c>
      <c r="AA179" s="61">
        <f t="shared" si="119"/>
        <v>0</v>
      </c>
      <c r="AB179" s="61">
        <f t="shared" si="119"/>
        <v>0</v>
      </c>
      <c r="AC179" s="61">
        <f t="shared" si="119"/>
        <v>0</v>
      </c>
      <c r="AD179" s="61">
        <f t="shared" si="119"/>
        <v>0</v>
      </c>
      <c r="AE179" s="61">
        <f t="shared" si="119"/>
        <v>0</v>
      </c>
      <c r="AF179" s="61">
        <f t="shared" si="121"/>
        <v>0</v>
      </c>
      <c r="AG179" s="61">
        <f t="shared" ref="AG179:AG204" si="123">IF(AND(AG$2&gt;=$B179,AG$2&lt;$C179),$E179,0)</f>
        <v>0</v>
      </c>
      <c r="AH179" s="61"/>
      <c r="AI179" s="61">
        <f t="shared" ref="AI179:AP179" si="124">IF(AND(AI$2&gt;=$B179,AI$2&lt;$C179),$E179,0)</f>
        <v>0</v>
      </c>
      <c r="AJ179" s="61">
        <f t="shared" si="124"/>
        <v>0</v>
      </c>
      <c r="AK179" s="61">
        <f t="shared" si="124"/>
        <v>0</v>
      </c>
      <c r="AL179" s="61">
        <f t="shared" si="124"/>
        <v>0</v>
      </c>
      <c r="AM179" s="61">
        <f t="shared" si="124"/>
        <v>0</v>
      </c>
      <c r="AN179" s="61">
        <f t="shared" si="124"/>
        <v>0</v>
      </c>
      <c r="AO179" s="61">
        <f t="shared" si="124"/>
        <v>0</v>
      </c>
      <c r="AP179" s="61">
        <f t="shared" si="124"/>
        <v>0</v>
      </c>
      <c r="AQ179" s="61"/>
    </row>
    <row r="180" spans="2:43" x14ac:dyDescent="0.25">
      <c r="B180" s="54">
        <v>0.39583333333575865</v>
      </c>
      <c r="C180" s="54">
        <v>0.75000000005093304</v>
      </c>
      <c r="D180" s="60"/>
      <c r="E180" s="91">
        <f>SUMMARY!T11</f>
        <v>0</v>
      </c>
      <c r="F180" s="91"/>
      <c r="G180" s="91"/>
      <c r="H180" s="92">
        <f t="shared" si="114"/>
        <v>0</v>
      </c>
      <c r="I180" s="180">
        <f>R$173-R$174</f>
        <v>0</v>
      </c>
      <c r="M180" s="61">
        <f t="shared" si="118"/>
        <v>0</v>
      </c>
      <c r="N180" s="61">
        <f t="shared" si="118"/>
        <v>0</v>
      </c>
      <c r="O180" s="61">
        <f t="shared" si="118"/>
        <v>0</v>
      </c>
      <c r="P180" s="61">
        <f t="shared" si="118"/>
        <v>0</v>
      </c>
      <c r="Q180" s="61">
        <f t="shared" si="118"/>
        <v>0</v>
      </c>
      <c r="R180" s="61">
        <f t="shared" si="118"/>
        <v>0</v>
      </c>
      <c r="S180" s="61">
        <f t="shared" si="118"/>
        <v>0</v>
      </c>
      <c r="T180" s="61">
        <f t="shared" si="118"/>
        <v>0</v>
      </c>
      <c r="U180" s="61">
        <f t="shared" si="118"/>
        <v>0</v>
      </c>
      <c r="V180" s="61">
        <f t="shared" si="118"/>
        <v>0</v>
      </c>
      <c r="W180" s="61">
        <f t="shared" si="119"/>
        <v>0</v>
      </c>
      <c r="X180" s="61">
        <f t="shared" si="119"/>
        <v>0</v>
      </c>
      <c r="Y180" s="61">
        <f t="shared" si="119"/>
        <v>0</v>
      </c>
      <c r="Z180" s="61">
        <f t="shared" si="119"/>
        <v>0</v>
      </c>
      <c r="AA180" s="61">
        <f t="shared" si="119"/>
        <v>0</v>
      </c>
      <c r="AB180" s="61">
        <f t="shared" si="119"/>
        <v>0</v>
      </c>
      <c r="AC180" s="61">
        <f t="shared" si="119"/>
        <v>0</v>
      </c>
      <c r="AD180" s="61">
        <f t="shared" si="119"/>
        <v>0</v>
      </c>
      <c r="AE180" s="61">
        <f t="shared" si="119"/>
        <v>0</v>
      </c>
      <c r="AF180" s="61">
        <f t="shared" si="121"/>
        <v>0</v>
      </c>
      <c r="AG180" s="61">
        <f t="shared" si="123"/>
        <v>0</v>
      </c>
      <c r="AH180" s="61">
        <f t="shared" ref="AH180:AH204" si="125">IF(AND(AH$2&gt;=$B180,AH$2&lt;$C180),$E180,0)</f>
        <v>0</v>
      </c>
      <c r="AI180" s="61"/>
      <c r="AJ180" s="61">
        <f t="shared" ref="AJ180:AP180" si="126">IF(AND(AJ$2&gt;=$B180,AJ$2&lt;$C180),$E180,0)</f>
        <v>0</v>
      </c>
      <c r="AK180" s="61">
        <f t="shared" si="126"/>
        <v>0</v>
      </c>
      <c r="AL180" s="61">
        <f t="shared" si="126"/>
        <v>0</v>
      </c>
      <c r="AM180" s="61">
        <f t="shared" si="126"/>
        <v>0</v>
      </c>
      <c r="AN180" s="61">
        <f t="shared" si="126"/>
        <v>0</v>
      </c>
      <c r="AO180" s="61">
        <f t="shared" si="126"/>
        <v>0</v>
      </c>
      <c r="AP180" s="61">
        <f t="shared" si="126"/>
        <v>0</v>
      </c>
      <c r="AQ180" s="61"/>
    </row>
    <row r="181" spans="2:43" x14ac:dyDescent="0.25">
      <c r="B181" s="54">
        <v>0.41666666666424135</v>
      </c>
      <c r="C181" s="54">
        <v>0.77083333338669202</v>
      </c>
      <c r="D181" s="60"/>
      <c r="E181" s="91">
        <f>SUMMARY!T12</f>
        <v>0</v>
      </c>
      <c r="F181" s="91"/>
      <c r="G181" s="91"/>
      <c r="H181" s="92">
        <f t="shared" si="114"/>
        <v>0</v>
      </c>
      <c r="I181" s="180">
        <f>S$173-S$174</f>
        <v>0</v>
      </c>
      <c r="M181" s="61">
        <f t="shared" si="118"/>
        <v>0</v>
      </c>
      <c r="N181" s="61">
        <f t="shared" si="118"/>
        <v>0</v>
      </c>
      <c r="O181" s="61">
        <f t="shared" si="118"/>
        <v>0</v>
      </c>
      <c r="P181" s="61">
        <f t="shared" si="118"/>
        <v>0</v>
      </c>
      <c r="Q181" s="61">
        <f t="shared" si="118"/>
        <v>0</v>
      </c>
      <c r="R181" s="61">
        <f t="shared" si="118"/>
        <v>0</v>
      </c>
      <c r="S181" s="61">
        <f t="shared" si="118"/>
        <v>0</v>
      </c>
      <c r="T181" s="61">
        <f t="shared" si="118"/>
        <v>0</v>
      </c>
      <c r="U181" s="61">
        <f t="shared" si="118"/>
        <v>0</v>
      </c>
      <c r="V181" s="61">
        <f t="shared" si="118"/>
        <v>0</v>
      </c>
      <c r="W181" s="61">
        <f t="shared" si="119"/>
        <v>0</v>
      </c>
      <c r="X181" s="61">
        <f t="shared" si="119"/>
        <v>0</v>
      </c>
      <c r="Y181" s="61">
        <f t="shared" si="119"/>
        <v>0</v>
      </c>
      <c r="Z181" s="61">
        <f t="shared" si="119"/>
        <v>0</v>
      </c>
      <c r="AA181" s="61">
        <f t="shared" si="119"/>
        <v>0</v>
      </c>
      <c r="AB181" s="61">
        <f t="shared" si="119"/>
        <v>0</v>
      </c>
      <c r="AC181" s="61">
        <f t="shared" si="119"/>
        <v>0</v>
      </c>
      <c r="AD181" s="61">
        <f t="shared" si="119"/>
        <v>0</v>
      </c>
      <c r="AE181" s="61">
        <f t="shared" si="119"/>
        <v>0</v>
      </c>
      <c r="AF181" s="61">
        <f t="shared" si="121"/>
        <v>0</v>
      </c>
      <c r="AG181" s="61">
        <f t="shared" si="123"/>
        <v>0</v>
      </c>
      <c r="AH181" s="61">
        <f t="shared" si="125"/>
        <v>0</v>
      </c>
      <c r="AI181" s="61">
        <f t="shared" ref="AI181:AI204" si="127">IF(AND(AI$2&gt;=$B181,AI$2&lt;$C181),$E181,0)</f>
        <v>0</v>
      </c>
      <c r="AJ181" s="61"/>
      <c r="AK181" s="61">
        <f t="shared" ref="AK181:AP181" si="128">IF(AND(AK$2&gt;=$B181,AK$2&lt;$C181),$E181,0)</f>
        <v>0</v>
      </c>
      <c r="AL181" s="61">
        <f t="shared" si="128"/>
        <v>0</v>
      </c>
      <c r="AM181" s="61">
        <f t="shared" si="128"/>
        <v>0</v>
      </c>
      <c r="AN181" s="61">
        <f t="shared" si="128"/>
        <v>0</v>
      </c>
      <c r="AO181" s="61">
        <f t="shared" si="128"/>
        <v>0</v>
      </c>
      <c r="AP181" s="61">
        <f t="shared" si="128"/>
        <v>0</v>
      </c>
      <c r="AQ181" s="61"/>
    </row>
    <row r="182" spans="2:43" x14ac:dyDescent="0.25">
      <c r="B182" s="54">
        <v>0.4375</v>
      </c>
      <c r="C182" s="54">
        <v>0.79166666672245101</v>
      </c>
      <c r="D182" s="60"/>
      <c r="E182" s="91">
        <f>SUMMARY!T13</f>
        <v>0</v>
      </c>
      <c r="F182" s="91"/>
      <c r="G182" s="91"/>
      <c r="H182" s="92">
        <f t="shared" si="114"/>
        <v>0</v>
      </c>
      <c r="I182" s="180">
        <f>T$173-T$174</f>
        <v>0</v>
      </c>
      <c r="M182" s="61">
        <f t="shared" si="118"/>
        <v>0</v>
      </c>
      <c r="N182" s="61">
        <f t="shared" si="118"/>
        <v>0</v>
      </c>
      <c r="O182" s="61">
        <f t="shared" si="118"/>
        <v>0</v>
      </c>
      <c r="P182" s="61">
        <f t="shared" si="118"/>
        <v>0</v>
      </c>
      <c r="Q182" s="61">
        <f t="shared" si="118"/>
        <v>0</v>
      </c>
      <c r="R182" s="61">
        <f t="shared" si="118"/>
        <v>0</v>
      </c>
      <c r="S182" s="61">
        <f t="shared" si="118"/>
        <v>0</v>
      </c>
      <c r="T182" s="61">
        <f t="shared" si="118"/>
        <v>0</v>
      </c>
      <c r="U182" s="61">
        <f t="shared" si="118"/>
        <v>0</v>
      </c>
      <c r="V182" s="61">
        <f t="shared" si="118"/>
        <v>0</v>
      </c>
      <c r="W182" s="61">
        <f t="shared" si="119"/>
        <v>0</v>
      </c>
      <c r="X182" s="61">
        <f t="shared" si="119"/>
        <v>0</v>
      </c>
      <c r="Y182" s="61">
        <f t="shared" si="119"/>
        <v>0</v>
      </c>
      <c r="Z182" s="61">
        <f t="shared" si="119"/>
        <v>0</v>
      </c>
      <c r="AA182" s="61">
        <f t="shared" si="119"/>
        <v>0</v>
      </c>
      <c r="AB182" s="61">
        <f t="shared" si="119"/>
        <v>0</v>
      </c>
      <c r="AC182" s="61">
        <f t="shared" si="119"/>
        <v>0</v>
      </c>
      <c r="AD182" s="61">
        <f t="shared" si="119"/>
        <v>0</v>
      </c>
      <c r="AE182" s="61">
        <f t="shared" si="119"/>
        <v>0</v>
      </c>
      <c r="AF182" s="61">
        <f t="shared" si="121"/>
        <v>0</v>
      </c>
      <c r="AG182" s="61">
        <f t="shared" si="123"/>
        <v>0</v>
      </c>
      <c r="AH182" s="61">
        <f t="shared" si="125"/>
        <v>0</v>
      </c>
      <c r="AI182" s="61">
        <f t="shared" si="127"/>
        <v>0</v>
      </c>
      <c r="AJ182" s="61">
        <f t="shared" ref="AJ182:AJ204" si="129">IF(AND(AJ$2&gt;=$B182,AJ$2&lt;$C182),$E182,0)</f>
        <v>0</v>
      </c>
      <c r="AK182" s="61"/>
      <c r="AL182" s="61">
        <f>IF(AND(AL$2&gt;=$B182,AL$2&lt;$C182),$E182,0)</f>
        <v>0</v>
      </c>
      <c r="AM182" s="61">
        <f>IF(AND(AM$2&gt;=$B182,AM$2&lt;$C182),$E182,0)</f>
        <v>0</v>
      </c>
      <c r="AN182" s="61">
        <f>IF(AND(AN$2&gt;=$B182,AN$2&lt;$C182),$E182,0)</f>
        <v>0</v>
      </c>
      <c r="AO182" s="61">
        <f>IF(AND(AO$2&gt;=$B182,AO$2&lt;$C182),$E182,0)</f>
        <v>0</v>
      </c>
      <c r="AP182" s="61">
        <f>IF(AND(AP$2&gt;=$B182,AP$2&lt;$C182),$E182,0)</f>
        <v>0</v>
      </c>
      <c r="AQ182" s="61"/>
    </row>
    <row r="183" spans="2:43" x14ac:dyDescent="0.25">
      <c r="B183" s="54">
        <v>0.45833333333575865</v>
      </c>
      <c r="C183" s="54">
        <v>0.81250000005820999</v>
      </c>
      <c r="D183" s="60"/>
      <c r="E183" s="91">
        <f>SUMMARY!T14</f>
        <v>0</v>
      </c>
      <c r="F183" s="91"/>
      <c r="G183" s="91"/>
      <c r="H183" s="92">
        <f t="shared" si="114"/>
        <v>0</v>
      </c>
      <c r="I183" s="180">
        <f>U$173-U$174</f>
        <v>0</v>
      </c>
      <c r="M183" s="61">
        <f t="shared" si="118"/>
        <v>0</v>
      </c>
      <c r="N183" s="61">
        <f t="shared" si="118"/>
        <v>0</v>
      </c>
      <c r="O183" s="61">
        <f t="shared" si="118"/>
        <v>0</v>
      </c>
      <c r="P183" s="61">
        <f t="shared" si="118"/>
        <v>0</v>
      </c>
      <c r="Q183" s="61">
        <f t="shared" si="118"/>
        <v>0</v>
      </c>
      <c r="R183" s="61">
        <f t="shared" si="118"/>
        <v>0</v>
      </c>
      <c r="S183" s="61">
        <f t="shared" si="118"/>
        <v>0</v>
      </c>
      <c r="T183" s="61">
        <f t="shared" si="118"/>
        <v>0</v>
      </c>
      <c r="U183" s="61">
        <f t="shared" si="118"/>
        <v>0</v>
      </c>
      <c r="V183" s="61">
        <f t="shared" si="118"/>
        <v>0</v>
      </c>
      <c r="W183" s="61">
        <f t="shared" si="119"/>
        <v>0</v>
      </c>
      <c r="X183" s="61">
        <f t="shared" si="119"/>
        <v>0</v>
      </c>
      <c r="Y183" s="61">
        <f t="shared" si="119"/>
        <v>0</v>
      </c>
      <c r="Z183" s="61">
        <f t="shared" si="119"/>
        <v>0</v>
      </c>
      <c r="AA183" s="61">
        <f t="shared" si="119"/>
        <v>0</v>
      </c>
      <c r="AB183" s="61">
        <f t="shared" si="119"/>
        <v>0</v>
      </c>
      <c r="AC183" s="61">
        <f t="shared" si="119"/>
        <v>0</v>
      </c>
      <c r="AD183" s="61">
        <f t="shared" si="119"/>
        <v>0</v>
      </c>
      <c r="AE183" s="61">
        <f t="shared" si="119"/>
        <v>0</v>
      </c>
      <c r="AF183" s="61">
        <f t="shared" si="121"/>
        <v>0</v>
      </c>
      <c r="AG183" s="61">
        <f t="shared" si="123"/>
        <v>0</v>
      </c>
      <c r="AH183" s="61">
        <f t="shared" si="125"/>
        <v>0</v>
      </c>
      <c r="AI183" s="61">
        <f t="shared" si="127"/>
        <v>0</v>
      </c>
      <c r="AJ183" s="61">
        <f t="shared" si="129"/>
        <v>0</v>
      </c>
      <c r="AK183" s="61">
        <f t="shared" ref="AK183:AK204" si="130">IF(AND(AK$2&gt;=$B183,AK$2&lt;$C183),$E183,0)</f>
        <v>0</v>
      </c>
      <c r="AL183" s="61"/>
      <c r="AM183" s="61">
        <f>IF(AND(AM$2&gt;=$B183,AM$2&lt;$C183),$E183,0)</f>
        <v>0</v>
      </c>
      <c r="AN183" s="61">
        <f>IF(AND(AN$2&gt;=$B183,AN$2&lt;$C183),$E183,0)</f>
        <v>0</v>
      </c>
      <c r="AO183" s="61">
        <f>IF(AND(AO$2&gt;=$B183,AO$2&lt;$C183),$E183,0)</f>
        <v>0</v>
      </c>
      <c r="AP183" s="61">
        <f>IF(AND(AP$2&gt;=$B183,AP$2&lt;$C183),$E183,0)</f>
        <v>0</v>
      </c>
      <c r="AQ183" s="61"/>
    </row>
    <row r="184" spans="2:43" x14ac:dyDescent="0.25">
      <c r="B184" s="54">
        <v>0.47916666666424135</v>
      </c>
      <c r="C184" s="54">
        <v>0.83333333339396898</v>
      </c>
      <c r="D184" s="60"/>
      <c r="E184" s="91">
        <f>SUMMARY!T15</f>
        <v>0</v>
      </c>
      <c r="G184" s="91"/>
      <c r="H184" s="92">
        <f t="shared" si="114"/>
        <v>0</v>
      </c>
      <c r="I184" s="180">
        <f>V$173-V$174</f>
        <v>0</v>
      </c>
      <c r="M184" s="61">
        <f t="shared" si="118"/>
        <v>0</v>
      </c>
      <c r="N184" s="61">
        <f t="shared" si="118"/>
        <v>0</v>
      </c>
      <c r="O184" s="61">
        <f t="shared" si="118"/>
        <v>0</v>
      </c>
      <c r="P184" s="61">
        <f t="shared" si="118"/>
        <v>0</v>
      </c>
      <c r="Q184" s="61">
        <f t="shared" si="118"/>
        <v>0</v>
      </c>
      <c r="R184" s="61">
        <f t="shared" si="118"/>
        <v>0</v>
      </c>
      <c r="S184" s="61">
        <f t="shared" si="118"/>
        <v>0</v>
      </c>
      <c r="T184" s="61">
        <f t="shared" si="118"/>
        <v>0</v>
      </c>
      <c r="U184" s="61">
        <f t="shared" si="118"/>
        <v>0</v>
      </c>
      <c r="V184" s="61">
        <f t="shared" si="118"/>
        <v>0</v>
      </c>
      <c r="W184" s="61">
        <f t="shared" si="119"/>
        <v>0</v>
      </c>
      <c r="X184" s="61">
        <f t="shared" si="119"/>
        <v>0</v>
      </c>
      <c r="Y184" s="61">
        <f t="shared" si="119"/>
        <v>0</v>
      </c>
      <c r="Z184" s="61">
        <f t="shared" si="119"/>
        <v>0</v>
      </c>
      <c r="AA184" s="61">
        <f t="shared" si="119"/>
        <v>0</v>
      </c>
      <c r="AB184" s="61">
        <f t="shared" si="119"/>
        <v>0</v>
      </c>
      <c r="AC184" s="61">
        <f t="shared" si="119"/>
        <v>0</v>
      </c>
      <c r="AD184" s="61">
        <f t="shared" si="119"/>
        <v>0</v>
      </c>
      <c r="AE184" s="61">
        <f t="shared" si="119"/>
        <v>0</v>
      </c>
      <c r="AF184" s="61">
        <f t="shared" si="121"/>
        <v>0</v>
      </c>
      <c r="AG184" s="61">
        <f t="shared" si="123"/>
        <v>0</v>
      </c>
      <c r="AH184" s="61">
        <f t="shared" si="125"/>
        <v>0</v>
      </c>
      <c r="AI184" s="61">
        <f t="shared" si="127"/>
        <v>0</v>
      </c>
      <c r="AJ184" s="61">
        <f t="shared" si="129"/>
        <v>0</v>
      </c>
      <c r="AK184" s="61">
        <f t="shared" si="130"/>
        <v>0</v>
      </c>
      <c r="AL184" s="61">
        <f t="shared" ref="AL184:AL204" si="131">IF(AND(AL$2&gt;=$B184,AL$2&lt;$C184),$E184,0)</f>
        <v>0</v>
      </c>
      <c r="AM184" s="61"/>
      <c r="AN184" s="61">
        <f>IF(AND(AN$2&gt;=$B184,AN$2&lt;$C184),$E184,0)</f>
        <v>0</v>
      </c>
      <c r="AO184" s="61">
        <f>IF(AND(AO$2&gt;=$B184,AO$2&lt;$C184),$E184,0)</f>
        <v>0</v>
      </c>
      <c r="AP184" s="61">
        <f>IF(AND(AP$2&gt;=$B184,AP$2&lt;$C184),$E184,0)</f>
        <v>0</v>
      </c>
      <c r="AQ184" s="61"/>
    </row>
    <row r="185" spans="2:43" x14ac:dyDescent="0.25">
      <c r="B185" s="54">
        <v>0.5</v>
      </c>
      <c r="C185" s="54">
        <v>0.85416666672972796</v>
      </c>
      <c r="D185" s="60"/>
      <c r="E185" s="91">
        <f>SUMMARY!T16</f>
        <v>0</v>
      </c>
      <c r="G185" s="91"/>
      <c r="H185" s="92">
        <f t="shared" si="114"/>
        <v>0</v>
      </c>
      <c r="I185" s="180">
        <f>W$173-W$174</f>
        <v>0</v>
      </c>
      <c r="M185" s="61">
        <f t="shared" si="118"/>
        <v>0</v>
      </c>
      <c r="N185" s="61">
        <f t="shared" si="118"/>
        <v>0</v>
      </c>
      <c r="O185" s="61">
        <f t="shared" si="118"/>
        <v>0</v>
      </c>
      <c r="P185" s="61">
        <f t="shared" si="118"/>
        <v>0</v>
      </c>
      <c r="Q185" s="61">
        <f t="shared" si="118"/>
        <v>0</v>
      </c>
      <c r="R185" s="61">
        <f t="shared" si="118"/>
        <v>0</v>
      </c>
      <c r="S185" s="61">
        <f t="shared" si="118"/>
        <v>0</v>
      </c>
      <c r="T185" s="61">
        <f t="shared" si="118"/>
        <v>0</v>
      </c>
      <c r="U185" s="61">
        <f t="shared" si="118"/>
        <v>0</v>
      </c>
      <c r="V185" s="61">
        <f t="shared" si="118"/>
        <v>0</v>
      </c>
      <c r="W185" s="61">
        <f t="shared" si="119"/>
        <v>0</v>
      </c>
      <c r="X185" s="61">
        <f t="shared" si="119"/>
        <v>0</v>
      </c>
      <c r="Y185" s="61">
        <f t="shared" si="119"/>
        <v>0</v>
      </c>
      <c r="Z185" s="61">
        <f t="shared" si="119"/>
        <v>0</v>
      </c>
      <c r="AA185" s="61">
        <f t="shared" si="119"/>
        <v>0</v>
      </c>
      <c r="AB185" s="61">
        <f t="shared" si="119"/>
        <v>0</v>
      </c>
      <c r="AC185" s="61">
        <f t="shared" si="119"/>
        <v>0</v>
      </c>
      <c r="AD185" s="61">
        <f t="shared" si="119"/>
        <v>0</v>
      </c>
      <c r="AE185" s="61">
        <f t="shared" si="119"/>
        <v>0</v>
      </c>
      <c r="AF185" s="61">
        <f t="shared" si="121"/>
        <v>0</v>
      </c>
      <c r="AG185" s="61">
        <f t="shared" si="123"/>
        <v>0</v>
      </c>
      <c r="AH185" s="61">
        <f t="shared" si="125"/>
        <v>0</v>
      </c>
      <c r="AI185" s="61">
        <f t="shared" si="127"/>
        <v>0</v>
      </c>
      <c r="AJ185" s="61">
        <f t="shared" si="129"/>
        <v>0</v>
      </c>
      <c r="AK185" s="61">
        <f t="shared" si="130"/>
        <v>0</v>
      </c>
      <c r="AL185" s="61">
        <f t="shared" si="131"/>
        <v>0</v>
      </c>
      <c r="AM185" s="61">
        <f t="shared" ref="AM185:AM204" si="132">IF(AND(AM$2&gt;=$B185,AM$2&lt;$C185),$E185,0)</f>
        <v>0</v>
      </c>
      <c r="AN185" s="61"/>
      <c r="AO185" s="61">
        <f>IF(AND(AO$2&gt;=$B185,AO$2&lt;$C185),$E185,0)</f>
        <v>0</v>
      </c>
      <c r="AP185" s="61">
        <f>IF(AND(AP$2&gt;=$B185,AP$2&lt;$C185),$E185,0)</f>
        <v>0</v>
      </c>
      <c r="AQ185" s="61"/>
    </row>
    <row r="186" spans="2:43" x14ac:dyDescent="0.25">
      <c r="B186" s="54">
        <v>0.52083333333575865</v>
      </c>
      <c r="C186" s="54">
        <v>0.87500000006548695</v>
      </c>
      <c r="D186" s="60"/>
      <c r="E186" s="91">
        <f>SUMMARY!T17</f>
        <v>0</v>
      </c>
      <c r="G186" s="91"/>
      <c r="H186" s="92">
        <f t="shared" si="114"/>
        <v>0</v>
      </c>
      <c r="I186" s="180">
        <f>X$173-X$174</f>
        <v>0</v>
      </c>
      <c r="M186" s="61">
        <f t="shared" si="118"/>
        <v>0</v>
      </c>
      <c r="N186" s="61">
        <f t="shared" si="118"/>
        <v>0</v>
      </c>
      <c r="O186" s="61">
        <f t="shared" si="118"/>
        <v>0</v>
      </c>
      <c r="P186" s="61">
        <f t="shared" si="118"/>
        <v>0</v>
      </c>
      <c r="Q186" s="61">
        <f t="shared" si="118"/>
        <v>0</v>
      </c>
      <c r="R186" s="61">
        <f t="shared" si="118"/>
        <v>0</v>
      </c>
      <c r="S186" s="61">
        <f t="shared" si="118"/>
        <v>0</v>
      </c>
      <c r="T186" s="61">
        <f t="shared" si="118"/>
        <v>0</v>
      </c>
      <c r="U186" s="61">
        <f t="shared" si="118"/>
        <v>0</v>
      </c>
      <c r="V186" s="61">
        <f t="shared" si="118"/>
        <v>0</v>
      </c>
      <c r="W186" s="61">
        <f t="shared" si="119"/>
        <v>0</v>
      </c>
      <c r="X186" s="61">
        <f t="shared" si="119"/>
        <v>0</v>
      </c>
      <c r="Y186" s="61">
        <f t="shared" si="119"/>
        <v>0</v>
      </c>
      <c r="Z186" s="61">
        <f t="shared" si="119"/>
        <v>0</v>
      </c>
      <c r="AA186" s="61">
        <f t="shared" si="119"/>
        <v>0</v>
      </c>
      <c r="AB186" s="61">
        <f t="shared" si="119"/>
        <v>0</v>
      </c>
      <c r="AC186" s="61">
        <f t="shared" si="119"/>
        <v>0</v>
      </c>
      <c r="AD186" s="61">
        <f t="shared" si="119"/>
        <v>0</v>
      </c>
      <c r="AE186" s="61">
        <f t="shared" si="119"/>
        <v>0</v>
      </c>
      <c r="AF186" s="61">
        <f t="shared" si="121"/>
        <v>0</v>
      </c>
      <c r="AG186" s="61">
        <f t="shared" si="123"/>
        <v>0</v>
      </c>
      <c r="AH186" s="61">
        <f t="shared" si="125"/>
        <v>0</v>
      </c>
      <c r="AI186" s="61">
        <f t="shared" si="127"/>
        <v>0</v>
      </c>
      <c r="AJ186" s="61">
        <f t="shared" si="129"/>
        <v>0</v>
      </c>
      <c r="AK186" s="61">
        <f t="shared" si="130"/>
        <v>0</v>
      </c>
      <c r="AL186" s="61">
        <f t="shared" si="131"/>
        <v>0</v>
      </c>
      <c r="AM186" s="61">
        <f t="shared" si="132"/>
        <v>0</v>
      </c>
      <c r="AN186" s="61">
        <f t="shared" ref="AN186:AN204" si="133">IF(AND(AN$2&gt;=$B186,AN$2&lt;$C186),$E186,0)</f>
        <v>0</v>
      </c>
      <c r="AO186" s="61"/>
      <c r="AP186" s="61">
        <f>IF(AND(AP$2&gt;=$B186,AP$2&lt;$C186),$E186,0)</f>
        <v>0</v>
      </c>
      <c r="AQ186" s="61"/>
    </row>
    <row r="187" spans="2:43" x14ac:dyDescent="0.25">
      <c r="B187" s="54">
        <v>0.54166666666424135</v>
      </c>
      <c r="C187" s="54">
        <v>0.89583333340124605</v>
      </c>
      <c r="D187" s="60"/>
      <c r="E187" s="91">
        <f>SUMMARY!T18</f>
        <v>0</v>
      </c>
      <c r="G187" s="91"/>
      <c r="H187" s="92">
        <f t="shared" si="114"/>
        <v>0</v>
      </c>
      <c r="I187" s="180">
        <f>Y$173-Y$174</f>
        <v>0</v>
      </c>
      <c r="M187" s="61">
        <f t="shared" ref="M187:V196" si="134">IF(AND(M$2&gt;=$B187,M$2&lt;$C187),$E187,0)</f>
        <v>0</v>
      </c>
      <c r="N187" s="61">
        <f t="shared" si="134"/>
        <v>0</v>
      </c>
      <c r="O187" s="61">
        <f t="shared" si="134"/>
        <v>0</v>
      </c>
      <c r="P187" s="61">
        <f t="shared" si="134"/>
        <v>0</v>
      </c>
      <c r="Q187" s="61">
        <f t="shared" si="134"/>
        <v>0</v>
      </c>
      <c r="R187" s="61">
        <f t="shared" si="134"/>
        <v>0</v>
      </c>
      <c r="S187" s="61">
        <f t="shared" si="134"/>
        <v>0</v>
      </c>
      <c r="T187" s="61">
        <f t="shared" si="134"/>
        <v>0</v>
      </c>
      <c r="U187" s="61">
        <f t="shared" si="134"/>
        <v>0</v>
      </c>
      <c r="V187" s="61">
        <f t="shared" si="134"/>
        <v>0</v>
      </c>
      <c r="W187" s="61">
        <f t="shared" ref="W187:AE196" si="135">IF(AND(W$2&gt;=$B187,W$2&lt;$C187),$E187,0)</f>
        <v>0</v>
      </c>
      <c r="X187" s="61">
        <f t="shared" si="135"/>
        <v>0</v>
      </c>
      <c r="Y187" s="61">
        <f t="shared" si="135"/>
        <v>0</v>
      </c>
      <c r="Z187" s="61">
        <f t="shared" si="135"/>
        <v>0</v>
      </c>
      <c r="AA187" s="61">
        <f t="shared" si="135"/>
        <v>0</v>
      </c>
      <c r="AB187" s="61">
        <f t="shared" si="135"/>
        <v>0</v>
      </c>
      <c r="AC187" s="61">
        <f t="shared" si="135"/>
        <v>0</v>
      </c>
      <c r="AD187" s="61">
        <f t="shared" si="135"/>
        <v>0</v>
      </c>
      <c r="AE187" s="61">
        <f t="shared" si="135"/>
        <v>0</v>
      </c>
      <c r="AF187" s="61">
        <f t="shared" si="121"/>
        <v>0</v>
      </c>
      <c r="AG187" s="61">
        <f t="shared" si="123"/>
        <v>0</v>
      </c>
      <c r="AH187" s="61">
        <f t="shared" si="125"/>
        <v>0</v>
      </c>
      <c r="AI187" s="61">
        <f t="shared" si="127"/>
        <v>0</v>
      </c>
      <c r="AJ187" s="61">
        <f t="shared" si="129"/>
        <v>0</v>
      </c>
      <c r="AK187" s="61">
        <f t="shared" si="130"/>
        <v>0</v>
      </c>
      <c r="AL187" s="61">
        <f t="shared" si="131"/>
        <v>0</v>
      </c>
      <c r="AM187" s="61">
        <f t="shared" si="132"/>
        <v>0</v>
      </c>
      <c r="AN187" s="61">
        <f t="shared" si="133"/>
        <v>0</v>
      </c>
      <c r="AO187" s="61">
        <f t="shared" ref="AO187:AO204" si="136">IF(AND(AO$2&gt;=$B187,AO$2&lt;$C187),$E187,0)</f>
        <v>0</v>
      </c>
      <c r="AP187" s="61"/>
      <c r="AQ187" s="61"/>
    </row>
    <row r="188" spans="2:43" x14ac:dyDescent="0.25">
      <c r="B188" s="54">
        <v>0.5625</v>
      </c>
      <c r="C188" s="54">
        <v>0.91666666673700503</v>
      </c>
      <c r="D188" s="60"/>
      <c r="E188" s="91">
        <f>SUMMARY!T19</f>
        <v>0</v>
      </c>
      <c r="G188" s="91"/>
      <c r="H188" s="92">
        <f t="shared" si="114"/>
        <v>0</v>
      </c>
      <c r="I188" s="180">
        <f>Z$173-Z$174</f>
        <v>0</v>
      </c>
      <c r="M188" s="61">
        <f t="shared" si="134"/>
        <v>0</v>
      </c>
      <c r="N188" s="61">
        <f t="shared" si="134"/>
        <v>0</v>
      </c>
      <c r="O188" s="61">
        <f t="shared" si="134"/>
        <v>0</v>
      </c>
      <c r="P188" s="61">
        <f t="shared" si="134"/>
        <v>0</v>
      </c>
      <c r="Q188" s="61">
        <f t="shared" si="134"/>
        <v>0</v>
      </c>
      <c r="R188" s="61">
        <f t="shared" si="134"/>
        <v>0</v>
      </c>
      <c r="S188" s="61">
        <f t="shared" si="134"/>
        <v>0</v>
      </c>
      <c r="T188" s="61">
        <f t="shared" si="134"/>
        <v>0</v>
      </c>
      <c r="U188" s="61">
        <f t="shared" si="134"/>
        <v>0</v>
      </c>
      <c r="V188" s="61">
        <f t="shared" si="134"/>
        <v>0</v>
      </c>
      <c r="W188" s="61">
        <f t="shared" si="135"/>
        <v>0</v>
      </c>
      <c r="X188" s="61">
        <f t="shared" si="135"/>
        <v>0</v>
      </c>
      <c r="Y188" s="61">
        <f t="shared" si="135"/>
        <v>0</v>
      </c>
      <c r="Z188" s="61">
        <f t="shared" si="135"/>
        <v>0</v>
      </c>
      <c r="AA188" s="61">
        <f t="shared" si="135"/>
        <v>0</v>
      </c>
      <c r="AB188" s="61">
        <f t="shared" si="135"/>
        <v>0</v>
      </c>
      <c r="AC188" s="61">
        <f t="shared" si="135"/>
        <v>0</v>
      </c>
      <c r="AD188" s="61">
        <f t="shared" si="135"/>
        <v>0</v>
      </c>
      <c r="AE188" s="61">
        <f t="shared" si="135"/>
        <v>0</v>
      </c>
      <c r="AF188" s="61">
        <f t="shared" si="121"/>
        <v>0</v>
      </c>
      <c r="AG188" s="61">
        <f t="shared" si="123"/>
        <v>0</v>
      </c>
      <c r="AH188" s="61">
        <f t="shared" si="125"/>
        <v>0</v>
      </c>
      <c r="AI188" s="61">
        <f t="shared" si="127"/>
        <v>0</v>
      </c>
      <c r="AJ188" s="61">
        <f t="shared" si="129"/>
        <v>0</v>
      </c>
      <c r="AK188" s="61">
        <f t="shared" si="130"/>
        <v>0</v>
      </c>
      <c r="AL188" s="61">
        <f t="shared" si="131"/>
        <v>0</v>
      </c>
      <c r="AM188" s="61">
        <f t="shared" si="132"/>
        <v>0</v>
      </c>
      <c r="AN188" s="61">
        <f t="shared" si="133"/>
        <v>0</v>
      </c>
      <c r="AO188" s="61">
        <f t="shared" si="136"/>
        <v>0</v>
      </c>
      <c r="AP188" s="61">
        <f t="shared" ref="AP188:AP204" si="137">IF(AND(AP$2&gt;=$B188,AP$2&lt;$C188),$E188,0)</f>
        <v>0</v>
      </c>
      <c r="AQ188" s="61"/>
    </row>
    <row r="189" spans="2:43" x14ac:dyDescent="0.25">
      <c r="B189" s="54">
        <v>0.58333333333575899</v>
      </c>
      <c r="C189" s="54">
        <v>0.93750000007276402</v>
      </c>
      <c r="D189" s="60"/>
      <c r="E189" s="91"/>
      <c r="G189" s="91"/>
      <c r="H189" s="92">
        <f t="shared" si="114"/>
        <v>0</v>
      </c>
      <c r="I189" s="180">
        <f>AA$173-AA$174</f>
        <v>0</v>
      </c>
      <c r="M189" s="61">
        <f t="shared" si="134"/>
        <v>0</v>
      </c>
      <c r="N189" s="61">
        <f t="shared" si="134"/>
        <v>0</v>
      </c>
      <c r="O189" s="61">
        <f t="shared" si="134"/>
        <v>0</v>
      </c>
      <c r="P189" s="61">
        <f t="shared" si="134"/>
        <v>0</v>
      </c>
      <c r="Q189" s="61">
        <f t="shared" si="134"/>
        <v>0</v>
      </c>
      <c r="R189" s="61">
        <f t="shared" si="134"/>
        <v>0</v>
      </c>
      <c r="S189" s="61">
        <f t="shared" si="134"/>
        <v>0</v>
      </c>
      <c r="T189" s="61">
        <f t="shared" si="134"/>
        <v>0</v>
      </c>
      <c r="U189" s="61">
        <f t="shared" si="134"/>
        <v>0</v>
      </c>
      <c r="V189" s="61">
        <f t="shared" si="134"/>
        <v>0</v>
      </c>
      <c r="W189" s="61">
        <f t="shared" si="135"/>
        <v>0</v>
      </c>
      <c r="X189" s="61">
        <f t="shared" si="135"/>
        <v>0</v>
      </c>
      <c r="Y189" s="61">
        <f t="shared" si="135"/>
        <v>0</v>
      </c>
      <c r="Z189" s="61">
        <f t="shared" si="135"/>
        <v>0</v>
      </c>
      <c r="AA189" s="61">
        <f t="shared" si="135"/>
        <v>0</v>
      </c>
      <c r="AB189" s="61">
        <f t="shared" si="135"/>
        <v>0</v>
      </c>
      <c r="AC189" s="61">
        <f t="shared" si="135"/>
        <v>0</v>
      </c>
      <c r="AD189" s="61">
        <f t="shared" si="135"/>
        <v>0</v>
      </c>
      <c r="AE189" s="61">
        <f t="shared" si="135"/>
        <v>0</v>
      </c>
      <c r="AF189" s="61">
        <f t="shared" si="121"/>
        <v>0</v>
      </c>
      <c r="AG189" s="61">
        <f t="shared" si="123"/>
        <v>0</v>
      </c>
      <c r="AH189" s="61">
        <f t="shared" si="125"/>
        <v>0</v>
      </c>
      <c r="AI189" s="61">
        <f t="shared" si="127"/>
        <v>0</v>
      </c>
      <c r="AJ189" s="61">
        <f t="shared" si="129"/>
        <v>0</v>
      </c>
      <c r="AK189" s="61">
        <f t="shared" si="130"/>
        <v>0</v>
      </c>
      <c r="AL189" s="61">
        <f t="shared" si="131"/>
        <v>0</v>
      </c>
      <c r="AM189" s="61">
        <f t="shared" si="132"/>
        <v>0</v>
      </c>
      <c r="AN189" s="61">
        <f t="shared" si="133"/>
        <v>0</v>
      </c>
      <c r="AO189" s="61">
        <f t="shared" si="136"/>
        <v>0</v>
      </c>
      <c r="AP189" s="61">
        <f t="shared" si="137"/>
        <v>0</v>
      </c>
      <c r="AQ189" s="61"/>
    </row>
    <row r="190" spans="2:43" x14ac:dyDescent="0.25">
      <c r="B190" s="54">
        <v>0.60416666667151697</v>
      </c>
      <c r="C190" s="54">
        <v>0.958333333408523</v>
      </c>
      <c r="D190" s="60"/>
      <c r="E190" s="91"/>
      <c r="G190" s="91"/>
      <c r="H190" s="92">
        <f t="shared" si="114"/>
        <v>0</v>
      </c>
      <c r="I190" s="180">
        <f>AB$173-AB$174</f>
        <v>0</v>
      </c>
      <c r="M190" s="61">
        <f t="shared" si="134"/>
        <v>0</v>
      </c>
      <c r="N190" s="61">
        <f t="shared" si="134"/>
        <v>0</v>
      </c>
      <c r="O190" s="61">
        <f t="shared" si="134"/>
        <v>0</v>
      </c>
      <c r="P190" s="61">
        <f t="shared" si="134"/>
        <v>0</v>
      </c>
      <c r="Q190" s="61">
        <f t="shared" si="134"/>
        <v>0</v>
      </c>
      <c r="R190" s="61">
        <f t="shared" si="134"/>
        <v>0</v>
      </c>
      <c r="S190" s="61">
        <f t="shared" si="134"/>
        <v>0</v>
      </c>
      <c r="T190" s="61">
        <f t="shared" si="134"/>
        <v>0</v>
      </c>
      <c r="U190" s="61">
        <f t="shared" si="134"/>
        <v>0</v>
      </c>
      <c r="V190" s="61">
        <f t="shared" si="134"/>
        <v>0</v>
      </c>
      <c r="W190" s="61">
        <f t="shared" si="135"/>
        <v>0</v>
      </c>
      <c r="X190" s="61">
        <f t="shared" si="135"/>
        <v>0</v>
      </c>
      <c r="Y190" s="61">
        <f t="shared" si="135"/>
        <v>0</v>
      </c>
      <c r="Z190" s="61">
        <f t="shared" si="135"/>
        <v>0</v>
      </c>
      <c r="AA190" s="61">
        <f t="shared" si="135"/>
        <v>0</v>
      </c>
      <c r="AB190" s="61">
        <f t="shared" si="135"/>
        <v>0</v>
      </c>
      <c r="AC190" s="61">
        <f t="shared" si="135"/>
        <v>0</v>
      </c>
      <c r="AD190" s="61">
        <f t="shared" si="135"/>
        <v>0</v>
      </c>
      <c r="AE190" s="61">
        <f t="shared" si="135"/>
        <v>0</v>
      </c>
      <c r="AF190" s="61">
        <f t="shared" si="121"/>
        <v>0</v>
      </c>
      <c r="AG190" s="61">
        <f t="shared" si="123"/>
        <v>0</v>
      </c>
      <c r="AH190" s="61">
        <f t="shared" si="125"/>
        <v>0</v>
      </c>
      <c r="AI190" s="61">
        <f t="shared" si="127"/>
        <v>0</v>
      </c>
      <c r="AJ190" s="61">
        <f t="shared" si="129"/>
        <v>0</v>
      </c>
      <c r="AK190" s="61">
        <f t="shared" si="130"/>
        <v>0</v>
      </c>
      <c r="AL190" s="61">
        <f t="shared" si="131"/>
        <v>0</v>
      </c>
      <c r="AM190" s="61">
        <f t="shared" si="132"/>
        <v>0</v>
      </c>
      <c r="AN190" s="61">
        <f t="shared" si="133"/>
        <v>0</v>
      </c>
      <c r="AO190" s="61">
        <f t="shared" si="136"/>
        <v>0</v>
      </c>
      <c r="AP190" s="61">
        <f t="shared" si="137"/>
        <v>0</v>
      </c>
      <c r="AQ190" s="61"/>
    </row>
    <row r="191" spans="2:43" x14ac:dyDescent="0.25">
      <c r="B191" s="54">
        <v>0.62500000000727596</v>
      </c>
      <c r="C191" s="54">
        <v>0.97916666674428199</v>
      </c>
      <c r="D191" s="60"/>
      <c r="E191" s="91"/>
      <c r="G191" s="91"/>
      <c r="H191" s="92">
        <f t="shared" si="114"/>
        <v>0</v>
      </c>
      <c r="I191" s="180">
        <f>AC$173-AC$174</f>
        <v>0</v>
      </c>
      <c r="M191" s="61">
        <f t="shared" si="134"/>
        <v>0</v>
      </c>
      <c r="N191" s="61">
        <f t="shared" si="134"/>
        <v>0</v>
      </c>
      <c r="O191" s="61">
        <f t="shared" si="134"/>
        <v>0</v>
      </c>
      <c r="P191" s="61">
        <f t="shared" si="134"/>
        <v>0</v>
      </c>
      <c r="Q191" s="61">
        <f t="shared" si="134"/>
        <v>0</v>
      </c>
      <c r="R191" s="61">
        <f t="shared" si="134"/>
        <v>0</v>
      </c>
      <c r="S191" s="61">
        <f t="shared" si="134"/>
        <v>0</v>
      </c>
      <c r="T191" s="61">
        <f t="shared" si="134"/>
        <v>0</v>
      </c>
      <c r="U191" s="61">
        <f t="shared" si="134"/>
        <v>0</v>
      </c>
      <c r="V191" s="61">
        <f t="shared" si="134"/>
        <v>0</v>
      </c>
      <c r="W191" s="61">
        <f t="shared" si="135"/>
        <v>0</v>
      </c>
      <c r="X191" s="61">
        <f t="shared" si="135"/>
        <v>0</v>
      </c>
      <c r="Y191" s="61">
        <f t="shared" si="135"/>
        <v>0</v>
      </c>
      <c r="Z191" s="61">
        <f t="shared" si="135"/>
        <v>0</v>
      </c>
      <c r="AA191" s="61">
        <f t="shared" si="135"/>
        <v>0</v>
      </c>
      <c r="AB191" s="61">
        <f t="shared" si="135"/>
        <v>0</v>
      </c>
      <c r="AC191" s="61">
        <f t="shared" si="135"/>
        <v>0</v>
      </c>
      <c r="AD191" s="61">
        <f t="shared" si="135"/>
        <v>0</v>
      </c>
      <c r="AE191" s="61">
        <f t="shared" si="135"/>
        <v>0</v>
      </c>
      <c r="AF191" s="61">
        <f t="shared" si="121"/>
        <v>0</v>
      </c>
      <c r="AG191" s="61">
        <f t="shared" si="123"/>
        <v>0</v>
      </c>
      <c r="AH191" s="61">
        <f t="shared" si="125"/>
        <v>0</v>
      </c>
      <c r="AI191" s="61">
        <f t="shared" si="127"/>
        <v>0</v>
      </c>
      <c r="AJ191" s="61">
        <f t="shared" si="129"/>
        <v>0</v>
      </c>
      <c r="AK191" s="61">
        <f t="shared" si="130"/>
        <v>0</v>
      </c>
      <c r="AL191" s="61">
        <f t="shared" si="131"/>
        <v>0</v>
      </c>
      <c r="AM191" s="61">
        <f t="shared" si="132"/>
        <v>0</v>
      </c>
      <c r="AN191" s="61">
        <f t="shared" si="133"/>
        <v>0</v>
      </c>
      <c r="AO191" s="61">
        <f t="shared" si="136"/>
        <v>0</v>
      </c>
      <c r="AP191" s="61">
        <f t="shared" si="137"/>
        <v>0</v>
      </c>
      <c r="AQ191" s="61"/>
    </row>
    <row r="192" spans="2:43" x14ac:dyDescent="0.25">
      <c r="B192" s="54">
        <v>0.64583333334303406</v>
      </c>
      <c r="C192" s="54">
        <v>1.00000000008004</v>
      </c>
      <c r="D192" s="60"/>
      <c r="E192" s="91"/>
      <c r="G192" s="91"/>
      <c r="H192" s="92">
        <f t="shared" si="114"/>
        <v>0</v>
      </c>
      <c r="I192" s="180">
        <f>AD$173-AD$174</f>
        <v>0</v>
      </c>
      <c r="M192" s="61">
        <f t="shared" si="134"/>
        <v>0</v>
      </c>
      <c r="N192" s="61">
        <f t="shared" si="134"/>
        <v>0</v>
      </c>
      <c r="O192" s="61">
        <f t="shared" si="134"/>
        <v>0</v>
      </c>
      <c r="P192" s="61">
        <f t="shared" si="134"/>
        <v>0</v>
      </c>
      <c r="Q192" s="61">
        <f t="shared" si="134"/>
        <v>0</v>
      </c>
      <c r="R192" s="61">
        <f t="shared" si="134"/>
        <v>0</v>
      </c>
      <c r="S192" s="61">
        <f t="shared" si="134"/>
        <v>0</v>
      </c>
      <c r="T192" s="61">
        <f t="shared" si="134"/>
        <v>0</v>
      </c>
      <c r="U192" s="61">
        <f t="shared" si="134"/>
        <v>0</v>
      </c>
      <c r="V192" s="61">
        <f t="shared" si="134"/>
        <v>0</v>
      </c>
      <c r="W192" s="61">
        <f t="shared" si="135"/>
        <v>0</v>
      </c>
      <c r="X192" s="61">
        <f t="shared" si="135"/>
        <v>0</v>
      </c>
      <c r="Y192" s="61">
        <f t="shared" si="135"/>
        <v>0</v>
      </c>
      <c r="Z192" s="61">
        <f t="shared" si="135"/>
        <v>0</v>
      </c>
      <c r="AA192" s="61">
        <f t="shared" si="135"/>
        <v>0</v>
      </c>
      <c r="AB192" s="61">
        <f t="shared" si="135"/>
        <v>0</v>
      </c>
      <c r="AC192" s="61">
        <f t="shared" si="135"/>
        <v>0</v>
      </c>
      <c r="AD192" s="61">
        <f t="shared" si="135"/>
        <v>0</v>
      </c>
      <c r="AE192" s="61">
        <f t="shared" si="135"/>
        <v>0</v>
      </c>
      <c r="AF192" s="61">
        <f t="shared" si="121"/>
        <v>0</v>
      </c>
      <c r="AG192" s="61">
        <f t="shared" si="123"/>
        <v>0</v>
      </c>
      <c r="AH192" s="61">
        <f t="shared" si="125"/>
        <v>0</v>
      </c>
      <c r="AI192" s="61">
        <f t="shared" si="127"/>
        <v>0</v>
      </c>
      <c r="AJ192" s="61">
        <f t="shared" si="129"/>
        <v>0</v>
      </c>
      <c r="AK192" s="61">
        <f t="shared" si="130"/>
        <v>0</v>
      </c>
      <c r="AL192" s="61">
        <f t="shared" si="131"/>
        <v>0</v>
      </c>
      <c r="AM192" s="61">
        <f t="shared" si="132"/>
        <v>0</v>
      </c>
      <c r="AN192" s="61">
        <f t="shared" si="133"/>
        <v>0</v>
      </c>
      <c r="AO192" s="61">
        <f t="shared" si="136"/>
        <v>0</v>
      </c>
      <c r="AP192" s="61">
        <f t="shared" si="137"/>
        <v>0</v>
      </c>
      <c r="AQ192" s="61"/>
    </row>
    <row r="193" spans="2:43" x14ac:dyDescent="0.25">
      <c r="B193" s="54">
        <v>0.66666666667879304</v>
      </c>
      <c r="C193" s="54">
        <v>1.0208333334158</v>
      </c>
      <c r="D193" s="60"/>
      <c r="E193" s="91"/>
      <c r="G193" s="91"/>
      <c r="H193" s="92">
        <f t="shared" si="114"/>
        <v>0</v>
      </c>
      <c r="I193" s="180">
        <f>AE$173-AE$174</f>
        <v>0</v>
      </c>
      <c r="M193" s="61">
        <f t="shared" si="134"/>
        <v>0</v>
      </c>
      <c r="N193" s="61">
        <f t="shared" si="134"/>
        <v>0</v>
      </c>
      <c r="O193" s="61">
        <f t="shared" si="134"/>
        <v>0</v>
      </c>
      <c r="P193" s="61">
        <f t="shared" si="134"/>
        <v>0</v>
      </c>
      <c r="Q193" s="61">
        <f t="shared" si="134"/>
        <v>0</v>
      </c>
      <c r="R193" s="61">
        <f t="shared" si="134"/>
        <v>0</v>
      </c>
      <c r="S193" s="61">
        <f t="shared" si="134"/>
        <v>0</v>
      </c>
      <c r="T193" s="61">
        <f t="shared" si="134"/>
        <v>0</v>
      </c>
      <c r="U193" s="61">
        <f t="shared" si="134"/>
        <v>0</v>
      </c>
      <c r="V193" s="61">
        <f t="shared" si="134"/>
        <v>0</v>
      </c>
      <c r="W193" s="61">
        <f t="shared" si="135"/>
        <v>0</v>
      </c>
      <c r="X193" s="61">
        <f t="shared" si="135"/>
        <v>0</v>
      </c>
      <c r="Y193" s="61">
        <f t="shared" si="135"/>
        <v>0</v>
      </c>
      <c r="Z193" s="61">
        <f t="shared" si="135"/>
        <v>0</v>
      </c>
      <c r="AA193" s="61">
        <f t="shared" si="135"/>
        <v>0</v>
      </c>
      <c r="AB193" s="61">
        <f t="shared" si="135"/>
        <v>0</v>
      </c>
      <c r="AC193" s="61">
        <f t="shared" si="135"/>
        <v>0</v>
      </c>
      <c r="AD193" s="61">
        <f t="shared" si="135"/>
        <v>0</v>
      </c>
      <c r="AE193" s="61">
        <f t="shared" si="135"/>
        <v>0</v>
      </c>
      <c r="AF193" s="61">
        <f t="shared" si="121"/>
        <v>0</v>
      </c>
      <c r="AG193" s="61">
        <f t="shared" si="123"/>
        <v>0</v>
      </c>
      <c r="AH193" s="61">
        <f t="shared" si="125"/>
        <v>0</v>
      </c>
      <c r="AI193" s="61">
        <f t="shared" si="127"/>
        <v>0</v>
      </c>
      <c r="AJ193" s="61">
        <f t="shared" si="129"/>
        <v>0</v>
      </c>
      <c r="AK193" s="61">
        <f t="shared" si="130"/>
        <v>0</v>
      </c>
      <c r="AL193" s="61">
        <f t="shared" si="131"/>
        <v>0</v>
      </c>
      <c r="AM193" s="61">
        <f t="shared" si="132"/>
        <v>0</v>
      </c>
      <c r="AN193" s="61">
        <f t="shared" si="133"/>
        <v>0</v>
      </c>
      <c r="AO193" s="61">
        <f t="shared" si="136"/>
        <v>0</v>
      </c>
      <c r="AP193" s="61">
        <f t="shared" si="137"/>
        <v>0</v>
      </c>
      <c r="AQ193" s="61"/>
    </row>
    <row r="194" spans="2:43" x14ac:dyDescent="0.25">
      <c r="B194" s="54">
        <v>0.68750000001455203</v>
      </c>
      <c r="C194" s="54">
        <v>1.0416666667515599</v>
      </c>
      <c r="D194" s="60"/>
      <c r="E194" s="91"/>
      <c r="G194" s="91"/>
      <c r="H194" s="92">
        <f t="shared" si="114"/>
        <v>0</v>
      </c>
      <c r="I194" s="180">
        <f>AF$173-AF$174</f>
        <v>0</v>
      </c>
      <c r="M194" s="61">
        <f t="shared" si="134"/>
        <v>0</v>
      </c>
      <c r="N194" s="61">
        <f t="shared" si="134"/>
        <v>0</v>
      </c>
      <c r="O194" s="61">
        <f t="shared" si="134"/>
        <v>0</v>
      </c>
      <c r="P194" s="61">
        <f t="shared" si="134"/>
        <v>0</v>
      </c>
      <c r="Q194" s="61">
        <f t="shared" si="134"/>
        <v>0</v>
      </c>
      <c r="R194" s="61">
        <f t="shared" si="134"/>
        <v>0</v>
      </c>
      <c r="S194" s="61">
        <f t="shared" si="134"/>
        <v>0</v>
      </c>
      <c r="T194" s="61">
        <f t="shared" si="134"/>
        <v>0</v>
      </c>
      <c r="U194" s="61">
        <f t="shared" si="134"/>
        <v>0</v>
      </c>
      <c r="V194" s="61">
        <f t="shared" si="134"/>
        <v>0</v>
      </c>
      <c r="W194" s="61">
        <f t="shared" si="135"/>
        <v>0</v>
      </c>
      <c r="X194" s="61">
        <f t="shared" si="135"/>
        <v>0</v>
      </c>
      <c r="Y194" s="61">
        <f t="shared" si="135"/>
        <v>0</v>
      </c>
      <c r="Z194" s="61">
        <f t="shared" si="135"/>
        <v>0</v>
      </c>
      <c r="AA194" s="61">
        <f t="shared" si="135"/>
        <v>0</v>
      </c>
      <c r="AB194" s="61">
        <f t="shared" si="135"/>
        <v>0</v>
      </c>
      <c r="AC194" s="61">
        <f t="shared" si="135"/>
        <v>0</v>
      </c>
      <c r="AD194" s="61">
        <f t="shared" si="135"/>
        <v>0</v>
      </c>
      <c r="AE194" s="61">
        <f t="shared" si="135"/>
        <v>0</v>
      </c>
      <c r="AF194" s="61">
        <f t="shared" si="121"/>
        <v>0</v>
      </c>
      <c r="AG194" s="61">
        <f t="shared" si="123"/>
        <v>0</v>
      </c>
      <c r="AH194" s="61">
        <f t="shared" si="125"/>
        <v>0</v>
      </c>
      <c r="AI194" s="61">
        <f t="shared" si="127"/>
        <v>0</v>
      </c>
      <c r="AJ194" s="61">
        <f t="shared" si="129"/>
        <v>0</v>
      </c>
      <c r="AK194" s="61">
        <f t="shared" si="130"/>
        <v>0</v>
      </c>
      <c r="AL194" s="61">
        <f t="shared" si="131"/>
        <v>0</v>
      </c>
      <c r="AM194" s="61">
        <f t="shared" si="132"/>
        <v>0</v>
      </c>
      <c r="AN194" s="61">
        <f t="shared" si="133"/>
        <v>0</v>
      </c>
      <c r="AO194" s="61">
        <f t="shared" si="136"/>
        <v>0</v>
      </c>
      <c r="AP194" s="61">
        <f t="shared" si="137"/>
        <v>0</v>
      </c>
      <c r="AQ194" s="61"/>
    </row>
    <row r="195" spans="2:43" x14ac:dyDescent="0.25">
      <c r="B195" s="54">
        <v>0.70833333335031001</v>
      </c>
      <c r="C195" s="54">
        <v>1.0625000000873199</v>
      </c>
      <c r="D195" s="60"/>
      <c r="E195" s="91"/>
      <c r="G195" s="91"/>
      <c r="H195" s="92">
        <f t="shared" si="114"/>
        <v>0</v>
      </c>
      <c r="I195" s="180">
        <f>AG$173-AG$174</f>
        <v>0</v>
      </c>
      <c r="M195" s="61">
        <f t="shared" si="134"/>
        <v>0</v>
      </c>
      <c r="N195" s="61">
        <f t="shared" si="134"/>
        <v>0</v>
      </c>
      <c r="O195" s="61">
        <f t="shared" si="134"/>
        <v>0</v>
      </c>
      <c r="P195" s="61">
        <f t="shared" si="134"/>
        <v>0</v>
      </c>
      <c r="Q195" s="61">
        <f t="shared" si="134"/>
        <v>0</v>
      </c>
      <c r="R195" s="61">
        <f t="shared" si="134"/>
        <v>0</v>
      </c>
      <c r="S195" s="61">
        <f t="shared" si="134"/>
        <v>0</v>
      </c>
      <c r="T195" s="61">
        <f t="shared" si="134"/>
        <v>0</v>
      </c>
      <c r="U195" s="61">
        <f t="shared" si="134"/>
        <v>0</v>
      </c>
      <c r="V195" s="61">
        <f t="shared" si="134"/>
        <v>0</v>
      </c>
      <c r="W195" s="61">
        <f t="shared" si="135"/>
        <v>0</v>
      </c>
      <c r="X195" s="61">
        <f t="shared" si="135"/>
        <v>0</v>
      </c>
      <c r="Y195" s="61">
        <f t="shared" si="135"/>
        <v>0</v>
      </c>
      <c r="Z195" s="61">
        <f t="shared" si="135"/>
        <v>0</v>
      </c>
      <c r="AA195" s="61">
        <f t="shared" si="135"/>
        <v>0</v>
      </c>
      <c r="AB195" s="61">
        <f t="shared" si="135"/>
        <v>0</v>
      </c>
      <c r="AC195" s="61">
        <f t="shared" si="135"/>
        <v>0</v>
      </c>
      <c r="AD195" s="61">
        <f t="shared" si="135"/>
        <v>0</v>
      </c>
      <c r="AE195" s="61">
        <f t="shared" si="135"/>
        <v>0</v>
      </c>
      <c r="AF195" s="61">
        <f t="shared" si="121"/>
        <v>0</v>
      </c>
      <c r="AG195" s="61">
        <f t="shared" si="123"/>
        <v>0</v>
      </c>
      <c r="AH195" s="61">
        <f t="shared" si="125"/>
        <v>0</v>
      </c>
      <c r="AI195" s="61">
        <f t="shared" si="127"/>
        <v>0</v>
      </c>
      <c r="AJ195" s="61">
        <f t="shared" si="129"/>
        <v>0</v>
      </c>
      <c r="AK195" s="61">
        <f t="shared" si="130"/>
        <v>0</v>
      </c>
      <c r="AL195" s="61">
        <f t="shared" si="131"/>
        <v>0</v>
      </c>
      <c r="AM195" s="61">
        <f t="shared" si="132"/>
        <v>0</v>
      </c>
      <c r="AN195" s="61">
        <f t="shared" si="133"/>
        <v>0</v>
      </c>
      <c r="AO195" s="61">
        <f t="shared" si="136"/>
        <v>0</v>
      </c>
      <c r="AP195" s="61">
        <f t="shared" si="137"/>
        <v>0</v>
      </c>
      <c r="AQ195" s="61"/>
    </row>
    <row r="196" spans="2:43" x14ac:dyDescent="0.25">
      <c r="B196" s="54">
        <v>0.729166666686069</v>
      </c>
      <c r="C196" s="54">
        <v>1.0833333334230799</v>
      </c>
      <c r="D196" s="60"/>
      <c r="E196" s="91"/>
      <c r="G196" s="91"/>
      <c r="H196" s="92">
        <f t="shared" si="114"/>
        <v>0</v>
      </c>
      <c r="I196" s="180">
        <f>AH$173-AH$174</f>
        <v>0</v>
      </c>
      <c r="M196" s="61">
        <f t="shared" si="134"/>
        <v>0</v>
      </c>
      <c r="N196" s="61">
        <f t="shared" si="134"/>
        <v>0</v>
      </c>
      <c r="O196" s="61">
        <f t="shared" si="134"/>
        <v>0</v>
      </c>
      <c r="P196" s="61">
        <f t="shared" si="134"/>
        <v>0</v>
      </c>
      <c r="Q196" s="61">
        <f t="shared" si="134"/>
        <v>0</v>
      </c>
      <c r="R196" s="61">
        <f t="shared" si="134"/>
        <v>0</v>
      </c>
      <c r="S196" s="61">
        <f t="shared" si="134"/>
        <v>0</v>
      </c>
      <c r="T196" s="61">
        <f t="shared" si="134"/>
        <v>0</v>
      </c>
      <c r="U196" s="61">
        <f t="shared" si="134"/>
        <v>0</v>
      </c>
      <c r="V196" s="61">
        <f t="shared" si="134"/>
        <v>0</v>
      </c>
      <c r="W196" s="61">
        <f t="shared" si="135"/>
        <v>0</v>
      </c>
      <c r="X196" s="61">
        <f t="shared" si="135"/>
        <v>0</v>
      </c>
      <c r="Y196" s="61">
        <f t="shared" si="135"/>
        <v>0</v>
      </c>
      <c r="Z196" s="61">
        <f t="shared" si="135"/>
        <v>0</v>
      </c>
      <c r="AA196" s="61">
        <f t="shared" si="135"/>
        <v>0</v>
      </c>
      <c r="AB196" s="61">
        <f t="shared" si="135"/>
        <v>0</v>
      </c>
      <c r="AC196" s="61">
        <f t="shared" si="135"/>
        <v>0</v>
      </c>
      <c r="AD196" s="61">
        <f t="shared" si="135"/>
        <v>0</v>
      </c>
      <c r="AE196" s="61">
        <f t="shared" si="135"/>
        <v>0</v>
      </c>
      <c r="AF196" s="61">
        <f t="shared" si="121"/>
        <v>0</v>
      </c>
      <c r="AG196" s="61">
        <f t="shared" si="123"/>
        <v>0</v>
      </c>
      <c r="AH196" s="61">
        <f t="shared" si="125"/>
        <v>0</v>
      </c>
      <c r="AI196" s="61">
        <f t="shared" si="127"/>
        <v>0</v>
      </c>
      <c r="AJ196" s="61">
        <f t="shared" si="129"/>
        <v>0</v>
      </c>
      <c r="AK196" s="61">
        <f t="shared" si="130"/>
        <v>0</v>
      </c>
      <c r="AL196" s="61">
        <f t="shared" si="131"/>
        <v>0</v>
      </c>
      <c r="AM196" s="61">
        <f t="shared" si="132"/>
        <v>0</v>
      </c>
      <c r="AN196" s="61">
        <f t="shared" si="133"/>
        <v>0</v>
      </c>
      <c r="AO196" s="61">
        <f t="shared" si="136"/>
        <v>0</v>
      </c>
      <c r="AP196" s="61">
        <f t="shared" si="137"/>
        <v>0</v>
      </c>
      <c r="AQ196" s="61"/>
    </row>
    <row r="197" spans="2:43" x14ac:dyDescent="0.25">
      <c r="B197" s="54">
        <v>0.75000000002182798</v>
      </c>
      <c r="C197" s="54">
        <v>1.1041666667588399</v>
      </c>
      <c r="D197" s="60"/>
      <c r="E197" s="91"/>
      <c r="G197" s="91"/>
      <c r="H197" s="92">
        <f t="shared" si="114"/>
        <v>0</v>
      </c>
      <c r="I197" s="180">
        <f>AI$173-AI$174</f>
        <v>0</v>
      </c>
      <c r="M197" s="61">
        <f t="shared" ref="M197:V204" si="138">IF(AND(M$2&gt;=$B197,M$2&lt;$C197),$E197,0)</f>
        <v>0</v>
      </c>
      <c r="N197" s="61">
        <f t="shared" si="138"/>
        <v>0</v>
      </c>
      <c r="O197" s="61">
        <f t="shared" si="138"/>
        <v>0</v>
      </c>
      <c r="P197" s="61">
        <f t="shared" si="138"/>
        <v>0</v>
      </c>
      <c r="Q197" s="61">
        <f t="shared" si="138"/>
        <v>0</v>
      </c>
      <c r="R197" s="61">
        <f t="shared" si="138"/>
        <v>0</v>
      </c>
      <c r="S197" s="61">
        <f t="shared" si="138"/>
        <v>0</v>
      </c>
      <c r="T197" s="61">
        <f t="shared" si="138"/>
        <v>0</v>
      </c>
      <c r="U197" s="61">
        <f t="shared" si="138"/>
        <v>0</v>
      </c>
      <c r="V197" s="61">
        <f t="shared" si="138"/>
        <v>0</v>
      </c>
      <c r="W197" s="61">
        <f t="shared" ref="W197:AE204" si="139">IF(AND(W$2&gt;=$B197,W$2&lt;$C197),$E197,0)</f>
        <v>0</v>
      </c>
      <c r="X197" s="61">
        <f t="shared" si="139"/>
        <v>0</v>
      </c>
      <c r="Y197" s="61">
        <f t="shared" si="139"/>
        <v>0</v>
      </c>
      <c r="Z197" s="61">
        <f t="shared" si="139"/>
        <v>0</v>
      </c>
      <c r="AA197" s="61">
        <f t="shared" si="139"/>
        <v>0</v>
      </c>
      <c r="AB197" s="61">
        <f t="shared" si="139"/>
        <v>0</v>
      </c>
      <c r="AC197" s="61">
        <f t="shared" si="139"/>
        <v>0</v>
      </c>
      <c r="AD197" s="61">
        <f t="shared" si="139"/>
        <v>0</v>
      </c>
      <c r="AE197" s="61">
        <f t="shared" si="139"/>
        <v>0</v>
      </c>
      <c r="AF197" s="61">
        <f t="shared" si="121"/>
        <v>0</v>
      </c>
      <c r="AG197" s="61">
        <f t="shared" si="123"/>
        <v>0</v>
      </c>
      <c r="AH197" s="61">
        <f t="shared" si="125"/>
        <v>0</v>
      </c>
      <c r="AI197" s="61">
        <f t="shared" si="127"/>
        <v>0</v>
      </c>
      <c r="AJ197" s="61">
        <f t="shared" si="129"/>
        <v>0</v>
      </c>
      <c r="AK197" s="61">
        <f t="shared" si="130"/>
        <v>0</v>
      </c>
      <c r="AL197" s="61">
        <f t="shared" si="131"/>
        <v>0</v>
      </c>
      <c r="AM197" s="61">
        <f t="shared" si="132"/>
        <v>0</v>
      </c>
      <c r="AN197" s="61">
        <f t="shared" si="133"/>
        <v>0</v>
      </c>
      <c r="AO197" s="61">
        <f t="shared" si="136"/>
        <v>0</v>
      </c>
      <c r="AP197" s="61">
        <f t="shared" si="137"/>
        <v>0</v>
      </c>
      <c r="AQ197" s="61"/>
    </row>
    <row r="198" spans="2:43" x14ac:dyDescent="0.25">
      <c r="B198" s="54">
        <v>0.77083333335758597</v>
      </c>
      <c r="C198" s="54">
        <v>1.1250000000945899</v>
      </c>
      <c r="D198" s="60"/>
      <c r="E198" s="91"/>
      <c r="G198" s="91"/>
      <c r="H198" s="92">
        <f t="shared" si="114"/>
        <v>0</v>
      </c>
      <c r="I198" s="180">
        <f>AJ$173-AJ$174</f>
        <v>0</v>
      </c>
      <c r="M198" s="61">
        <f t="shared" si="138"/>
        <v>0</v>
      </c>
      <c r="N198" s="61">
        <f t="shared" si="138"/>
        <v>0</v>
      </c>
      <c r="O198" s="61">
        <f t="shared" si="138"/>
        <v>0</v>
      </c>
      <c r="P198" s="61">
        <f t="shared" si="138"/>
        <v>0</v>
      </c>
      <c r="Q198" s="61">
        <f t="shared" si="138"/>
        <v>0</v>
      </c>
      <c r="R198" s="61">
        <f t="shared" si="138"/>
        <v>0</v>
      </c>
      <c r="S198" s="61">
        <f t="shared" si="138"/>
        <v>0</v>
      </c>
      <c r="T198" s="61">
        <f t="shared" si="138"/>
        <v>0</v>
      </c>
      <c r="U198" s="61">
        <f t="shared" si="138"/>
        <v>0</v>
      </c>
      <c r="V198" s="61">
        <f t="shared" si="138"/>
        <v>0</v>
      </c>
      <c r="W198" s="61">
        <f t="shared" si="139"/>
        <v>0</v>
      </c>
      <c r="X198" s="61">
        <f t="shared" si="139"/>
        <v>0</v>
      </c>
      <c r="Y198" s="61">
        <f t="shared" si="139"/>
        <v>0</v>
      </c>
      <c r="Z198" s="61">
        <f t="shared" si="139"/>
        <v>0</v>
      </c>
      <c r="AA198" s="61">
        <f t="shared" si="139"/>
        <v>0</v>
      </c>
      <c r="AB198" s="61">
        <f t="shared" si="139"/>
        <v>0</v>
      </c>
      <c r="AC198" s="61">
        <f t="shared" si="139"/>
        <v>0</v>
      </c>
      <c r="AD198" s="61">
        <f t="shared" si="139"/>
        <v>0</v>
      </c>
      <c r="AE198" s="61">
        <f t="shared" si="139"/>
        <v>0</v>
      </c>
      <c r="AF198" s="61">
        <f t="shared" si="121"/>
        <v>0</v>
      </c>
      <c r="AG198" s="61">
        <f t="shared" si="123"/>
        <v>0</v>
      </c>
      <c r="AH198" s="61">
        <f t="shared" si="125"/>
        <v>0</v>
      </c>
      <c r="AI198" s="61">
        <f t="shared" si="127"/>
        <v>0</v>
      </c>
      <c r="AJ198" s="61">
        <f t="shared" si="129"/>
        <v>0</v>
      </c>
      <c r="AK198" s="61">
        <f t="shared" si="130"/>
        <v>0</v>
      </c>
      <c r="AL198" s="61">
        <f t="shared" si="131"/>
        <v>0</v>
      </c>
      <c r="AM198" s="61">
        <f t="shared" si="132"/>
        <v>0</v>
      </c>
      <c r="AN198" s="61">
        <f t="shared" si="133"/>
        <v>0</v>
      </c>
      <c r="AO198" s="61">
        <f t="shared" si="136"/>
        <v>0</v>
      </c>
      <c r="AP198" s="61">
        <f t="shared" si="137"/>
        <v>0</v>
      </c>
      <c r="AQ198" s="61"/>
    </row>
    <row r="199" spans="2:43" x14ac:dyDescent="0.25">
      <c r="B199" s="54">
        <v>0.79166666669334496</v>
      </c>
      <c r="C199" s="54">
        <v>1.1458333334303501</v>
      </c>
      <c r="D199" s="60"/>
      <c r="E199" s="91"/>
      <c r="G199" s="91"/>
      <c r="H199" s="92">
        <f t="shared" si="114"/>
        <v>0</v>
      </c>
      <c r="I199" s="180">
        <f>AK$173-AK$174</f>
        <v>0</v>
      </c>
      <c r="M199" s="61">
        <f t="shared" si="138"/>
        <v>0</v>
      </c>
      <c r="N199" s="61">
        <f t="shared" si="138"/>
        <v>0</v>
      </c>
      <c r="O199" s="61">
        <f t="shared" si="138"/>
        <v>0</v>
      </c>
      <c r="P199" s="61">
        <f t="shared" si="138"/>
        <v>0</v>
      </c>
      <c r="Q199" s="61">
        <f t="shared" si="138"/>
        <v>0</v>
      </c>
      <c r="R199" s="61">
        <f t="shared" si="138"/>
        <v>0</v>
      </c>
      <c r="S199" s="61">
        <f t="shared" si="138"/>
        <v>0</v>
      </c>
      <c r="T199" s="61">
        <f t="shared" si="138"/>
        <v>0</v>
      </c>
      <c r="U199" s="61">
        <f t="shared" si="138"/>
        <v>0</v>
      </c>
      <c r="V199" s="61">
        <f t="shared" si="138"/>
        <v>0</v>
      </c>
      <c r="W199" s="61">
        <f t="shared" si="139"/>
        <v>0</v>
      </c>
      <c r="X199" s="61">
        <f t="shared" si="139"/>
        <v>0</v>
      </c>
      <c r="Y199" s="61">
        <f t="shared" si="139"/>
        <v>0</v>
      </c>
      <c r="Z199" s="61">
        <f t="shared" si="139"/>
        <v>0</v>
      </c>
      <c r="AA199" s="61">
        <f t="shared" si="139"/>
        <v>0</v>
      </c>
      <c r="AB199" s="61">
        <f t="shared" si="139"/>
        <v>0</v>
      </c>
      <c r="AC199" s="61">
        <f t="shared" si="139"/>
        <v>0</v>
      </c>
      <c r="AD199" s="61">
        <f t="shared" si="139"/>
        <v>0</v>
      </c>
      <c r="AE199" s="61">
        <f t="shared" si="139"/>
        <v>0</v>
      </c>
      <c r="AF199" s="61">
        <f t="shared" si="121"/>
        <v>0</v>
      </c>
      <c r="AG199" s="61">
        <f t="shared" si="123"/>
        <v>0</v>
      </c>
      <c r="AH199" s="61">
        <f t="shared" si="125"/>
        <v>0</v>
      </c>
      <c r="AI199" s="61">
        <f t="shared" si="127"/>
        <v>0</v>
      </c>
      <c r="AJ199" s="61">
        <f t="shared" si="129"/>
        <v>0</v>
      </c>
      <c r="AK199" s="61">
        <f t="shared" si="130"/>
        <v>0</v>
      </c>
      <c r="AL199" s="61">
        <f t="shared" si="131"/>
        <v>0</v>
      </c>
      <c r="AM199" s="61">
        <f t="shared" si="132"/>
        <v>0</v>
      </c>
      <c r="AN199" s="61">
        <f t="shared" si="133"/>
        <v>0</v>
      </c>
      <c r="AO199" s="61">
        <f t="shared" si="136"/>
        <v>0</v>
      </c>
      <c r="AP199" s="61">
        <f t="shared" si="137"/>
        <v>0</v>
      </c>
      <c r="AQ199" s="61"/>
    </row>
    <row r="200" spans="2:43" x14ac:dyDescent="0.25">
      <c r="B200" s="54">
        <v>0.81250000002910305</v>
      </c>
      <c r="C200" s="54">
        <v>1.1666666667661101</v>
      </c>
      <c r="D200" s="60"/>
      <c r="E200" s="91"/>
      <c r="G200" s="91"/>
      <c r="H200" s="92">
        <f t="shared" si="114"/>
        <v>0</v>
      </c>
      <c r="I200" s="180">
        <f>AL$173-AL$174</f>
        <v>0</v>
      </c>
      <c r="M200" s="61">
        <f t="shared" si="138"/>
        <v>0</v>
      </c>
      <c r="N200" s="61">
        <f t="shared" si="138"/>
        <v>0</v>
      </c>
      <c r="O200" s="61">
        <f t="shared" si="138"/>
        <v>0</v>
      </c>
      <c r="P200" s="61">
        <f t="shared" si="138"/>
        <v>0</v>
      </c>
      <c r="Q200" s="61">
        <f t="shared" si="138"/>
        <v>0</v>
      </c>
      <c r="R200" s="61">
        <f t="shared" si="138"/>
        <v>0</v>
      </c>
      <c r="S200" s="61">
        <f t="shared" si="138"/>
        <v>0</v>
      </c>
      <c r="T200" s="61">
        <f t="shared" si="138"/>
        <v>0</v>
      </c>
      <c r="U200" s="61">
        <f t="shared" si="138"/>
        <v>0</v>
      </c>
      <c r="V200" s="61">
        <f t="shared" si="138"/>
        <v>0</v>
      </c>
      <c r="W200" s="61">
        <f t="shared" si="139"/>
        <v>0</v>
      </c>
      <c r="X200" s="61">
        <f t="shared" si="139"/>
        <v>0</v>
      </c>
      <c r="Y200" s="61">
        <f t="shared" si="139"/>
        <v>0</v>
      </c>
      <c r="Z200" s="61">
        <f t="shared" si="139"/>
        <v>0</v>
      </c>
      <c r="AA200" s="61">
        <f t="shared" si="139"/>
        <v>0</v>
      </c>
      <c r="AB200" s="61">
        <f t="shared" si="139"/>
        <v>0</v>
      </c>
      <c r="AC200" s="61">
        <f t="shared" si="139"/>
        <v>0</v>
      </c>
      <c r="AD200" s="61">
        <f t="shared" si="139"/>
        <v>0</v>
      </c>
      <c r="AE200" s="61">
        <f t="shared" si="139"/>
        <v>0</v>
      </c>
      <c r="AF200" s="61">
        <f t="shared" si="121"/>
        <v>0</v>
      </c>
      <c r="AG200" s="61">
        <f t="shared" si="123"/>
        <v>0</v>
      </c>
      <c r="AH200" s="61">
        <f t="shared" si="125"/>
        <v>0</v>
      </c>
      <c r="AI200" s="61">
        <f t="shared" si="127"/>
        <v>0</v>
      </c>
      <c r="AJ200" s="61">
        <f t="shared" si="129"/>
        <v>0</v>
      </c>
      <c r="AK200" s="61">
        <f t="shared" si="130"/>
        <v>0</v>
      </c>
      <c r="AL200" s="61">
        <f t="shared" si="131"/>
        <v>0</v>
      </c>
      <c r="AM200" s="61">
        <f t="shared" si="132"/>
        <v>0</v>
      </c>
      <c r="AN200" s="61">
        <f t="shared" si="133"/>
        <v>0</v>
      </c>
      <c r="AO200" s="61">
        <f t="shared" si="136"/>
        <v>0</v>
      </c>
      <c r="AP200" s="61">
        <f t="shared" si="137"/>
        <v>0</v>
      </c>
      <c r="AQ200" s="61"/>
    </row>
    <row r="201" spans="2:43" x14ac:dyDescent="0.25">
      <c r="B201" s="54">
        <v>0.83333333336486204</v>
      </c>
      <c r="C201" s="54">
        <v>1.1875000001018701</v>
      </c>
      <c r="D201" s="60"/>
      <c r="E201" s="91"/>
      <c r="G201" s="91"/>
      <c r="H201" s="92">
        <f t="shared" si="114"/>
        <v>0</v>
      </c>
      <c r="I201" s="180">
        <f>AM$173-AM$174</f>
        <v>0</v>
      </c>
      <c r="M201" s="61">
        <f t="shared" si="138"/>
        <v>0</v>
      </c>
      <c r="N201" s="61">
        <f t="shared" si="138"/>
        <v>0</v>
      </c>
      <c r="O201" s="61">
        <f t="shared" si="138"/>
        <v>0</v>
      </c>
      <c r="P201" s="61">
        <f t="shared" si="138"/>
        <v>0</v>
      </c>
      <c r="Q201" s="61">
        <f t="shared" si="138"/>
        <v>0</v>
      </c>
      <c r="R201" s="61">
        <f t="shared" si="138"/>
        <v>0</v>
      </c>
      <c r="S201" s="61">
        <f t="shared" si="138"/>
        <v>0</v>
      </c>
      <c r="T201" s="61">
        <f t="shared" si="138"/>
        <v>0</v>
      </c>
      <c r="U201" s="61">
        <f t="shared" si="138"/>
        <v>0</v>
      </c>
      <c r="V201" s="61">
        <f t="shared" si="138"/>
        <v>0</v>
      </c>
      <c r="W201" s="61">
        <f t="shared" si="139"/>
        <v>0</v>
      </c>
      <c r="X201" s="61">
        <f t="shared" si="139"/>
        <v>0</v>
      </c>
      <c r="Y201" s="61">
        <f t="shared" si="139"/>
        <v>0</v>
      </c>
      <c r="Z201" s="61">
        <f t="shared" si="139"/>
        <v>0</v>
      </c>
      <c r="AA201" s="61">
        <f t="shared" si="139"/>
        <v>0</v>
      </c>
      <c r="AB201" s="61">
        <f t="shared" si="139"/>
        <v>0</v>
      </c>
      <c r="AC201" s="61">
        <f t="shared" si="139"/>
        <v>0</v>
      </c>
      <c r="AD201" s="61">
        <f t="shared" si="139"/>
        <v>0</v>
      </c>
      <c r="AE201" s="61">
        <f t="shared" si="139"/>
        <v>0</v>
      </c>
      <c r="AF201" s="61">
        <f t="shared" si="121"/>
        <v>0</v>
      </c>
      <c r="AG201" s="61">
        <f t="shared" si="123"/>
        <v>0</v>
      </c>
      <c r="AH201" s="61">
        <f t="shared" si="125"/>
        <v>0</v>
      </c>
      <c r="AI201" s="61">
        <f t="shared" si="127"/>
        <v>0</v>
      </c>
      <c r="AJ201" s="61">
        <f t="shared" si="129"/>
        <v>0</v>
      </c>
      <c r="AK201" s="61">
        <f t="shared" si="130"/>
        <v>0</v>
      </c>
      <c r="AL201" s="61">
        <f t="shared" si="131"/>
        <v>0</v>
      </c>
      <c r="AM201" s="61">
        <f t="shared" si="132"/>
        <v>0</v>
      </c>
      <c r="AN201" s="61">
        <f t="shared" si="133"/>
        <v>0</v>
      </c>
      <c r="AO201" s="61">
        <f t="shared" si="136"/>
        <v>0</v>
      </c>
      <c r="AP201" s="61">
        <f t="shared" si="137"/>
        <v>0</v>
      </c>
      <c r="AQ201" s="61"/>
    </row>
    <row r="202" spans="2:43" x14ac:dyDescent="0.25">
      <c r="B202" s="54">
        <v>0.85416666670062102</v>
      </c>
      <c r="C202" s="54">
        <v>1.2083333334376301</v>
      </c>
      <c r="D202" s="60"/>
      <c r="E202" s="91"/>
      <c r="G202" s="91"/>
      <c r="H202" s="92">
        <f t="shared" si="114"/>
        <v>0</v>
      </c>
      <c r="I202" s="180">
        <f>AN$173-AN$174</f>
        <v>0</v>
      </c>
      <c r="M202" s="61">
        <f t="shared" si="138"/>
        <v>0</v>
      </c>
      <c r="N202" s="61">
        <f t="shared" si="138"/>
        <v>0</v>
      </c>
      <c r="O202" s="61">
        <f t="shared" si="138"/>
        <v>0</v>
      </c>
      <c r="P202" s="61">
        <f t="shared" si="138"/>
        <v>0</v>
      </c>
      <c r="Q202" s="61">
        <f t="shared" si="138"/>
        <v>0</v>
      </c>
      <c r="R202" s="61">
        <f t="shared" si="138"/>
        <v>0</v>
      </c>
      <c r="S202" s="61">
        <f t="shared" si="138"/>
        <v>0</v>
      </c>
      <c r="T202" s="61">
        <f t="shared" si="138"/>
        <v>0</v>
      </c>
      <c r="U202" s="61">
        <f t="shared" si="138"/>
        <v>0</v>
      </c>
      <c r="V202" s="61">
        <f t="shared" si="138"/>
        <v>0</v>
      </c>
      <c r="W202" s="61">
        <f t="shared" si="139"/>
        <v>0</v>
      </c>
      <c r="X202" s="61">
        <f t="shared" si="139"/>
        <v>0</v>
      </c>
      <c r="Y202" s="61">
        <f t="shared" si="139"/>
        <v>0</v>
      </c>
      <c r="Z202" s="61">
        <f t="shared" si="139"/>
        <v>0</v>
      </c>
      <c r="AA202" s="61">
        <f t="shared" si="139"/>
        <v>0</v>
      </c>
      <c r="AB202" s="61">
        <f t="shared" si="139"/>
        <v>0</v>
      </c>
      <c r="AC202" s="61">
        <f t="shared" si="139"/>
        <v>0</v>
      </c>
      <c r="AD202" s="61">
        <f t="shared" si="139"/>
        <v>0</v>
      </c>
      <c r="AE202" s="61">
        <f t="shared" si="139"/>
        <v>0</v>
      </c>
      <c r="AF202" s="61">
        <f t="shared" si="121"/>
        <v>0</v>
      </c>
      <c r="AG202" s="61">
        <f t="shared" si="123"/>
        <v>0</v>
      </c>
      <c r="AH202" s="61">
        <f t="shared" si="125"/>
        <v>0</v>
      </c>
      <c r="AI202" s="61">
        <f t="shared" si="127"/>
        <v>0</v>
      </c>
      <c r="AJ202" s="61">
        <f t="shared" si="129"/>
        <v>0</v>
      </c>
      <c r="AK202" s="61">
        <f t="shared" si="130"/>
        <v>0</v>
      </c>
      <c r="AL202" s="61">
        <f t="shared" si="131"/>
        <v>0</v>
      </c>
      <c r="AM202" s="61">
        <f t="shared" si="132"/>
        <v>0</v>
      </c>
      <c r="AN202" s="61">
        <f t="shared" si="133"/>
        <v>0</v>
      </c>
      <c r="AO202" s="61">
        <f t="shared" si="136"/>
        <v>0</v>
      </c>
      <c r="AP202" s="61">
        <f t="shared" si="137"/>
        <v>0</v>
      </c>
      <c r="AQ202" s="61"/>
    </row>
    <row r="203" spans="2:43" x14ac:dyDescent="0.25">
      <c r="B203" s="54">
        <v>0.87500000003637901</v>
      </c>
      <c r="C203" s="54">
        <v>1.22916666677339</v>
      </c>
      <c r="D203" s="60"/>
      <c r="E203" s="91"/>
      <c r="G203" s="91"/>
      <c r="H203" s="92">
        <f t="shared" si="114"/>
        <v>0</v>
      </c>
      <c r="I203" s="180">
        <f>AO$173-AO$174</f>
        <v>0</v>
      </c>
      <c r="M203" s="61">
        <f t="shared" si="138"/>
        <v>0</v>
      </c>
      <c r="N203" s="61">
        <f t="shared" si="138"/>
        <v>0</v>
      </c>
      <c r="O203" s="61">
        <f t="shared" si="138"/>
        <v>0</v>
      </c>
      <c r="P203" s="61">
        <f t="shared" si="138"/>
        <v>0</v>
      </c>
      <c r="Q203" s="61">
        <f t="shared" si="138"/>
        <v>0</v>
      </c>
      <c r="R203" s="61">
        <f t="shared" si="138"/>
        <v>0</v>
      </c>
      <c r="S203" s="61">
        <f t="shared" si="138"/>
        <v>0</v>
      </c>
      <c r="T203" s="61">
        <f t="shared" si="138"/>
        <v>0</v>
      </c>
      <c r="U203" s="61">
        <f t="shared" si="138"/>
        <v>0</v>
      </c>
      <c r="V203" s="61">
        <f t="shared" si="138"/>
        <v>0</v>
      </c>
      <c r="W203" s="61">
        <f t="shared" si="139"/>
        <v>0</v>
      </c>
      <c r="X203" s="61">
        <f t="shared" si="139"/>
        <v>0</v>
      </c>
      <c r="Y203" s="61">
        <f t="shared" si="139"/>
        <v>0</v>
      </c>
      <c r="Z203" s="61">
        <f t="shared" si="139"/>
        <v>0</v>
      </c>
      <c r="AA203" s="61">
        <f t="shared" si="139"/>
        <v>0</v>
      </c>
      <c r="AB203" s="61">
        <f t="shared" si="139"/>
        <v>0</v>
      </c>
      <c r="AC203" s="61">
        <f t="shared" si="139"/>
        <v>0</v>
      </c>
      <c r="AD203" s="61">
        <f t="shared" si="139"/>
        <v>0</v>
      </c>
      <c r="AE203" s="61">
        <f t="shared" si="139"/>
        <v>0</v>
      </c>
      <c r="AF203" s="61">
        <f t="shared" si="121"/>
        <v>0</v>
      </c>
      <c r="AG203" s="61">
        <f t="shared" si="123"/>
        <v>0</v>
      </c>
      <c r="AH203" s="61">
        <f t="shared" si="125"/>
        <v>0</v>
      </c>
      <c r="AI203" s="61">
        <f t="shared" si="127"/>
        <v>0</v>
      </c>
      <c r="AJ203" s="61">
        <f t="shared" si="129"/>
        <v>0</v>
      </c>
      <c r="AK203" s="61">
        <f t="shared" si="130"/>
        <v>0</v>
      </c>
      <c r="AL203" s="61">
        <f t="shared" si="131"/>
        <v>0</v>
      </c>
      <c r="AM203" s="61">
        <f t="shared" si="132"/>
        <v>0</v>
      </c>
      <c r="AN203" s="61">
        <f t="shared" si="133"/>
        <v>0</v>
      </c>
      <c r="AO203" s="61">
        <f t="shared" si="136"/>
        <v>0</v>
      </c>
      <c r="AP203" s="61">
        <f t="shared" si="137"/>
        <v>0</v>
      </c>
      <c r="AQ203" s="61"/>
    </row>
    <row r="204" spans="2:43" x14ac:dyDescent="0.25">
      <c r="B204" s="54">
        <v>0.895833333372138</v>
      </c>
      <c r="C204" s="54">
        <v>1.25000000010915</v>
      </c>
      <c r="D204" s="60"/>
      <c r="E204" s="91"/>
      <c r="G204" s="91"/>
      <c r="H204" s="92">
        <f t="shared" si="114"/>
        <v>0</v>
      </c>
      <c r="I204" s="180">
        <f>AP$173-AP$174</f>
        <v>0</v>
      </c>
      <c r="M204" s="61">
        <f t="shared" si="138"/>
        <v>0</v>
      </c>
      <c r="N204" s="61">
        <f t="shared" si="138"/>
        <v>0</v>
      </c>
      <c r="O204" s="61">
        <f t="shared" si="138"/>
        <v>0</v>
      </c>
      <c r="P204" s="61">
        <f t="shared" si="138"/>
        <v>0</v>
      </c>
      <c r="Q204" s="61">
        <f t="shared" si="138"/>
        <v>0</v>
      </c>
      <c r="R204" s="61">
        <f t="shared" si="138"/>
        <v>0</v>
      </c>
      <c r="S204" s="61">
        <f t="shared" si="138"/>
        <v>0</v>
      </c>
      <c r="T204" s="61">
        <f t="shared" si="138"/>
        <v>0</v>
      </c>
      <c r="U204" s="61">
        <f t="shared" si="138"/>
        <v>0</v>
      </c>
      <c r="V204" s="61">
        <f t="shared" si="138"/>
        <v>0</v>
      </c>
      <c r="W204" s="61">
        <f t="shared" si="139"/>
        <v>0</v>
      </c>
      <c r="X204" s="61">
        <f t="shared" si="139"/>
        <v>0</v>
      </c>
      <c r="Y204" s="61">
        <f t="shared" si="139"/>
        <v>0</v>
      </c>
      <c r="Z204" s="61">
        <f t="shared" si="139"/>
        <v>0</v>
      </c>
      <c r="AA204" s="61">
        <f t="shared" si="139"/>
        <v>0</v>
      </c>
      <c r="AB204" s="61">
        <f t="shared" si="139"/>
        <v>0</v>
      </c>
      <c r="AC204" s="61">
        <f t="shared" si="139"/>
        <v>0</v>
      </c>
      <c r="AD204" s="61">
        <f t="shared" si="139"/>
        <v>0</v>
      </c>
      <c r="AE204" s="61">
        <f t="shared" si="139"/>
        <v>0</v>
      </c>
      <c r="AF204" s="61">
        <f t="shared" si="121"/>
        <v>0</v>
      </c>
      <c r="AG204" s="61">
        <f t="shared" si="123"/>
        <v>0</v>
      </c>
      <c r="AH204" s="61">
        <f t="shared" si="125"/>
        <v>0</v>
      </c>
      <c r="AI204" s="61">
        <f t="shared" si="127"/>
        <v>0</v>
      </c>
      <c r="AJ204" s="61">
        <f t="shared" si="129"/>
        <v>0</v>
      </c>
      <c r="AK204" s="61">
        <f t="shared" si="130"/>
        <v>0</v>
      </c>
      <c r="AL204" s="61">
        <f t="shared" si="131"/>
        <v>0</v>
      </c>
      <c r="AM204" s="61">
        <f t="shared" si="132"/>
        <v>0</v>
      </c>
      <c r="AN204" s="61">
        <f t="shared" si="133"/>
        <v>0</v>
      </c>
      <c r="AO204" s="61">
        <f t="shared" si="136"/>
        <v>0</v>
      </c>
      <c r="AP204" s="61">
        <f t="shared" si="137"/>
        <v>0</v>
      </c>
      <c r="AQ204" s="61"/>
    </row>
    <row r="205" spans="2:43" x14ac:dyDescent="0.25">
      <c r="E205" s="91"/>
      <c r="G205" s="91"/>
      <c r="I205" s="180">
        <f>NCC!$R$36</f>
        <v>0</v>
      </c>
    </row>
    <row r="211" spans="2:43" s="52" customFormat="1" x14ac:dyDescent="0.25">
      <c r="E211" s="53"/>
      <c r="F211" s="53"/>
      <c r="G211" s="53"/>
      <c r="H211" s="53"/>
      <c r="I211" s="53"/>
      <c r="J211" s="53"/>
      <c r="K211" s="58" t="s">
        <v>32</v>
      </c>
      <c r="L211" s="53"/>
      <c r="M211" s="84">
        <f>G216</f>
        <v>0</v>
      </c>
      <c r="N211" s="84">
        <f>M211+G217</f>
        <v>0</v>
      </c>
      <c r="O211" s="84">
        <f>N211+G218</f>
        <v>0</v>
      </c>
      <c r="P211" s="84">
        <f>+O211+G219</f>
        <v>0</v>
      </c>
      <c r="Q211" s="84">
        <f>P211+G220</f>
        <v>0</v>
      </c>
      <c r="R211" s="84">
        <f>Q211+G221</f>
        <v>0</v>
      </c>
      <c r="S211" s="84">
        <f>R211+G222</f>
        <v>0</v>
      </c>
      <c r="T211" s="84">
        <f>S211+G223</f>
        <v>0</v>
      </c>
      <c r="U211" s="84">
        <f>T211+G224-G216</f>
        <v>0</v>
      </c>
      <c r="V211" s="84">
        <f>U211+G225-G217</f>
        <v>0</v>
      </c>
      <c r="W211" s="84">
        <f>V211+G226-G218</f>
        <v>0</v>
      </c>
      <c r="X211" s="84">
        <f>W211+G227-G219</f>
        <v>0</v>
      </c>
      <c r="Y211" s="84">
        <f>X211+G228-G220</f>
        <v>0</v>
      </c>
      <c r="Z211" s="84">
        <f>Y211+G229-G221</f>
        <v>0</v>
      </c>
      <c r="AA211" s="84">
        <f>Z211+G230-G222</f>
        <v>0</v>
      </c>
      <c r="AB211" s="84">
        <f>AA211+G231-G223</f>
        <v>0</v>
      </c>
      <c r="AC211" s="84">
        <f>AB211+G232-G224</f>
        <v>0</v>
      </c>
      <c r="AD211" s="84">
        <f>AC211+G233-G225</f>
        <v>0</v>
      </c>
      <c r="AE211" s="84">
        <f>AD211+G234-G226</f>
        <v>0</v>
      </c>
      <c r="AF211" s="84">
        <f>AE211+G235-G227</f>
        <v>0</v>
      </c>
      <c r="AG211" s="84">
        <f>AF211+G236-G228</f>
        <v>0</v>
      </c>
      <c r="AH211" s="84">
        <f>AG211+G237-G229</f>
        <v>0</v>
      </c>
      <c r="AI211" s="84">
        <f>AH211+G238-G230</f>
        <v>0</v>
      </c>
      <c r="AJ211" s="84">
        <f>AI211+G239-G231</f>
        <v>0</v>
      </c>
      <c r="AK211" s="84">
        <f>AJ211+G240-G232</f>
        <v>0</v>
      </c>
      <c r="AL211" s="84">
        <f>AK211+G241-G233</f>
        <v>0</v>
      </c>
      <c r="AM211" s="84">
        <f>AL211+G242-G234</f>
        <v>0</v>
      </c>
      <c r="AN211" s="84">
        <f>AM211+G243-G235</f>
        <v>0</v>
      </c>
      <c r="AO211" s="84">
        <f>AN211+G244-G236</f>
        <v>0</v>
      </c>
      <c r="AP211" s="84">
        <f>AO211+G245-G237</f>
        <v>0</v>
      </c>
      <c r="AQ211" s="84">
        <f>SUM(M211:AP211)/8.5</f>
        <v>0</v>
      </c>
    </row>
    <row r="212" spans="2:43" x14ac:dyDescent="0.25">
      <c r="J212" s="57"/>
      <c r="K212" s="58" t="s">
        <v>31</v>
      </c>
      <c r="M212" s="84">
        <f>F216</f>
        <v>0</v>
      </c>
      <c r="N212" s="84">
        <f>M212+F217</f>
        <v>0</v>
      </c>
      <c r="O212" s="84">
        <f>N212+F218</f>
        <v>0</v>
      </c>
      <c r="P212" s="84">
        <f>O212+F219</f>
        <v>0</v>
      </c>
      <c r="Q212" s="84">
        <f>P212+F220</f>
        <v>0</v>
      </c>
      <c r="R212" s="84">
        <f>Q212+F221</f>
        <v>0</v>
      </c>
      <c r="S212" s="84">
        <f>R212+F222</f>
        <v>0</v>
      </c>
      <c r="T212" s="84">
        <f>S212+F223</f>
        <v>0</v>
      </c>
      <c r="U212" s="84">
        <f>T212+F224</f>
        <v>0</v>
      </c>
      <c r="V212" s="84">
        <f>U212</f>
        <v>0</v>
      </c>
      <c r="W212" s="84">
        <f>V212</f>
        <v>0</v>
      </c>
      <c r="X212" s="84">
        <f>W212</f>
        <v>0</v>
      </c>
      <c r="Y212" s="96"/>
      <c r="Z212" s="96"/>
      <c r="AA212" s="96"/>
      <c r="AB212" s="96"/>
      <c r="AC212" s="84">
        <f t="shared" ref="AC212:AN212" si="140">M212</f>
        <v>0</v>
      </c>
      <c r="AD212" s="84">
        <f t="shared" si="140"/>
        <v>0</v>
      </c>
      <c r="AE212" s="84">
        <f t="shared" si="140"/>
        <v>0</v>
      </c>
      <c r="AF212" s="84">
        <f t="shared" si="140"/>
        <v>0</v>
      </c>
      <c r="AG212" s="84">
        <f t="shared" si="140"/>
        <v>0</v>
      </c>
      <c r="AH212" s="84">
        <f t="shared" si="140"/>
        <v>0</v>
      </c>
      <c r="AI212" s="84">
        <f t="shared" si="140"/>
        <v>0</v>
      </c>
      <c r="AJ212" s="84">
        <f t="shared" si="140"/>
        <v>0</v>
      </c>
      <c r="AK212" s="84">
        <f t="shared" si="140"/>
        <v>0</v>
      </c>
      <c r="AL212" s="84">
        <f t="shared" si="140"/>
        <v>0</v>
      </c>
      <c r="AM212" s="84">
        <f t="shared" si="140"/>
        <v>0</v>
      </c>
      <c r="AN212" s="84">
        <f t="shared" si="140"/>
        <v>0</v>
      </c>
      <c r="AO212" s="84"/>
      <c r="AP212" s="84"/>
      <c r="AQ212" s="182"/>
    </row>
    <row r="213" spans="2:43" s="57" customFormat="1" ht="17.25" customHeight="1" x14ac:dyDescent="0.25">
      <c r="K213" s="58" t="s">
        <v>13</v>
      </c>
      <c r="M213" s="84"/>
      <c r="N213" s="84"/>
      <c r="O213" s="84"/>
      <c r="P213" s="84"/>
      <c r="Q213" s="84"/>
      <c r="R213" s="84"/>
      <c r="S213" s="84"/>
      <c r="T213" s="84"/>
      <c r="U213" s="84">
        <f>M212</f>
        <v>0</v>
      </c>
      <c r="V213" s="84">
        <f>N212</f>
        <v>0</v>
      </c>
      <c r="W213" s="84">
        <f>O212</f>
        <v>0</v>
      </c>
      <c r="X213" s="84">
        <f>P212</f>
        <v>0</v>
      </c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>
        <f>AC212</f>
        <v>0</v>
      </c>
      <c r="AL213" s="84">
        <f>AD212</f>
        <v>0</v>
      </c>
      <c r="AM213" s="84">
        <f>AE212</f>
        <v>0</v>
      </c>
      <c r="AN213" s="84">
        <f>AF212</f>
        <v>0</v>
      </c>
      <c r="AO213" s="84"/>
      <c r="AP213" s="85"/>
      <c r="AQ213" s="86"/>
    </row>
    <row r="214" spans="2:43" s="57" customFormat="1" ht="17.25" customHeight="1" x14ac:dyDescent="0.25">
      <c r="B214" s="57" t="s">
        <v>11</v>
      </c>
      <c r="E214" s="59" t="s">
        <v>8</v>
      </c>
      <c r="F214" s="59" t="s">
        <v>15</v>
      </c>
      <c r="G214" s="59" t="s">
        <v>32</v>
      </c>
      <c r="H214" s="59" t="s">
        <v>16</v>
      </c>
      <c r="J214" s="58" t="s">
        <v>9</v>
      </c>
      <c r="K214" s="58">
        <f>SUM(M214:AP214)/16</f>
        <v>0</v>
      </c>
      <c r="M214" s="87">
        <f t="shared" ref="M214:AP214" si="141">SUM(M216:M245)+M212+M211-M213</f>
        <v>0</v>
      </c>
      <c r="N214" s="87">
        <f t="shared" si="141"/>
        <v>0</v>
      </c>
      <c r="O214" s="87">
        <f t="shared" si="141"/>
        <v>0</v>
      </c>
      <c r="P214" s="87">
        <f t="shared" si="141"/>
        <v>0</v>
      </c>
      <c r="Q214" s="87">
        <f t="shared" si="141"/>
        <v>0</v>
      </c>
      <c r="R214" s="87">
        <f t="shared" si="141"/>
        <v>0</v>
      </c>
      <c r="S214" s="87">
        <f t="shared" si="141"/>
        <v>0</v>
      </c>
      <c r="T214" s="87">
        <f t="shared" si="141"/>
        <v>0</v>
      </c>
      <c r="U214" s="87">
        <f t="shared" si="141"/>
        <v>0</v>
      </c>
      <c r="V214" s="87">
        <f t="shared" si="141"/>
        <v>0</v>
      </c>
      <c r="W214" s="87">
        <f t="shared" si="141"/>
        <v>0</v>
      </c>
      <c r="X214" s="87">
        <f t="shared" si="141"/>
        <v>0</v>
      </c>
      <c r="Y214" s="87">
        <f t="shared" si="141"/>
        <v>0</v>
      </c>
      <c r="Z214" s="87">
        <f t="shared" si="141"/>
        <v>0</v>
      </c>
      <c r="AA214" s="87">
        <f t="shared" si="141"/>
        <v>0</v>
      </c>
      <c r="AB214" s="87">
        <f t="shared" si="141"/>
        <v>0</v>
      </c>
      <c r="AC214" s="87">
        <f t="shared" si="141"/>
        <v>0</v>
      </c>
      <c r="AD214" s="87">
        <f t="shared" si="141"/>
        <v>0</v>
      </c>
      <c r="AE214" s="87">
        <f t="shared" si="141"/>
        <v>0</v>
      </c>
      <c r="AF214" s="87">
        <f t="shared" si="141"/>
        <v>0</v>
      </c>
      <c r="AG214" s="87">
        <f t="shared" si="141"/>
        <v>0</v>
      </c>
      <c r="AH214" s="87">
        <f t="shared" si="141"/>
        <v>0</v>
      </c>
      <c r="AI214" s="87">
        <f t="shared" si="141"/>
        <v>0</v>
      </c>
      <c r="AJ214" s="87">
        <f t="shared" si="141"/>
        <v>0</v>
      </c>
      <c r="AK214" s="87">
        <f t="shared" si="141"/>
        <v>0</v>
      </c>
      <c r="AL214" s="87">
        <f t="shared" si="141"/>
        <v>0</v>
      </c>
      <c r="AM214" s="87">
        <f t="shared" si="141"/>
        <v>0</v>
      </c>
      <c r="AN214" s="87">
        <f t="shared" si="141"/>
        <v>0</v>
      </c>
      <c r="AO214" s="87">
        <f t="shared" si="141"/>
        <v>0</v>
      </c>
      <c r="AP214" s="87">
        <f t="shared" si="141"/>
        <v>0</v>
      </c>
      <c r="AQ214" s="87"/>
    </row>
    <row r="215" spans="2:43" s="88" customFormat="1" x14ac:dyDescent="0.25">
      <c r="E215" s="178">
        <f>SUM(E216:E245)</f>
        <v>0</v>
      </c>
      <c r="F215" s="178">
        <f>SUM(F216:F245)</f>
        <v>0</v>
      </c>
      <c r="G215" s="178">
        <f>SUM(G216:G245)</f>
        <v>0</v>
      </c>
      <c r="H215" s="178">
        <f>SUM(H216:H245)</f>
        <v>0</v>
      </c>
      <c r="I215" s="89"/>
      <c r="J215" s="89"/>
      <c r="K215" s="58" t="s">
        <v>7</v>
      </c>
      <c r="L215" s="89"/>
      <c r="M215" s="180">
        <f>SUMMARY!$J$6</f>
        <v>0</v>
      </c>
      <c r="N215" s="180">
        <f>SUMMARY!$J$7</f>
        <v>0</v>
      </c>
      <c r="O215" s="180">
        <f>SUMMARY!$J$8</f>
        <v>0</v>
      </c>
      <c r="P215" s="180">
        <f>SUMMARY!$J$9</f>
        <v>0</v>
      </c>
      <c r="Q215" s="180">
        <f>SUMMARY!$J$10</f>
        <v>0</v>
      </c>
      <c r="R215" s="180">
        <f>SUMMARY!$J$11</f>
        <v>0</v>
      </c>
      <c r="S215" s="180">
        <f>SUMMARY!$J$12</f>
        <v>0</v>
      </c>
      <c r="T215" s="180">
        <f>SUMMARY!$J$13</f>
        <v>0</v>
      </c>
      <c r="U215" s="180">
        <f>SUMMARY!$J$14</f>
        <v>0</v>
      </c>
      <c r="V215" s="180">
        <f>SUMMARY!$J$15</f>
        <v>0</v>
      </c>
      <c r="W215" s="180">
        <f>SUMMARY!$J$16</f>
        <v>0</v>
      </c>
      <c r="X215" s="180">
        <f>SUMMARY!$J$17</f>
        <v>0</v>
      </c>
      <c r="Y215" s="180">
        <f>SUMMARY!$J$18</f>
        <v>0</v>
      </c>
      <c r="Z215" s="180">
        <f>SUMMARY!$J$19</f>
        <v>0</v>
      </c>
      <c r="AA215" s="180">
        <f>SUMMARY!$J$20</f>
        <v>0</v>
      </c>
      <c r="AB215" s="180">
        <f>SUMMARY!$J$21</f>
        <v>0</v>
      </c>
      <c r="AC215" s="180">
        <f>SUMMARY!$J$22</f>
        <v>0</v>
      </c>
      <c r="AD215" s="180">
        <f>SUMMARY!$J$23</f>
        <v>0</v>
      </c>
      <c r="AE215" s="180">
        <f>SUMMARY!$J$24</f>
        <v>0</v>
      </c>
      <c r="AF215" s="180">
        <f>SUMMARY!$J$25</f>
        <v>0</v>
      </c>
      <c r="AG215" s="180">
        <f>SUMMARY!$J$26</f>
        <v>0</v>
      </c>
      <c r="AH215" s="180">
        <f>SUMMARY!$J$27</f>
        <v>0</v>
      </c>
      <c r="AI215" s="180">
        <f>SUMMARY!$J$28</f>
        <v>0</v>
      </c>
      <c r="AJ215" s="180">
        <f>SUMMARY!$J$29</f>
        <v>0</v>
      </c>
      <c r="AK215" s="180">
        <f>SUMMARY!$J$30</f>
        <v>0</v>
      </c>
      <c r="AL215" s="180">
        <f>SUMMARY!$J$31</f>
        <v>0</v>
      </c>
      <c r="AM215" s="180">
        <f>SUMMARY!$J$32</f>
        <v>0</v>
      </c>
      <c r="AN215" s="180">
        <f>SUMMARY!$J$33</f>
        <v>0</v>
      </c>
      <c r="AO215" s="180">
        <f>SUMMARY!$J$34</f>
        <v>0</v>
      </c>
      <c r="AP215" s="180">
        <f>SUMMARY!$J$35</f>
        <v>0</v>
      </c>
      <c r="AQ215" s="90"/>
    </row>
    <row r="216" spans="2:43" x14ac:dyDescent="0.25">
      <c r="B216" s="54">
        <v>0.29166666666424135</v>
      </c>
      <c r="C216" s="54">
        <v>0.645833333372138</v>
      </c>
      <c r="D216" s="60"/>
      <c r="E216" s="91">
        <f>SUMMARY!U6</f>
        <v>0</v>
      </c>
      <c r="F216" s="91"/>
      <c r="G216" s="91"/>
      <c r="H216" s="92">
        <f t="shared" ref="H216:H245" si="142">SUM(E216:G216)</f>
        <v>0</v>
      </c>
      <c r="I216" s="180">
        <f>M$214-M$215</f>
        <v>0</v>
      </c>
      <c r="M216" s="61">
        <f t="shared" ref="M216:V217" si="143">IF(AND(M$2&gt;=$B216,M$2&lt;$C216),$E216,0)</f>
        <v>0</v>
      </c>
      <c r="N216" s="61">
        <f t="shared" si="143"/>
        <v>0</v>
      </c>
      <c r="O216" s="61">
        <f t="shared" si="143"/>
        <v>0</v>
      </c>
      <c r="P216" s="61">
        <f t="shared" si="143"/>
        <v>0</v>
      </c>
      <c r="Q216" s="61">
        <f t="shared" si="143"/>
        <v>0</v>
      </c>
      <c r="R216" s="61">
        <f t="shared" si="143"/>
        <v>0</v>
      </c>
      <c r="S216" s="61">
        <f t="shared" si="143"/>
        <v>0</v>
      </c>
      <c r="T216" s="61">
        <f t="shared" si="143"/>
        <v>0</v>
      </c>
      <c r="U216" s="61">
        <f t="shared" si="143"/>
        <v>0</v>
      </c>
      <c r="V216" s="61">
        <f t="shared" si="143"/>
        <v>0</v>
      </c>
      <c r="W216" s="61">
        <f t="shared" ref="W216:AF217" si="144">IF(AND(W$2&gt;=$B216,W$2&lt;$C216),$E216,0)</f>
        <v>0</v>
      </c>
      <c r="X216" s="61">
        <f t="shared" si="144"/>
        <v>0</v>
      </c>
      <c r="Y216" s="61">
        <f t="shared" si="144"/>
        <v>0</v>
      </c>
      <c r="Z216" s="61">
        <f t="shared" si="144"/>
        <v>0</v>
      </c>
      <c r="AA216" s="61">
        <f t="shared" si="144"/>
        <v>0</v>
      </c>
      <c r="AB216" s="61">
        <f t="shared" si="144"/>
        <v>0</v>
      </c>
      <c r="AC216" s="61">
        <f t="shared" si="144"/>
        <v>0</v>
      </c>
      <c r="AD216" s="61">
        <f t="shared" si="144"/>
        <v>0</v>
      </c>
      <c r="AE216" s="61">
        <f t="shared" si="144"/>
        <v>0</v>
      </c>
      <c r="AF216" s="61">
        <f t="shared" si="144"/>
        <v>0</v>
      </c>
      <c r="AG216" s="61">
        <f t="shared" ref="AG216:AP217" si="145">IF(AND(AG$2&gt;=$B216,AG$2&lt;$C216),$E216,0)</f>
        <v>0</v>
      </c>
      <c r="AH216" s="61">
        <f t="shared" si="145"/>
        <v>0</v>
      </c>
      <c r="AI216" s="61">
        <f t="shared" si="145"/>
        <v>0</v>
      </c>
      <c r="AJ216" s="61">
        <f t="shared" si="145"/>
        <v>0</v>
      </c>
      <c r="AK216" s="61">
        <f t="shared" si="145"/>
        <v>0</v>
      </c>
      <c r="AL216" s="61">
        <f t="shared" si="145"/>
        <v>0</v>
      </c>
      <c r="AM216" s="61">
        <f t="shared" si="145"/>
        <v>0</v>
      </c>
      <c r="AN216" s="61">
        <f t="shared" si="145"/>
        <v>0</v>
      </c>
      <c r="AO216" s="61">
        <f t="shared" si="145"/>
        <v>0</v>
      </c>
      <c r="AP216" s="61">
        <f t="shared" si="145"/>
        <v>0</v>
      </c>
      <c r="AQ216" s="61"/>
    </row>
    <row r="217" spans="2:43" x14ac:dyDescent="0.25">
      <c r="B217" s="54">
        <v>0.3125</v>
      </c>
      <c r="C217" s="54">
        <v>0.66666666670789698</v>
      </c>
      <c r="D217" s="60"/>
      <c r="E217" s="91">
        <f>SUMMARY!U7</f>
        <v>0</v>
      </c>
      <c r="F217" s="91"/>
      <c r="G217" s="91"/>
      <c r="H217" s="92">
        <f t="shared" si="142"/>
        <v>0</v>
      </c>
      <c r="I217" s="180">
        <f>N$214-N$215</f>
        <v>0</v>
      </c>
      <c r="M217" s="61">
        <f t="shared" si="143"/>
        <v>0</v>
      </c>
      <c r="N217" s="61">
        <f t="shared" si="143"/>
        <v>0</v>
      </c>
      <c r="O217" s="61">
        <f t="shared" si="143"/>
        <v>0</v>
      </c>
      <c r="P217" s="61">
        <f t="shared" si="143"/>
        <v>0</v>
      </c>
      <c r="Q217" s="61">
        <f t="shared" si="143"/>
        <v>0</v>
      </c>
      <c r="R217" s="61">
        <f t="shared" si="143"/>
        <v>0</v>
      </c>
      <c r="S217" s="61">
        <f t="shared" si="143"/>
        <v>0</v>
      </c>
      <c r="T217" s="61">
        <f t="shared" si="143"/>
        <v>0</v>
      </c>
      <c r="U217" s="61">
        <f t="shared" si="143"/>
        <v>0</v>
      </c>
      <c r="V217" s="61">
        <f t="shared" si="143"/>
        <v>0</v>
      </c>
      <c r="W217" s="61">
        <f t="shared" si="144"/>
        <v>0</v>
      </c>
      <c r="X217" s="61">
        <f t="shared" si="144"/>
        <v>0</v>
      </c>
      <c r="Y217" s="61">
        <f t="shared" si="144"/>
        <v>0</v>
      </c>
      <c r="Z217" s="61">
        <f t="shared" si="144"/>
        <v>0</v>
      </c>
      <c r="AA217" s="61">
        <f t="shared" si="144"/>
        <v>0</v>
      </c>
      <c r="AB217" s="61">
        <f t="shared" si="144"/>
        <v>0</v>
      </c>
      <c r="AC217" s="61">
        <f t="shared" si="144"/>
        <v>0</v>
      </c>
      <c r="AD217" s="61">
        <f t="shared" si="144"/>
        <v>0</v>
      </c>
      <c r="AE217" s="61">
        <f t="shared" si="144"/>
        <v>0</v>
      </c>
      <c r="AF217" s="61">
        <f t="shared" si="144"/>
        <v>0</v>
      </c>
      <c r="AG217" s="61">
        <f t="shared" si="145"/>
        <v>0</v>
      </c>
      <c r="AH217" s="61">
        <f t="shared" si="145"/>
        <v>0</v>
      </c>
      <c r="AI217" s="61">
        <f t="shared" si="145"/>
        <v>0</v>
      </c>
      <c r="AJ217" s="61">
        <f t="shared" si="145"/>
        <v>0</v>
      </c>
      <c r="AK217" s="61">
        <f t="shared" si="145"/>
        <v>0</v>
      </c>
      <c r="AL217" s="61">
        <f t="shared" si="145"/>
        <v>0</v>
      </c>
      <c r="AM217" s="61">
        <f t="shared" si="145"/>
        <v>0</v>
      </c>
      <c r="AN217" s="61">
        <f t="shared" si="145"/>
        <v>0</v>
      </c>
      <c r="AO217" s="61">
        <f t="shared" si="145"/>
        <v>0</v>
      </c>
      <c r="AP217" s="61">
        <f t="shared" si="145"/>
        <v>0</v>
      </c>
      <c r="AQ217" s="61"/>
    </row>
    <row r="218" spans="2:43" x14ac:dyDescent="0.25">
      <c r="B218" s="54">
        <v>0.33333333333575865</v>
      </c>
      <c r="C218" s="54">
        <v>0.68750000004365597</v>
      </c>
      <c r="D218" s="60"/>
      <c r="E218" s="91">
        <f>SUMMARY!U8</f>
        <v>0</v>
      </c>
      <c r="F218" s="91"/>
      <c r="G218" s="91"/>
      <c r="H218" s="92">
        <f t="shared" si="142"/>
        <v>0</v>
      </c>
      <c r="I218" s="180">
        <f>O$214-O$215</f>
        <v>0</v>
      </c>
      <c r="M218" s="61">
        <f t="shared" ref="M218:V227" si="146">IF(AND(M$2&gt;=$B218,M$2&lt;$C218),$E218,0)</f>
        <v>0</v>
      </c>
      <c r="N218" s="61">
        <f t="shared" si="146"/>
        <v>0</v>
      </c>
      <c r="O218" s="61">
        <f t="shared" si="146"/>
        <v>0</v>
      </c>
      <c r="P218" s="61">
        <f t="shared" si="146"/>
        <v>0</v>
      </c>
      <c r="Q218" s="61">
        <f t="shared" si="146"/>
        <v>0</v>
      </c>
      <c r="R218" s="61">
        <f t="shared" si="146"/>
        <v>0</v>
      </c>
      <c r="S218" s="61">
        <f t="shared" si="146"/>
        <v>0</v>
      </c>
      <c r="T218" s="61">
        <f t="shared" si="146"/>
        <v>0</v>
      </c>
      <c r="U218" s="61">
        <f t="shared" si="146"/>
        <v>0</v>
      </c>
      <c r="V218" s="61">
        <f t="shared" si="146"/>
        <v>0</v>
      </c>
      <c r="W218" s="61">
        <f t="shared" ref="W218:AE227" si="147">IF(AND(W$2&gt;=$B218,W$2&lt;$C218),$E218,0)</f>
        <v>0</v>
      </c>
      <c r="X218" s="61">
        <f t="shared" si="147"/>
        <v>0</v>
      </c>
      <c r="Y218" s="61">
        <f t="shared" si="147"/>
        <v>0</v>
      </c>
      <c r="Z218" s="61">
        <f t="shared" si="147"/>
        <v>0</v>
      </c>
      <c r="AA218" s="61">
        <f t="shared" si="147"/>
        <v>0</v>
      </c>
      <c r="AB218" s="61">
        <f t="shared" si="147"/>
        <v>0</v>
      </c>
      <c r="AC218" s="61">
        <f t="shared" si="147"/>
        <v>0</v>
      </c>
      <c r="AD218" s="61">
        <f t="shared" si="147"/>
        <v>0</v>
      </c>
      <c r="AE218" s="61">
        <f t="shared" si="147"/>
        <v>0</v>
      </c>
      <c r="AF218" s="61"/>
      <c r="AG218" s="61">
        <f t="shared" ref="AG218:AP218" si="148">IF(AND(AG$2&gt;=$B218,AG$2&lt;$C218),$E218,0)</f>
        <v>0</v>
      </c>
      <c r="AH218" s="61">
        <f t="shared" si="148"/>
        <v>0</v>
      </c>
      <c r="AI218" s="61">
        <f t="shared" si="148"/>
        <v>0</v>
      </c>
      <c r="AJ218" s="61">
        <f t="shared" si="148"/>
        <v>0</v>
      </c>
      <c r="AK218" s="61">
        <f t="shared" si="148"/>
        <v>0</v>
      </c>
      <c r="AL218" s="61">
        <f t="shared" si="148"/>
        <v>0</v>
      </c>
      <c r="AM218" s="61">
        <f t="shared" si="148"/>
        <v>0</v>
      </c>
      <c r="AN218" s="61">
        <f t="shared" si="148"/>
        <v>0</v>
      </c>
      <c r="AO218" s="61">
        <f t="shared" si="148"/>
        <v>0</v>
      </c>
      <c r="AP218" s="61">
        <f t="shared" si="148"/>
        <v>0</v>
      </c>
      <c r="AQ218" s="61"/>
    </row>
    <row r="219" spans="2:43" x14ac:dyDescent="0.25">
      <c r="B219" s="54">
        <v>0.35416666666424135</v>
      </c>
      <c r="C219" s="54">
        <v>0.70833333337941495</v>
      </c>
      <c r="D219" s="60"/>
      <c r="E219" s="91">
        <f>SUMMARY!U9</f>
        <v>0</v>
      </c>
      <c r="F219" s="91"/>
      <c r="G219" s="91"/>
      <c r="H219" s="92">
        <f t="shared" si="142"/>
        <v>0</v>
      </c>
      <c r="I219" s="180">
        <f>P$214-P$215</f>
        <v>0</v>
      </c>
      <c r="M219" s="61">
        <f t="shared" si="146"/>
        <v>0</v>
      </c>
      <c r="N219" s="61">
        <f t="shared" si="146"/>
        <v>0</v>
      </c>
      <c r="O219" s="61">
        <f t="shared" si="146"/>
        <v>0</v>
      </c>
      <c r="P219" s="61">
        <f t="shared" si="146"/>
        <v>0</v>
      </c>
      <c r="Q219" s="61">
        <f t="shared" si="146"/>
        <v>0</v>
      </c>
      <c r="R219" s="61">
        <f t="shared" si="146"/>
        <v>0</v>
      </c>
      <c r="S219" s="61">
        <f t="shared" si="146"/>
        <v>0</v>
      </c>
      <c r="T219" s="61">
        <f t="shared" si="146"/>
        <v>0</v>
      </c>
      <c r="U219" s="61">
        <f t="shared" si="146"/>
        <v>0</v>
      </c>
      <c r="V219" s="61">
        <f t="shared" si="146"/>
        <v>0</v>
      </c>
      <c r="W219" s="61">
        <f t="shared" si="147"/>
        <v>0</v>
      </c>
      <c r="X219" s="61">
        <f t="shared" si="147"/>
        <v>0</v>
      </c>
      <c r="Y219" s="61">
        <f t="shared" si="147"/>
        <v>0</v>
      </c>
      <c r="Z219" s="61">
        <f t="shared" si="147"/>
        <v>0</v>
      </c>
      <c r="AA219" s="61">
        <f t="shared" si="147"/>
        <v>0</v>
      </c>
      <c r="AB219" s="61">
        <f t="shared" si="147"/>
        <v>0</v>
      </c>
      <c r="AC219" s="61">
        <f t="shared" si="147"/>
        <v>0</v>
      </c>
      <c r="AD219" s="61">
        <f t="shared" si="147"/>
        <v>0</v>
      </c>
      <c r="AE219" s="61">
        <f t="shared" si="147"/>
        <v>0</v>
      </c>
      <c r="AF219" s="61">
        <f t="shared" ref="AF219:AF245" si="149">IF(AND(AF$2&gt;=$B219,AF$2&lt;$C219),$E219,0)</f>
        <v>0</v>
      </c>
      <c r="AG219" s="61"/>
      <c r="AH219" s="61">
        <f t="shared" ref="AH219:AP228" si="150">IF(AND(AH$2&gt;=$B219,AH$2&lt;$C219),$E219,0)</f>
        <v>0</v>
      </c>
      <c r="AI219" s="61">
        <f t="shared" si="150"/>
        <v>0</v>
      </c>
      <c r="AJ219" s="61">
        <f t="shared" si="150"/>
        <v>0</v>
      </c>
      <c r="AK219" s="61">
        <f t="shared" si="150"/>
        <v>0</v>
      </c>
      <c r="AL219" s="61">
        <f t="shared" si="150"/>
        <v>0</v>
      </c>
      <c r="AM219" s="61">
        <f t="shared" si="150"/>
        <v>0</v>
      </c>
      <c r="AN219" s="61">
        <f t="shared" si="150"/>
        <v>0</v>
      </c>
      <c r="AO219" s="61">
        <f t="shared" si="150"/>
        <v>0</v>
      </c>
      <c r="AP219" s="61">
        <f t="shared" si="150"/>
        <v>0</v>
      </c>
      <c r="AQ219" s="61"/>
    </row>
    <row r="220" spans="2:43" x14ac:dyDescent="0.25">
      <c r="B220" s="54">
        <v>0.375</v>
      </c>
      <c r="C220" s="54">
        <v>0.72916666671517405</v>
      </c>
      <c r="D220" s="60"/>
      <c r="E220" s="91">
        <f>SUMMARY!U10</f>
        <v>0</v>
      </c>
      <c r="F220" s="91"/>
      <c r="G220" s="91"/>
      <c r="H220" s="92">
        <f t="shared" si="142"/>
        <v>0</v>
      </c>
      <c r="I220" s="180">
        <f>Q$214-Q$215</f>
        <v>0</v>
      </c>
      <c r="M220" s="61">
        <f t="shared" si="146"/>
        <v>0</v>
      </c>
      <c r="N220" s="61">
        <f t="shared" si="146"/>
        <v>0</v>
      </c>
      <c r="O220" s="61">
        <f t="shared" si="146"/>
        <v>0</v>
      </c>
      <c r="P220" s="61">
        <f t="shared" si="146"/>
        <v>0</v>
      </c>
      <c r="Q220" s="61">
        <f t="shared" si="146"/>
        <v>0</v>
      </c>
      <c r="R220" s="61">
        <f t="shared" si="146"/>
        <v>0</v>
      </c>
      <c r="S220" s="61">
        <f t="shared" si="146"/>
        <v>0</v>
      </c>
      <c r="T220" s="61">
        <f t="shared" si="146"/>
        <v>0</v>
      </c>
      <c r="U220" s="61">
        <f t="shared" si="146"/>
        <v>0</v>
      </c>
      <c r="V220" s="61">
        <f t="shared" si="146"/>
        <v>0</v>
      </c>
      <c r="W220" s="61">
        <f t="shared" si="147"/>
        <v>0</v>
      </c>
      <c r="X220" s="61">
        <f t="shared" si="147"/>
        <v>0</v>
      </c>
      <c r="Y220" s="61">
        <f t="shared" si="147"/>
        <v>0</v>
      </c>
      <c r="Z220" s="61">
        <f t="shared" si="147"/>
        <v>0</v>
      </c>
      <c r="AA220" s="61">
        <f t="shared" si="147"/>
        <v>0</v>
      </c>
      <c r="AB220" s="61">
        <f t="shared" si="147"/>
        <v>0</v>
      </c>
      <c r="AC220" s="61">
        <f t="shared" si="147"/>
        <v>0</v>
      </c>
      <c r="AD220" s="61">
        <f t="shared" si="147"/>
        <v>0</v>
      </c>
      <c r="AE220" s="61">
        <f t="shared" si="147"/>
        <v>0</v>
      </c>
      <c r="AF220" s="61">
        <f t="shared" si="149"/>
        <v>0</v>
      </c>
      <c r="AG220" s="61">
        <f t="shared" ref="AG220:AG245" si="151">IF(AND(AG$2&gt;=$B220,AG$2&lt;$C220),$E220,0)</f>
        <v>0</v>
      </c>
      <c r="AH220" s="61">
        <f t="shared" si="150"/>
        <v>0</v>
      </c>
      <c r="AI220" s="61">
        <f t="shared" si="150"/>
        <v>0</v>
      </c>
      <c r="AJ220" s="61">
        <f t="shared" si="150"/>
        <v>0</v>
      </c>
      <c r="AK220" s="61">
        <f t="shared" si="150"/>
        <v>0</v>
      </c>
      <c r="AL220" s="61">
        <f t="shared" si="150"/>
        <v>0</v>
      </c>
      <c r="AM220" s="61">
        <f t="shared" si="150"/>
        <v>0</v>
      </c>
      <c r="AN220" s="61">
        <f t="shared" si="150"/>
        <v>0</v>
      </c>
      <c r="AO220" s="61">
        <f t="shared" si="150"/>
        <v>0</v>
      </c>
      <c r="AP220" s="61">
        <f t="shared" si="150"/>
        <v>0</v>
      </c>
      <c r="AQ220" s="61"/>
    </row>
    <row r="221" spans="2:43" x14ac:dyDescent="0.25">
      <c r="B221" s="54">
        <v>0.39583333333575865</v>
      </c>
      <c r="C221" s="54">
        <v>0.75000000005093304</v>
      </c>
      <c r="D221" s="60"/>
      <c r="E221" s="91">
        <f>SUMMARY!U11</f>
        <v>0</v>
      </c>
      <c r="F221" s="91"/>
      <c r="G221" s="91"/>
      <c r="H221" s="92">
        <f t="shared" si="142"/>
        <v>0</v>
      </c>
      <c r="I221" s="180">
        <f>R$214-R$215</f>
        <v>0</v>
      </c>
      <c r="M221" s="61">
        <f t="shared" si="146"/>
        <v>0</v>
      </c>
      <c r="N221" s="61">
        <f t="shared" si="146"/>
        <v>0</v>
      </c>
      <c r="O221" s="61">
        <f t="shared" si="146"/>
        <v>0</v>
      </c>
      <c r="P221" s="61">
        <f t="shared" si="146"/>
        <v>0</v>
      </c>
      <c r="Q221" s="61">
        <f t="shared" si="146"/>
        <v>0</v>
      </c>
      <c r="R221" s="61">
        <f t="shared" si="146"/>
        <v>0</v>
      </c>
      <c r="S221" s="61">
        <f t="shared" si="146"/>
        <v>0</v>
      </c>
      <c r="T221" s="61">
        <f t="shared" si="146"/>
        <v>0</v>
      </c>
      <c r="U221" s="61">
        <f t="shared" si="146"/>
        <v>0</v>
      </c>
      <c r="V221" s="61">
        <f t="shared" si="146"/>
        <v>0</v>
      </c>
      <c r="W221" s="61">
        <f t="shared" si="147"/>
        <v>0</v>
      </c>
      <c r="X221" s="61">
        <f t="shared" si="147"/>
        <v>0</v>
      </c>
      <c r="Y221" s="61">
        <f t="shared" si="147"/>
        <v>0</v>
      </c>
      <c r="Z221" s="61">
        <f t="shared" si="147"/>
        <v>0</v>
      </c>
      <c r="AA221" s="61">
        <f t="shared" si="147"/>
        <v>0</v>
      </c>
      <c r="AB221" s="61">
        <f t="shared" si="147"/>
        <v>0</v>
      </c>
      <c r="AC221" s="61">
        <f t="shared" si="147"/>
        <v>0</v>
      </c>
      <c r="AD221" s="61">
        <f t="shared" si="147"/>
        <v>0</v>
      </c>
      <c r="AE221" s="61">
        <f t="shared" si="147"/>
        <v>0</v>
      </c>
      <c r="AF221" s="61">
        <f t="shared" si="149"/>
        <v>0</v>
      </c>
      <c r="AG221" s="61">
        <f t="shared" si="151"/>
        <v>0</v>
      </c>
      <c r="AH221" s="61">
        <f t="shared" si="150"/>
        <v>0</v>
      </c>
      <c r="AI221" s="61">
        <f t="shared" si="150"/>
        <v>0</v>
      </c>
      <c r="AJ221" s="61">
        <f t="shared" si="150"/>
        <v>0</v>
      </c>
      <c r="AK221" s="61">
        <f t="shared" si="150"/>
        <v>0</v>
      </c>
      <c r="AL221" s="61">
        <f t="shared" si="150"/>
        <v>0</v>
      </c>
      <c r="AM221" s="61">
        <f t="shared" si="150"/>
        <v>0</v>
      </c>
      <c r="AN221" s="61">
        <f t="shared" si="150"/>
        <v>0</v>
      </c>
      <c r="AO221" s="61">
        <f t="shared" si="150"/>
        <v>0</v>
      </c>
      <c r="AP221" s="61">
        <f t="shared" si="150"/>
        <v>0</v>
      </c>
      <c r="AQ221" s="61"/>
    </row>
    <row r="222" spans="2:43" x14ac:dyDescent="0.25">
      <c r="B222" s="54">
        <v>0.41666666666424135</v>
      </c>
      <c r="C222" s="54">
        <v>0.77083333338669202</v>
      </c>
      <c r="D222" s="60"/>
      <c r="E222" s="91">
        <f>SUMMARY!U12</f>
        <v>0</v>
      </c>
      <c r="F222" s="91"/>
      <c r="G222" s="91"/>
      <c r="H222" s="92">
        <f t="shared" si="142"/>
        <v>0</v>
      </c>
      <c r="I222" s="180">
        <f>S$214-S$215</f>
        <v>0</v>
      </c>
      <c r="M222" s="61">
        <f t="shared" si="146"/>
        <v>0</v>
      </c>
      <c r="N222" s="61">
        <f t="shared" si="146"/>
        <v>0</v>
      </c>
      <c r="O222" s="61">
        <f t="shared" si="146"/>
        <v>0</v>
      </c>
      <c r="P222" s="61">
        <f t="shared" si="146"/>
        <v>0</v>
      </c>
      <c r="Q222" s="61">
        <f t="shared" si="146"/>
        <v>0</v>
      </c>
      <c r="R222" s="61">
        <f t="shared" si="146"/>
        <v>0</v>
      </c>
      <c r="S222" s="61">
        <f t="shared" si="146"/>
        <v>0</v>
      </c>
      <c r="T222" s="61">
        <f t="shared" si="146"/>
        <v>0</v>
      </c>
      <c r="U222" s="61">
        <f t="shared" si="146"/>
        <v>0</v>
      </c>
      <c r="V222" s="61">
        <f t="shared" si="146"/>
        <v>0</v>
      </c>
      <c r="W222" s="61">
        <f t="shared" si="147"/>
        <v>0</v>
      </c>
      <c r="X222" s="61">
        <f t="shared" si="147"/>
        <v>0</v>
      </c>
      <c r="Y222" s="61">
        <f t="shared" si="147"/>
        <v>0</v>
      </c>
      <c r="Z222" s="61">
        <f t="shared" si="147"/>
        <v>0</v>
      </c>
      <c r="AA222" s="61">
        <f t="shared" si="147"/>
        <v>0</v>
      </c>
      <c r="AB222" s="61">
        <f t="shared" si="147"/>
        <v>0</v>
      </c>
      <c r="AC222" s="61">
        <f t="shared" si="147"/>
        <v>0</v>
      </c>
      <c r="AD222" s="61">
        <f t="shared" si="147"/>
        <v>0</v>
      </c>
      <c r="AE222" s="61">
        <f t="shared" si="147"/>
        <v>0</v>
      </c>
      <c r="AF222" s="61">
        <f t="shared" si="149"/>
        <v>0</v>
      </c>
      <c r="AG222" s="61">
        <f t="shared" si="151"/>
        <v>0</v>
      </c>
      <c r="AH222" s="61">
        <f t="shared" si="150"/>
        <v>0</v>
      </c>
      <c r="AI222" s="61">
        <f t="shared" si="150"/>
        <v>0</v>
      </c>
      <c r="AJ222" s="61">
        <f t="shared" si="150"/>
        <v>0</v>
      </c>
      <c r="AK222" s="61">
        <f t="shared" si="150"/>
        <v>0</v>
      </c>
      <c r="AL222" s="61">
        <f t="shared" si="150"/>
        <v>0</v>
      </c>
      <c r="AM222" s="61">
        <f t="shared" si="150"/>
        <v>0</v>
      </c>
      <c r="AN222" s="61">
        <f t="shared" si="150"/>
        <v>0</v>
      </c>
      <c r="AO222" s="61">
        <f t="shared" si="150"/>
        <v>0</v>
      </c>
      <c r="AP222" s="61">
        <f t="shared" si="150"/>
        <v>0</v>
      </c>
      <c r="AQ222" s="61"/>
    </row>
    <row r="223" spans="2:43" x14ac:dyDescent="0.25">
      <c r="B223" s="54">
        <v>0.4375</v>
      </c>
      <c r="C223" s="54">
        <v>0.79166666672245101</v>
      </c>
      <c r="D223" s="60"/>
      <c r="E223" s="91">
        <f>SUMMARY!U13</f>
        <v>0</v>
      </c>
      <c r="F223" s="91"/>
      <c r="G223" s="91"/>
      <c r="H223" s="92">
        <f t="shared" si="142"/>
        <v>0</v>
      </c>
      <c r="I223" s="180">
        <f>T$214-T$215</f>
        <v>0</v>
      </c>
      <c r="M223" s="61">
        <f t="shared" si="146"/>
        <v>0</v>
      </c>
      <c r="N223" s="61">
        <f t="shared" si="146"/>
        <v>0</v>
      </c>
      <c r="O223" s="61">
        <f t="shared" si="146"/>
        <v>0</v>
      </c>
      <c r="P223" s="61">
        <f t="shared" si="146"/>
        <v>0</v>
      </c>
      <c r="Q223" s="61">
        <f t="shared" si="146"/>
        <v>0</v>
      </c>
      <c r="R223" s="61">
        <f t="shared" si="146"/>
        <v>0</v>
      </c>
      <c r="S223" s="61">
        <f t="shared" si="146"/>
        <v>0</v>
      </c>
      <c r="T223" s="61">
        <f t="shared" si="146"/>
        <v>0</v>
      </c>
      <c r="U223" s="61">
        <f t="shared" si="146"/>
        <v>0</v>
      </c>
      <c r="V223" s="61">
        <f t="shared" si="146"/>
        <v>0</v>
      </c>
      <c r="W223" s="61">
        <f t="shared" si="147"/>
        <v>0</v>
      </c>
      <c r="X223" s="61">
        <f t="shared" si="147"/>
        <v>0</v>
      </c>
      <c r="Y223" s="61">
        <f t="shared" si="147"/>
        <v>0</v>
      </c>
      <c r="Z223" s="61">
        <f t="shared" si="147"/>
        <v>0</v>
      </c>
      <c r="AA223" s="61">
        <f t="shared" si="147"/>
        <v>0</v>
      </c>
      <c r="AB223" s="61">
        <f t="shared" si="147"/>
        <v>0</v>
      </c>
      <c r="AC223" s="61">
        <f t="shared" si="147"/>
        <v>0</v>
      </c>
      <c r="AD223" s="61">
        <f t="shared" si="147"/>
        <v>0</v>
      </c>
      <c r="AE223" s="61">
        <f t="shared" si="147"/>
        <v>0</v>
      </c>
      <c r="AF223" s="61">
        <f t="shared" si="149"/>
        <v>0</v>
      </c>
      <c r="AG223" s="61">
        <f t="shared" si="151"/>
        <v>0</v>
      </c>
      <c r="AH223" s="61">
        <f t="shared" si="150"/>
        <v>0</v>
      </c>
      <c r="AI223" s="61">
        <f t="shared" si="150"/>
        <v>0</v>
      </c>
      <c r="AJ223" s="61">
        <f t="shared" si="150"/>
        <v>0</v>
      </c>
      <c r="AK223" s="61">
        <f t="shared" si="150"/>
        <v>0</v>
      </c>
      <c r="AL223" s="61">
        <f t="shared" si="150"/>
        <v>0</v>
      </c>
      <c r="AM223" s="61">
        <f t="shared" si="150"/>
        <v>0</v>
      </c>
      <c r="AN223" s="61">
        <f t="shared" si="150"/>
        <v>0</v>
      </c>
      <c r="AO223" s="61">
        <f t="shared" si="150"/>
        <v>0</v>
      </c>
      <c r="AP223" s="61">
        <f t="shared" si="150"/>
        <v>0</v>
      </c>
      <c r="AQ223" s="61"/>
    </row>
    <row r="224" spans="2:43" x14ac:dyDescent="0.25">
      <c r="B224" s="54">
        <v>0.45833333333575865</v>
      </c>
      <c r="C224" s="54">
        <v>0.81250000005820999</v>
      </c>
      <c r="D224" s="60"/>
      <c r="E224" s="91">
        <f>SUMMARY!U14</f>
        <v>0</v>
      </c>
      <c r="F224" s="91"/>
      <c r="G224" s="91"/>
      <c r="H224" s="92">
        <f t="shared" si="142"/>
        <v>0</v>
      </c>
      <c r="I224" s="180">
        <f>U$214-U$215</f>
        <v>0</v>
      </c>
      <c r="M224" s="61">
        <f t="shared" si="146"/>
        <v>0</v>
      </c>
      <c r="N224" s="61">
        <f t="shared" si="146"/>
        <v>0</v>
      </c>
      <c r="O224" s="61">
        <f t="shared" si="146"/>
        <v>0</v>
      </c>
      <c r="P224" s="61">
        <f t="shared" si="146"/>
        <v>0</v>
      </c>
      <c r="Q224" s="61">
        <f t="shared" si="146"/>
        <v>0</v>
      </c>
      <c r="R224" s="61">
        <f t="shared" si="146"/>
        <v>0</v>
      </c>
      <c r="S224" s="61">
        <f t="shared" si="146"/>
        <v>0</v>
      </c>
      <c r="T224" s="61">
        <f t="shared" si="146"/>
        <v>0</v>
      </c>
      <c r="U224" s="61">
        <f t="shared" si="146"/>
        <v>0</v>
      </c>
      <c r="V224" s="61">
        <f t="shared" si="146"/>
        <v>0</v>
      </c>
      <c r="W224" s="61">
        <f t="shared" si="147"/>
        <v>0</v>
      </c>
      <c r="X224" s="61">
        <f t="shared" si="147"/>
        <v>0</v>
      </c>
      <c r="Y224" s="61">
        <f t="shared" si="147"/>
        <v>0</v>
      </c>
      <c r="Z224" s="61">
        <f t="shared" si="147"/>
        <v>0</v>
      </c>
      <c r="AA224" s="61">
        <f t="shared" si="147"/>
        <v>0</v>
      </c>
      <c r="AB224" s="61">
        <f t="shared" si="147"/>
        <v>0</v>
      </c>
      <c r="AC224" s="61">
        <f t="shared" si="147"/>
        <v>0</v>
      </c>
      <c r="AD224" s="61">
        <f t="shared" si="147"/>
        <v>0</v>
      </c>
      <c r="AE224" s="61">
        <f t="shared" si="147"/>
        <v>0</v>
      </c>
      <c r="AF224" s="61">
        <f t="shared" si="149"/>
        <v>0</v>
      </c>
      <c r="AG224" s="61">
        <f t="shared" si="151"/>
        <v>0</v>
      </c>
      <c r="AH224" s="61">
        <f t="shared" si="150"/>
        <v>0</v>
      </c>
      <c r="AI224" s="61">
        <f t="shared" si="150"/>
        <v>0</v>
      </c>
      <c r="AJ224" s="61">
        <f t="shared" si="150"/>
        <v>0</v>
      </c>
      <c r="AK224" s="61">
        <f t="shared" si="150"/>
        <v>0</v>
      </c>
      <c r="AL224" s="61">
        <f t="shared" si="150"/>
        <v>0</v>
      </c>
      <c r="AM224" s="61">
        <f t="shared" si="150"/>
        <v>0</v>
      </c>
      <c r="AN224" s="61">
        <f t="shared" si="150"/>
        <v>0</v>
      </c>
      <c r="AO224" s="61">
        <f t="shared" si="150"/>
        <v>0</v>
      </c>
      <c r="AP224" s="61">
        <f t="shared" si="150"/>
        <v>0</v>
      </c>
      <c r="AQ224" s="61"/>
    </row>
    <row r="225" spans="2:43" x14ac:dyDescent="0.25">
      <c r="B225" s="54">
        <v>0.47916666666424135</v>
      </c>
      <c r="C225" s="54">
        <v>0.83333333339396898</v>
      </c>
      <c r="D225" s="60"/>
      <c r="E225" s="91">
        <f>SUMMARY!U15</f>
        <v>0</v>
      </c>
      <c r="G225" s="91"/>
      <c r="H225" s="92">
        <f t="shared" si="142"/>
        <v>0</v>
      </c>
      <c r="I225" s="180">
        <f>V$214-V$215</f>
        <v>0</v>
      </c>
      <c r="M225" s="61">
        <f t="shared" si="146"/>
        <v>0</v>
      </c>
      <c r="N225" s="61">
        <f t="shared" si="146"/>
        <v>0</v>
      </c>
      <c r="O225" s="61">
        <f t="shared" si="146"/>
        <v>0</v>
      </c>
      <c r="P225" s="61">
        <f t="shared" si="146"/>
        <v>0</v>
      </c>
      <c r="Q225" s="61">
        <f t="shared" si="146"/>
        <v>0</v>
      </c>
      <c r="R225" s="61">
        <f t="shared" si="146"/>
        <v>0</v>
      </c>
      <c r="S225" s="61">
        <f t="shared" si="146"/>
        <v>0</v>
      </c>
      <c r="T225" s="61">
        <f t="shared" si="146"/>
        <v>0</v>
      </c>
      <c r="U225" s="61">
        <f t="shared" si="146"/>
        <v>0</v>
      </c>
      <c r="V225" s="61">
        <f t="shared" si="146"/>
        <v>0</v>
      </c>
      <c r="W225" s="61">
        <f t="shared" si="147"/>
        <v>0</v>
      </c>
      <c r="X225" s="61">
        <f t="shared" si="147"/>
        <v>0</v>
      </c>
      <c r="Y225" s="61">
        <f t="shared" si="147"/>
        <v>0</v>
      </c>
      <c r="Z225" s="61">
        <f t="shared" si="147"/>
        <v>0</v>
      </c>
      <c r="AA225" s="61">
        <f t="shared" si="147"/>
        <v>0</v>
      </c>
      <c r="AB225" s="61">
        <f t="shared" si="147"/>
        <v>0</v>
      </c>
      <c r="AC225" s="61">
        <f t="shared" si="147"/>
        <v>0</v>
      </c>
      <c r="AD225" s="61">
        <f t="shared" si="147"/>
        <v>0</v>
      </c>
      <c r="AE225" s="61">
        <f t="shared" si="147"/>
        <v>0</v>
      </c>
      <c r="AF225" s="61">
        <f t="shared" si="149"/>
        <v>0</v>
      </c>
      <c r="AG225" s="61">
        <f t="shared" si="151"/>
        <v>0</v>
      </c>
      <c r="AH225" s="61">
        <f t="shared" si="150"/>
        <v>0</v>
      </c>
      <c r="AI225" s="61">
        <f t="shared" si="150"/>
        <v>0</v>
      </c>
      <c r="AJ225" s="61">
        <f t="shared" si="150"/>
        <v>0</v>
      </c>
      <c r="AK225" s="61">
        <f t="shared" si="150"/>
        <v>0</v>
      </c>
      <c r="AL225" s="61">
        <f t="shared" si="150"/>
        <v>0</v>
      </c>
      <c r="AM225" s="61">
        <f t="shared" si="150"/>
        <v>0</v>
      </c>
      <c r="AN225" s="61">
        <f t="shared" si="150"/>
        <v>0</v>
      </c>
      <c r="AO225" s="61">
        <f t="shared" si="150"/>
        <v>0</v>
      </c>
      <c r="AP225" s="61">
        <f t="shared" si="150"/>
        <v>0</v>
      </c>
      <c r="AQ225" s="61"/>
    </row>
    <row r="226" spans="2:43" x14ac:dyDescent="0.25">
      <c r="B226" s="54">
        <v>0.5</v>
      </c>
      <c r="C226" s="54">
        <v>0.85416666672972796</v>
      </c>
      <c r="D226" s="60"/>
      <c r="E226" s="91">
        <f>SUMMARY!U16</f>
        <v>0</v>
      </c>
      <c r="G226" s="91"/>
      <c r="H226" s="92">
        <f t="shared" si="142"/>
        <v>0</v>
      </c>
      <c r="I226" s="180">
        <f>W$214-W$215</f>
        <v>0</v>
      </c>
      <c r="M226" s="61">
        <f t="shared" si="146"/>
        <v>0</v>
      </c>
      <c r="N226" s="61">
        <f t="shared" si="146"/>
        <v>0</v>
      </c>
      <c r="O226" s="61">
        <f t="shared" si="146"/>
        <v>0</v>
      </c>
      <c r="P226" s="61">
        <f t="shared" si="146"/>
        <v>0</v>
      </c>
      <c r="Q226" s="61">
        <f t="shared" si="146"/>
        <v>0</v>
      </c>
      <c r="R226" s="61">
        <f t="shared" si="146"/>
        <v>0</v>
      </c>
      <c r="S226" s="61">
        <f t="shared" si="146"/>
        <v>0</v>
      </c>
      <c r="T226" s="61">
        <f t="shared" si="146"/>
        <v>0</v>
      </c>
      <c r="U226" s="61">
        <f t="shared" si="146"/>
        <v>0</v>
      </c>
      <c r="V226" s="61">
        <f t="shared" si="146"/>
        <v>0</v>
      </c>
      <c r="W226" s="61">
        <f t="shared" si="147"/>
        <v>0</v>
      </c>
      <c r="X226" s="61">
        <f t="shared" si="147"/>
        <v>0</v>
      </c>
      <c r="Y226" s="61">
        <f t="shared" si="147"/>
        <v>0</v>
      </c>
      <c r="Z226" s="61">
        <f t="shared" si="147"/>
        <v>0</v>
      </c>
      <c r="AA226" s="61">
        <f t="shared" si="147"/>
        <v>0</v>
      </c>
      <c r="AB226" s="61">
        <f t="shared" si="147"/>
        <v>0</v>
      </c>
      <c r="AC226" s="61">
        <f t="shared" si="147"/>
        <v>0</v>
      </c>
      <c r="AD226" s="61">
        <f t="shared" si="147"/>
        <v>0</v>
      </c>
      <c r="AE226" s="61">
        <f t="shared" si="147"/>
        <v>0</v>
      </c>
      <c r="AF226" s="61">
        <f t="shared" si="149"/>
        <v>0</v>
      </c>
      <c r="AG226" s="61">
        <f t="shared" si="151"/>
        <v>0</v>
      </c>
      <c r="AH226" s="61">
        <f t="shared" si="150"/>
        <v>0</v>
      </c>
      <c r="AI226" s="61">
        <f t="shared" si="150"/>
        <v>0</v>
      </c>
      <c r="AJ226" s="61">
        <f t="shared" si="150"/>
        <v>0</v>
      </c>
      <c r="AK226" s="61">
        <f t="shared" si="150"/>
        <v>0</v>
      </c>
      <c r="AL226" s="61">
        <f t="shared" si="150"/>
        <v>0</v>
      </c>
      <c r="AM226" s="61">
        <f t="shared" si="150"/>
        <v>0</v>
      </c>
      <c r="AN226" s="61">
        <f t="shared" si="150"/>
        <v>0</v>
      </c>
      <c r="AO226" s="61">
        <f t="shared" si="150"/>
        <v>0</v>
      </c>
      <c r="AP226" s="61">
        <f t="shared" si="150"/>
        <v>0</v>
      </c>
      <c r="AQ226" s="61"/>
    </row>
    <row r="227" spans="2:43" x14ac:dyDescent="0.25">
      <c r="B227" s="54">
        <v>0.52083333333575865</v>
      </c>
      <c r="C227" s="54">
        <v>0.87500000006548695</v>
      </c>
      <c r="D227" s="60"/>
      <c r="E227" s="91">
        <f>SUMMARY!U17</f>
        <v>0</v>
      </c>
      <c r="G227" s="91"/>
      <c r="H227" s="92">
        <f t="shared" si="142"/>
        <v>0</v>
      </c>
      <c r="I227" s="180">
        <f>X$214-X$215</f>
        <v>0</v>
      </c>
      <c r="M227" s="61">
        <f t="shared" si="146"/>
        <v>0</v>
      </c>
      <c r="N227" s="61">
        <f t="shared" si="146"/>
        <v>0</v>
      </c>
      <c r="O227" s="61">
        <f t="shared" si="146"/>
        <v>0</v>
      </c>
      <c r="P227" s="61">
        <f t="shared" si="146"/>
        <v>0</v>
      </c>
      <c r="Q227" s="61">
        <f t="shared" si="146"/>
        <v>0</v>
      </c>
      <c r="R227" s="61">
        <f t="shared" si="146"/>
        <v>0</v>
      </c>
      <c r="S227" s="61">
        <f t="shared" si="146"/>
        <v>0</v>
      </c>
      <c r="T227" s="61">
        <f t="shared" si="146"/>
        <v>0</v>
      </c>
      <c r="U227" s="61">
        <f t="shared" si="146"/>
        <v>0</v>
      </c>
      <c r="V227" s="61">
        <f t="shared" si="146"/>
        <v>0</v>
      </c>
      <c r="W227" s="61">
        <f t="shared" si="147"/>
        <v>0</v>
      </c>
      <c r="X227" s="61">
        <f t="shared" si="147"/>
        <v>0</v>
      </c>
      <c r="Y227" s="61">
        <f t="shared" si="147"/>
        <v>0</v>
      </c>
      <c r="Z227" s="61">
        <f t="shared" si="147"/>
        <v>0</v>
      </c>
      <c r="AA227" s="61">
        <f t="shared" si="147"/>
        <v>0</v>
      </c>
      <c r="AB227" s="61">
        <f t="shared" si="147"/>
        <v>0</v>
      </c>
      <c r="AC227" s="61">
        <f t="shared" si="147"/>
        <v>0</v>
      </c>
      <c r="AD227" s="61">
        <f t="shared" si="147"/>
        <v>0</v>
      </c>
      <c r="AE227" s="61">
        <f t="shared" si="147"/>
        <v>0</v>
      </c>
      <c r="AF227" s="61">
        <f t="shared" si="149"/>
        <v>0</v>
      </c>
      <c r="AG227" s="61">
        <f t="shared" si="151"/>
        <v>0</v>
      </c>
      <c r="AH227" s="61">
        <f t="shared" si="150"/>
        <v>0</v>
      </c>
      <c r="AI227" s="61">
        <f t="shared" si="150"/>
        <v>0</v>
      </c>
      <c r="AJ227" s="61">
        <f t="shared" si="150"/>
        <v>0</v>
      </c>
      <c r="AK227" s="61">
        <f t="shared" si="150"/>
        <v>0</v>
      </c>
      <c r="AL227" s="61">
        <f t="shared" si="150"/>
        <v>0</v>
      </c>
      <c r="AM227" s="61">
        <f t="shared" si="150"/>
        <v>0</v>
      </c>
      <c r="AN227" s="61">
        <f t="shared" si="150"/>
        <v>0</v>
      </c>
      <c r="AO227" s="61">
        <f t="shared" si="150"/>
        <v>0</v>
      </c>
      <c r="AP227" s="61">
        <f t="shared" si="150"/>
        <v>0</v>
      </c>
      <c r="AQ227" s="61"/>
    </row>
    <row r="228" spans="2:43" x14ac:dyDescent="0.25">
      <c r="B228" s="54">
        <v>0.54166666666424135</v>
      </c>
      <c r="C228" s="54">
        <v>0.89583333340124605</v>
      </c>
      <c r="D228" s="60"/>
      <c r="E228" s="91">
        <f>SUMMARY!U18</f>
        <v>0</v>
      </c>
      <c r="G228" s="91"/>
      <c r="H228" s="92">
        <f t="shared" si="142"/>
        <v>0</v>
      </c>
      <c r="I228" s="180">
        <f>Y$214-Y$215</f>
        <v>0</v>
      </c>
      <c r="M228" s="61">
        <f t="shared" ref="M228:V237" si="152">IF(AND(M$2&gt;=$B228,M$2&lt;$C228),$E228,0)</f>
        <v>0</v>
      </c>
      <c r="N228" s="61">
        <f t="shared" si="152"/>
        <v>0</v>
      </c>
      <c r="O228" s="61">
        <f t="shared" si="152"/>
        <v>0</v>
      </c>
      <c r="P228" s="61">
        <f t="shared" si="152"/>
        <v>0</v>
      </c>
      <c r="Q228" s="61">
        <f t="shared" si="152"/>
        <v>0</v>
      </c>
      <c r="R228" s="61">
        <f t="shared" si="152"/>
        <v>0</v>
      </c>
      <c r="S228" s="61">
        <f t="shared" si="152"/>
        <v>0</v>
      </c>
      <c r="T228" s="61">
        <f t="shared" si="152"/>
        <v>0</v>
      </c>
      <c r="U228" s="61">
        <f t="shared" si="152"/>
        <v>0</v>
      </c>
      <c r="V228" s="61">
        <f t="shared" si="152"/>
        <v>0</v>
      </c>
      <c r="W228" s="61">
        <f t="shared" ref="W228:AE237" si="153">IF(AND(W$2&gt;=$B228,W$2&lt;$C228),$E228,0)</f>
        <v>0</v>
      </c>
      <c r="X228" s="61">
        <f t="shared" si="153"/>
        <v>0</v>
      </c>
      <c r="Y228" s="61">
        <f t="shared" si="153"/>
        <v>0</v>
      </c>
      <c r="Z228" s="61">
        <f t="shared" si="153"/>
        <v>0</v>
      </c>
      <c r="AA228" s="61">
        <f t="shared" si="153"/>
        <v>0</v>
      </c>
      <c r="AB228" s="61">
        <f t="shared" si="153"/>
        <v>0</v>
      </c>
      <c r="AC228" s="61">
        <f t="shared" si="153"/>
        <v>0</v>
      </c>
      <c r="AD228" s="61">
        <f t="shared" si="153"/>
        <v>0</v>
      </c>
      <c r="AE228" s="61">
        <f t="shared" si="153"/>
        <v>0</v>
      </c>
      <c r="AF228" s="61">
        <f t="shared" si="149"/>
        <v>0</v>
      </c>
      <c r="AG228" s="61">
        <f t="shared" si="151"/>
        <v>0</v>
      </c>
      <c r="AH228" s="61">
        <f t="shared" si="150"/>
        <v>0</v>
      </c>
      <c r="AI228" s="61">
        <f t="shared" si="150"/>
        <v>0</v>
      </c>
      <c r="AJ228" s="61">
        <f t="shared" si="150"/>
        <v>0</v>
      </c>
      <c r="AK228" s="61">
        <f t="shared" si="150"/>
        <v>0</v>
      </c>
      <c r="AL228" s="61">
        <f t="shared" si="150"/>
        <v>0</v>
      </c>
      <c r="AM228" s="61">
        <f t="shared" si="150"/>
        <v>0</v>
      </c>
      <c r="AN228" s="61">
        <f t="shared" si="150"/>
        <v>0</v>
      </c>
      <c r="AO228" s="61">
        <f t="shared" si="150"/>
        <v>0</v>
      </c>
      <c r="AP228" s="61">
        <f t="shared" si="150"/>
        <v>0</v>
      </c>
      <c r="AQ228" s="61"/>
    </row>
    <row r="229" spans="2:43" x14ac:dyDescent="0.25">
      <c r="B229" s="54">
        <v>0.5625</v>
      </c>
      <c r="C229" s="54">
        <v>0.91666666673700503</v>
      </c>
      <c r="D229" s="60"/>
      <c r="E229" s="91">
        <f>SUMMARY!U19</f>
        <v>0</v>
      </c>
      <c r="G229" s="91"/>
      <c r="H229" s="92">
        <f t="shared" si="142"/>
        <v>0</v>
      </c>
      <c r="I229" s="180">
        <f>Z$214-Z$215</f>
        <v>0</v>
      </c>
      <c r="M229" s="61">
        <f t="shared" si="152"/>
        <v>0</v>
      </c>
      <c r="N229" s="61">
        <f t="shared" si="152"/>
        <v>0</v>
      </c>
      <c r="O229" s="61">
        <f t="shared" si="152"/>
        <v>0</v>
      </c>
      <c r="P229" s="61">
        <f t="shared" si="152"/>
        <v>0</v>
      </c>
      <c r="Q229" s="61">
        <f t="shared" si="152"/>
        <v>0</v>
      </c>
      <c r="R229" s="61">
        <f t="shared" si="152"/>
        <v>0</v>
      </c>
      <c r="S229" s="61">
        <f t="shared" si="152"/>
        <v>0</v>
      </c>
      <c r="T229" s="61">
        <f t="shared" si="152"/>
        <v>0</v>
      </c>
      <c r="U229" s="61">
        <f t="shared" si="152"/>
        <v>0</v>
      </c>
      <c r="V229" s="61">
        <f t="shared" si="152"/>
        <v>0</v>
      </c>
      <c r="W229" s="61">
        <f t="shared" si="153"/>
        <v>0</v>
      </c>
      <c r="X229" s="61">
        <f t="shared" si="153"/>
        <v>0</v>
      </c>
      <c r="Y229" s="61">
        <f t="shared" si="153"/>
        <v>0</v>
      </c>
      <c r="Z229" s="61">
        <f t="shared" si="153"/>
        <v>0</v>
      </c>
      <c r="AA229" s="61">
        <f t="shared" si="153"/>
        <v>0</v>
      </c>
      <c r="AB229" s="61">
        <f t="shared" si="153"/>
        <v>0</v>
      </c>
      <c r="AC229" s="61">
        <f t="shared" si="153"/>
        <v>0</v>
      </c>
      <c r="AD229" s="61">
        <f t="shared" si="153"/>
        <v>0</v>
      </c>
      <c r="AE229" s="61">
        <f t="shared" si="153"/>
        <v>0</v>
      </c>
      <c r="AF229" s="61">
        <f t="shared" si="149"/>
        <v>0</v>
      </c>
      <c r="AG229" s="61">
        <f t="shared" si="151"/>
        <v>0</v>
      </c>
      <c r="AH229" s="61">
        <f t="shared" ref="AH229:AP238" si="154">IF(AND(AH$2&gt;=$B229,AH$2&lt;$C229),$E229,0)</f>
        <v>0</v>
      </c>
      <c r="AI229" s="61">
        <f t="shared" si="154"/>
        <v>0</v>
      </c>
      <c r="AJ229" s="61">
        <f t="shared" si="154"/>
        <v>0</v>
      </c>
      <c r="AK229" s="61">
        <f t="shared" si="154"/>
        <v>0</v>
      </c>
      <c r="AL229" s="61">
        <f t="shared" si="154"/>
        <v>0</v>
      </c>
      <c r="AM229" s="61">
        <f t="shared" si="154"/>
        <v>0</v>
      </c>
      <c r="AN229" s="61">
        <f t="shared" si="154"/>
        <v>0</v>
      </c>
      <c r="AO229" s="61">
        <f t="shared" si="154"/>
        <v>0</v>
      </c>
      <c r="AP229" s="61">
        <f t="shared" si="154"/>
        <v>0</v>
      </c>
      <c r="AQ229" s="61"/>
    </row>
    <row r="230" spans="2:43" x14ac:dyDescent="0.25">
      <c r="B230" s="54">
        <v>0.58333333333575899</v>
      </c>
      <c r="C230" s="54">
        <v>0.93750000007276402</v>
      </c>
      <c r="D230" s="60"/>
      <c r="E230" s="91"/>
      <c r="G230" s="91"/>
      <c r="H230" s="92">
        <f t="shared" si="142"/>
        <v>0</v>
      </c>
      <c r="I230" s="180">
        <f>AA$214-AA$215</f>
        <v>0</v>
      </c>
      <c r="M230" s="61">
        <f t="shared" si="152"/>
        <v>0</v>
      </c>
      <c r="N230" s="61">
        <f t="shared" si="152"/>
        <v>0</v>
      </c>
      <c r="O230" s="61">
        <f t="shared" si="152"/>
        <v>0</v>
      </c>
      <c r="P230" s="61">
        <f t="shared" si="152"/>
        <v>0</v>
      </c>
      <c r="Q230" s="61">
        <f t="shared" si="152"/>
        <v>0</v>
      </c>
      <c r="R230" s="61">
        <f t="shared" si="152"/>
        <v>0</v>
      </c>
      <c r="S230" s="61">
        <f t="shared" si="152"/>
        <v>0</v>
      </c>
      <c r="T230" s="61">
        <f t="shared" si="152"/>
        <v>0</v>
      </c>
      <c r="U230" s="61">
        <f t="shared" si="152"/>
        <v>0</v>
      </c>
      <c r="V230" s="61">
        <f t="shared" si="152"/>
        <v>0</v>
      </c>
      <c r="W230" s="61">
        <f t="shared" si="153"/>
        <v>0</v>
      </c>
      <c r="X230" s="61">
        <f t="shared" si="153"/>
        <v>0</v>
      </c>
      <c r="Y230" s="61">
        <f t="shared" si="153"/>
        <v>0</v>
      </c>
      <c r="Z230" s="61">
        <f t="shared" si="153"/>
        <v>0</v>
      </c>
      <c r="AA230" s="61">
        <f t="shared" si="153"/>
        <v>0</v>
      </c>
      <c r="AB230" s="61">
        <f t="shared" si="153"/>
        <v>0</v>
      </c>
      <c r="AC230" s="61">
        <f t="shared" si="153"/>
        <v>0</v>
      </c>
      <c r="AD230" s="61">
        <f t="shared" si="153"/>
        <v>0</v>
      </c>
      <c r="AE230" s="61">
        <f t="shared" si="153"/>
        <v>0</v>
      </c>
      <c r="AF230" s="61">
        <f t="shared" si="149"/>
        <v>0</v>
      </c>
      <c r="AG230" s="61">
        <f t="shared" si="151"/>
        <v>0</v>
      </c>
      <c r="AH230" s="61">
        <f t="shared" si="154"/>
        <v>0</v>
      </c>
      <c r="AI230" s="61">
        <f t="shared" si="154"/>
        <v>0</v>
      </c>
      <c r="AJ230" s="61">
        <f t="shared" si="154"/>
        <v>0</v>
      </c>
      <c r="AK230" s="61">
        <f t="shared" si="154"/>
        <v>0</v>
      </c>
      <c r="AL230" s="61">
        <f t="shared" si="154"/>
        <v>0</v>
      </c>
      <c r="AM230" s="61">
        <f t="shared" si="154"/>
        <v>0</v>
      </c>
      <c r="AN230" s="61">
        <f t="shared" si="154"/>
        <v>0</v>
      </c>
      <c r="AO230" s="61">
        <f t="shared" si="154"/>
        <v>0</v>
      </c>
      <c r="AP230" s="61">
        <f t="shared" si="154"/>
        <v>0</v>
      </c>
      <c r="AQ230" s="61"/>
    </row>
    <row r="231" spans="2:43" x14ac:dyDescent="0.25">
      <c r="B231" s="54">
        <v>0.60416666667151697</v>
      </c>
      <c r="C231" s="54">
        <v>0.958333333408523</v>
      </c>
      <c r="D231" s="60"/>
      <c r="E231" s="91"/>
      <c r="G231" s="91"/>
      <c r="H231" s="92">
        <f t="shared" si="142"/>
        <v>0</v>
      </c>
      <c r="I231" s="180">
        <f>AB$214-AB$215</f>
        <v>0</v>
      </c>
      <c r="M231" s="61">
        <f t="shared" si="152"/>
        <v>0</v>
      </c>
      <c r="N231" s="61">
        <f t="shared" si="152"/>
        <v>0</v>
      </c>
      <c r="O231" s="61">
        <f t="shared" si="152"/>
        <v>0</v>
      </c>
      <c r="P231" s="61">
        <f t="shared" si="152"/>
        <v>0</v>
      </c>
      <c r="Q231" s="61">
        <f t="shared" si="152"/>
        <v>0</v>
      </c>
      <c r="R231" s="61">
        <f t="shared" si="152"/>
        <v>0</v>
      </c>
      <c r="S231" s="61">
        <f t="shared" si="152"/>
        <v>0</v>
      </c>
      <c r="T231" s="61">
        <f t="shared" si="152"/>
        <v>0</v>
      </c>
      <c r="U231" s="61">
        <f t="shared" si="152"/>
        <v>0</v>
      </c>
      <c r="V231" s="61">
        <f t="shared" si="152"/>
        <v>0</v>
      </c>
      <c r="W231" s="61">
        <f t="shared" si="153"/>
        <v>0</v>
      </c>
      <c r="X231" s="61">
        <f t="shared" si="153"/>
        <v>0</v>
      </c>
      <c r="Y231" s="61">
        <f t="shared" si="153"/>
        <v>0</v>
      </c>
      <c r="Z231" s="61">
        <f t="shared" si="153"/>
        <v>0</v>
      </c>
      <c r="AA231" s="61">
        <f t="shared" si="153"/>
        <v>0</v>
      </c>
      <c r="AB231" s="61">
        <f t="shared" si="153"/>
        <v>0</v>
      </c>
      <c r="AC231" s="61">
        <f t="shared" si="153"/>
        <v>0</v>
      </c>
      <c r="AD231" s="61">
        <f t="shared" si="153"/>
        <v>0</v>
      </c>
      <c r="AE231" s="61">
        <f t="shared" si="153"/>
        <v>0</v>
      </c>
      <c r="AF231" s="61">
        <f t="shared" si="149"/>
        <v>0</v>
      </c>
      <c r="AG231" s="61">
        <f t="shared" si="151"/>
        <v>0</v>
      </c>
      <c r="AH231" s="61">
        <f t="shared" si="154"/>
        <v>0</v>
      </c>
      <c r="AI231" s="61">
        <f t="shared" si="154"/>
        <v>0</v>
      </c>
      <c r="AJ231" s="61">
        <f t="shared" si="154"/>
        <v>0</v>
      </c>
      <c r="AK231" s="61">
        <f t="shared" si="154"/>
        <v>0</v>
      </c>
      <c r="AL231" s="61">
        <f t="shared" si="154"/>
        <v>0</v>
      </c>
      <c r="AM231" s="61">
        <f t="shared" si="154"/>
        <v>0</v>
      </c>
      <c r="AN231" s="61">
        <f t="shared" si="154"/>
        <v>0</v>
      </c>
      <c r="AO231" s="61">
        <f t="shared" si="154"/>
        <v>0</v>
      </c>
      <c r="AP231" s="61">
        <f t="shared" si="154"/>
        <v>0</v>
      </c>
      <c r="AQ231" s="61"/>
    </row>
    <row r="232" spans="2:43" x14ac:dyDescent="0.25">
      <c r="B232" s="54">
        <v>0.62500000000727596</v>
      </c>
      <c r="C232" s="54">
        <v>0.97916666674428199</v>
      </c>
      <c r="D232" s="60"/>
      <c r="E232" s="91"/>
      <c r="G232" s="91"/>
      <c r="H232" s="92">
        <f t="shared" si="142"/>
        <v>0</v>
      </c>
      <c r="I232" s="180">
        <f>AC$214-AC$215</f>
        <v>0</v>
      </c>
      <c r="M232" s="61">
        <f t="shared" si="152"/>
        <v>0</v>
      </c>
      <c r="N232" s="61">
        <f t="shared" si="152"/>
        <v>0</v>
      </c>
      <c r="O232" s="61">
        <f t="shared" si="152"/>
        <v>0</v>
      </c>
      <c r="P232" s="61">
        <f t="shared" si="152"/>
        <v>0</v>
      </c>
      <c r="Q232" s="61">
        <f t="shared" si="152"/>
        <v>0</v>
      </c>
      <c r="R232" s="61">
        <f t="shared" si="152"/>
        <v>0</v>
      </c>
      <c r="S232" s="61">
        <f t="shared" si="152"/>
        <v>0</v>
      </c>
      <c r="T232" s="61">
        <f t="shared" si="152"/>
        <v>0</v>
      </c>
      <c r="U232" s="61">
        <f t="shared" si="152"/>
        <v>0</v>
      </c>
      <c r="V232" s="61">
        <f t="shared" si="152"/>
        <v>0</v>
      </c>
      <c r="W232" s="61">
        <f t="shared" si="153"/>
        <v>0</v>
      </c>
      <c r="X232" s="61">
        <f t="shared" si="153"/>
        <v>0</v>
      </c>
      <c r="Y232" s="61">
        <f t="shared" si="153"/>
        <v>0</v>
      </c>
      <c r="Z232" s="61">
        <f t="shared" si="153"/>
        <v>0</v>
      </c>
      <c r="AA232" s="61">
        <f t="shared" si="153"/>
        <v>0</v>
      </c>
      <c r="AB232" s="61">
        <f t="shared" si="153"/>
        <v>0</v>
      </c>
      <c r="AC232" s="61">
        <f t="shared" si="153"/>
        <v>0</v>
      </c>
      <c r="AD232" s="61">
        <f t="shared" si="153"/>
        <v>0</v>
      </c>
      <c r="AE232" s="61">
        <f t="shared" si="153"/>
        <v>0</v>
      </c>
      <c r="AF232" s="61">
        <f t="shared" si="149"/>
        <v>0</v>
      </c>
      <c r="AG232" s="61">
        <f t="shared" si="151"/>
        <v>0</v>
      </c>
      <c r="AH232" s="61">
        <f t="shared" si="154"/>
        <v>0</v>
      </c>
      <c r="AI232" s="61">
        <f t="shared" si="154"/>
        <v>0</v>
      </c>
      <c r="AJ232" s="61">
        <f t="shared" si="154"/>
        <v>0</v>
      </c>
      <c r="AK232" s="61">
        <f t="shared" si="154"/>
        <v>0</v>
      </c>
      <c r="AL232" s="61">
        <f t="shared" si="154"/>
        <v>0</v>
      </c>
      <c r="AM232" s="61">
        <f t="shared" si="154"/>
        <v>0</v>
      </c>
      <c r="AN232" s="61">
        <f t="shared" si="154"/>
        <v>0</v>
      </c>
      <c r="AO232" s="61">
        <f t="shared" si="154"/>
        <v>0</v>
      </c>
      <c r="AP232" s="61">
        <f t="shared" si="154"/>
        <v>0</v>
      </c>
      <c r="AQ232" s="61"/>
    </row>
    <row r="233" spans="2:43" x14ac:dyDescent="0.25">
      <c r="B233" s="54">
        <v>0.64583333334303406</v>
      </c>
      <c r="C233" s="54">
        <v>1.00000000008004</v>
      </c>
      <c r="D233" s="60"/>
      <c r="E233" s="91"/>
      <c r="G233" s="91"/>
      <c r="H233" s="92">
        <f t="shared" si="142"/>
        <v>0</v>
      </c>
      <c r="I233" s="180">
        <f>AD$214-AD$215</f>
        <v>0</v>
      </c>
      <c r="M233" s="61">
        <f t="shared" si="152"/>
        <v>0</v>
      </c>
      <c r="N233" s="61">
        <f t="shared" si="152"/>
        <v>0</v>
      </c>
      <c r="O233" s="61">
        <f t="shared" si="152"/>
        <v>0</v>
      </c>
      <c r="P233" s="61">
        <f t="shared" si="152"/>
        <v>0</v>
      </c>
      <c r="Q233" s="61">
        <f t="shared" si="152"/>
        <v>0</v>
      </c>
      <c r="R233" s="61">
        <f t="shared" si="152"/>
        <v>0</v>
      </c>
      <c r="S233" s="61">
        <f t="shared" si="152"/>
        <v>0</v>
      </c>
      <c r="T233" s="61">
        <f t="shared" si="152"/>
        <v>0</v>
      </c>
      <c r="U233" s="61">
        <f t="shared" si="152"/>
        <v>0</v>
      </c>
      <c r="V233" s="61">
        <f t="shared" si="152"/>
        <v>0</v>
      </c>
      <c r="W233" s="61">
        <f t="shared" si="153"/>
        <v>0</v>
      </c>
      <c r="X233" s="61">
        <f t="shared" si="153"/>
        <v>0</v>
      </c>
      <c r="Y233" s="61">
        <f t="shared" si="153"/>
        <v>0</v>
      </c>
      <c r="Z233" s="61">
        <f t="shared" si="153"/>
        <v>0</v>
      </c>
      <c r="AA233" s="61">
        <f t="shared" si="153"/>
        <v>0</v>
      </c>
      <c r="AB233" s="61">
        <f t="shared" si="153"/>
        <v>0</v>
      </c>
      <c r="AC233" s="61">
        <f t="shared" si="153"/>
        <v>0</v>
      </c>
      <c r="AD233" s="61">
        <f t="shared" si="153"/>
        <v>0</v>
      </c>
      <c r="AE233" s="61">
        <f t="shared" si="153"/>
        <v>0</v>
      </c>
      <c r="AF233" s="61">
        <f t="shared" si="149"/>
        <v>0</v>
      </c>
      <c r="AG233" s="61">
        <f t="shared" si="151"/>
        <v>0</v>
      </c>
      <c r="AH233" s="61">
        <f t="shared" si="154"/>
        <v>0</v>
      </c>
      <c r="AI233" s="61">
        <f t="shared" si="154"/>
        <v>0</v>
      </c>
      <c r="AJ233" s="61">
        <f t="shared" si="154"/>
        <v>0</v>
      </c>
      <c r="AK233" s="61">
        <f t="shared" si="154"/>
        <v>0</v>
      </c>
      <c r="AL233" s="61">
        <f t="shared" si="154"/>
        <v>0</v>
      </c>
      <c r="AM233" s="61">
        <f t="shared" si="154"/>
        <v>0</v>
      </c>
      <c r="AN233" s="61">
        <f t="shared" si="154"/>
        <v>0</v>
      </c>
      <c r="AO233" s="61">
        <f t="shared" si="154"/>
        <v>0</v>
      </c>
      <c r="AP233" s="61">
        <f t="shared" si="154"/>
        <v>0</v>
      </c>
      <c r="AQ233" s="61"/>
    </row>
    <row r="234" spans="2:43" x14ac:dyDescent="0.25">
      <c r="B234" s="54">
        <v>0.66666666667879304</v>
      </c>
      <c r="C234" s="54">
        <v>1.0208333334158</v>
      </c>
      <c r="D234" s="60"/>
      <c r="E234" s="91"/>
      <c r="G234" s="91"/>
      <c r="H234" s="92">
        <f t="shared" si="142"/>
        <v>0</v>
      </c>
      <c r="I234" s="180">
        <f>AE$214-AE$215</f>
        <v>0</v>
      </c>
      <c r="M234" s="61">
        <f t="shared" si="152"/>
        <v>0</v>
      </c>
      <c r="N234" s="61">
        <f t="shared" si="152"/>
        <v>0</v>
      </c>
      <c r="O234" s="61">
        <f t="shared" si="152"/>
        <v>0</v>
      </c>
      <c r="P234" s="61">
        <f t="shared" si="152"/>
        <v>0</v>
      </c>
      <c r="Q234" s="61">
        <f t="shared" si="152"/>
        <v>0</v>
      </c>
      <c r="R234" s="61">
        <f t="shared" si="152"/>
        <v>0</v>
      </c>
      <c r="S234" s="61">
        <f t="shared" si="152"/>
        <v>0</v>
      </c>
      <c r="T234" s="61">
        <f t="shared" si="152"/>
        <v>0</v>
      </c>
      <c r="U234" s="61">
        <f t="shared" si="152"/>
        <v>0</v>
      </c>
      <c r="V234" s="61">
        <f t="shared" si="152"/>
        <v>0</v>
      </c>
      <c r="W234" s="61">
        <f t="shared" si="153"/>
        <v>0</v>
      </c>
      <c r="X234" s="61">
        <f t="shared" si="153"/>
        <v>0</v>
      </c>
      <c r="Y234" s="61">
        <f t="shared" si="153"/>
        <v>0</v>
      </c>
      <c r="Z234" s="61">
        <f t="shared" si="153"/>
        <v>0</v>
      </c>
      <c r="AA234" s="61">
        <f t="shared" si="153"/>
        <v>0</v>
      </c>
      <c r="AB234" s="61">
        <f t="shared" si="153"/>
        <v>0</v>
      </c>
      <c r="AC234" s="61">
        <f t="shared" si="153"/>
        <v>0</v>
      </c>
      <c r="AD234" s="61">
        <f t="shared" si="153"/>
        <v>0</v>
      </c>
      <c r="AE234" s="61">
        <f t="shared" si="153"/>
        <v>0</v>
      </c>
      <c r="AF234" s="61">
        <f t="shared" si="149"/>
        <v>0</v>
      </c>
      <c r="AG234" s="61">
        <f t="shared" si="151"/>
        <v>0</v>
      </c>
      <c r="AH234" s="61">
        <f t="shared" si="154"/>
        <v>0</v>
      </c>
      <c r="AI234" s="61">
        <f t="shared" si="154"/>
        <v>0</v>
      </c>
      <c r="AJ234" s="61">
        <f t="shared" si="154"/>
        <v>0</v>
      </c>
      <c r="AK234" s="61">
        <f t="shared" si="154"/>
        <v>0</v>
      </c>
      <c r="AL234" s="61">
        <f t="shared" si="154"/>
        <v>0</v>
      </c>
      <c r="AM234" s="61">
        <f t="shared" si="154"/>
        <v>0</v>
      </c>
      <c r="AN234" s="61">
        <f t="shared" si="154"/>
        <v>0</v>
      </c>
      <c r="AO234" s="61">
        <f t="shared" si="154"/>
        <v>0</v>
      </c>
      <c r="AP234" s="61">
        <f t="shared" si="154"/>
        <v>0</v>
      </c>
      <c r="AQ234" s="61"/>
    </row>
    <row r="235" spans="2:43" x14ac:dyDescent="0.25">
      <c r="B235" s="54">
        <v>0.68750000001455203</v>
      </c>
      <c r="C235" s="54">
        <v>1.0416666667515599</v>
      </c>
      <c r="D235" s="60"/>
      <c r="E235" s="91"/>
      <c r="G235" s="91"/>
      <c r="H235" s="92">
        <f t="shared" si="142"/>
        <v>0</v>
      </c>
      <c r="I235" s="180">
        <f>AF$214-AF$215</f>
        <v>0</v>
      </c>
      <c r="M235" s="61">
        <f t="shared" si="152"/>
        <v>0</v>
      </c>
      <c r="N235" s="61">
        <f t="shared" si="152"/>
        <v>0</v>
      </c>
      <c r="O235" s="61">
        <f t="shared" si="152"/>
        <v>0</v>
      </c>
      <c r="P235" s="61">
        <f t="shared" si="152"/>
        <v>0</v>
      </c>
      <c r="Q235" s="61">
        <f t="shared" si="152"/>
        <v>0</v>
      </c>
      <c r="R235" s="61">
        <f t="shared" si="152"/>
        <v>0</v>
      </c>
      <c r="S235" s="61">
        <f t="shared" si="152"/>
        <v>0</v>
      </c>
      <c r="T235" s="61">
        <f t="shared" si="152"/>
        <v>0</v>
      </c>
      <c r="U235" s="61">
        <f t="shared" si="152"/>
        <v>0</v>
      </c>
      <c r="V235" s="61">
        <f t="shared" si="152"/>
        <v>0</v>
      </c>
      <c r="W235" s="61">
        <f t="shared" si="153"/>
        <v>0</v>
      </c>
      <c r="X235" s="61">
        <f t="shared" si="153"/>
        <v>0</v>
      </c>
      <c r="Y235" s="61">
        <f t="shared" si="153"/>
        <v>0</v>
      </c>
      <c r="Z235" s="61">
        <f t="shared" si="153"/>
        <v>0</v>
      </c>
      <c r="AA235" s="61">
        <f t="shared" si="153"/>
        <v>0</v>
      </c>
      <c r="AB235" s="61">
        <f t="shared" si="153"/>
        <v>0</v>
      </c>
      <c r="AC235" s="61">
        <f t="shared" si="153"/>
        <v>0</v>
      </c>
      <c r="AD235" s="61">
        <f t="shared" si="153"/>
        <v>0</v>
      </c>
      <c r="AE235" s="61">
        <f t="shared" si="153"/>
        <v>0</v>
      </c>
      <c r="AF235" s="61">
        <f t="shared" si="149"/>
        <v>0</v>
      </c>
      <c r="AG235" s="61">
        <f t="shared" si="151"/>
        <v>0</v>
      </c>
      <c r="AH235" s="61">
        <f t="shared" si="154"/>
        <v>0</v>
      </c>
      <c r="AI235" s="61">
        <f t="shared" si="154"/>
        <v>0</v>
      </c>
      <c r="AJ235" s="61">
        <f t="shared" si="154"/>
        <v>0</v>
      </c>
      <c r="AK235" s="61">
        <f t="shared" si="154"/>
        <v>0</v>
      </c>
      <c r="AL235" s="61">
        <f t="shared" si="154"/>
        <v>0</v>
      </c>
      <c r="AM235" s="61">
        <f t="shared" si="154"/>
        <v>0</v>
      </c>
      <c r="AN235" s="61">
        <f t="shared" si="154"/>
        <v>0</v>
      </c>
      <c r="AO235" s="61">
        <f t="shared" si="154"/>
        <v>0</v>
      </c>
      <c r="AP235" s="61">
        <f t="shared" si="154"/>
        <v>0</v>
      </c>
      <c r="AQ235" s="61"/>
    </row>
    <row r="236" spans="2:43" x14ac:dyDescent="0.25">
      <c r="B236" s="54">
        <v>0.70833333335031001</v>
      </c>
      <c r="C236" s="54">
        <v>1.0625000000873199</v>
      </c>
      <c r="D236" s="60"/>
      <c r="E236" s="91"/>
      <c r="G236" s="91"/>
      <c r="H236" s="92">
        <f t="shared" si="142"/>
        <v>0</v>
      </c>
      <c r="I236" s="180">
        <f>AG$214-AG$215</f>
        <v>0</v>
      </c>
      <c r="M236" s="61">
        <f t="shared" si="152"/>
        <v>0</v>
      </c>
      <c r="N236" s="61">
        <f t="shared" si="152"/>
        <v>0</v>
      </c>
      <c r="O236" s="61">
        <f t="shared" si="152"/>
        <v>0</v>
      </c>
      <c r="P236" s="61">
        <f t="shared" si="152"/>
        <v>0</v>
      </c>
      <c r="Q236" s="61">
        <f t="shared" si="152"/>
        <v>0</v>
      </c>
      <c r="R236" s="61">
        <f t="shared" si="152"/>
        <v>0</v>
      </c>
      <c r="S236" s="61">
        <f t="shared" si="152"/>
        <v>0</v>
      </c>
      <c r="T236" s="61">
        <f t="shared" si="152"/>
        <v>0</v>
      </c>
      <c r="U236" s="61">
        <f t="shared" si="152"/>
        <v>0</v>
      </c>
      <c r="V236" s="61">
        <f t="shared" si="152"/>
        <v>0</v>
      </c>
      <c r="W236" s="61">
        <f t="shared" si="153"/>
        <v>0</v>
      </c>
      <c r="X236" s="61">
        <f t="shared" si="153"/>
        <v>0</v>
      </c>
      <c r="Y236" s="61">
        <f t="shared" si="153"/>
        <v>0</v>
      </c>
      <c r="Z236" s="61">
        <f t="shared" si="153"/>
        <v>0</v>
      </c>
      <c r="AA236" s="61">
        <f t="shared" si="153"/>
        <v>0</v>
      </c>
      <c r="AB236" s="61">
        <f t="shared" si="153"/>
        <v>0</v>
      </c>
      <c r="AC236" s="61">
        <f t="shared" si="153"/>
        <v>0</v>
      </c>
      <c r="AD236" s="61">
        <f t="shared" si="153"/>
        <v>0</v>
      </c>
      <c r="AE236" s="61">
        <f t="shared" si="153"/>
        <v>0</v>
      </c>
      <c r="AF236" s="61">
        <f t="shared" si="149"/>
        <v>0</v>
      </c>
      <c r="AG236" s="61">
        <f t="shared" si="151"/>
        <v>0</v>
      </c>
      <c r="AH236" s="61">
        <f t="shared" si="154"/>
        <v>0</v>
      </c>
      <c r="AI236" s="61">
        <f t="shared" si="154"/>
        <v>0</v>
      </c>
      <c r="AJ236" s="61">
        <f t="shared" si="154"/>
        <v>0</v>
      </c>
      <c r="AK236" s="61">
        <f t="shared" si="154"/>
        <v>0</v>
      </c>
      <c r="AL236" s="61">
        <f t="shared" si="154"/>
        <v>0</v>
      </c>
      <c r="AM236" s="61">
        <f t="shared" si="154"/>
        <v>0</v>
      </c>
      <c r="AN236" s="61">
        <f t="shared" si="154"/>
        <v>0</v>
      </c>
      <c r="AO236" s="61">
        <f t="shared" si="154"/>
        <v>0</v>
      </c>
      <c r="AP236" s="61">
        <f t="shared" si="154"/>
        <v>0</v>
      </c>
      <c r="AQ236" s="61"/>
    </row>
    <row r="237" spans="2:43" x14ac:dyDescent="0.25">
      <c r="B237" s="54">
        <v>0.729166666686069</v>
      </c>
      <c r="C237" s="54">
        <v>1.0833333334230799</v>
      </c>
      <c r="D237" s="60"/>
      <c r="E237" s="91"/>
      <c r="G237" s="91"/>
      <c r="H237" s="92">
        <f t="shared" si="142"/>
        <v>0</v>
      </c>
      <c r="I237" s="180">
        <f>AH$214-AH$215</f>
        <v>0</v>
      </c>
      <c r="M237" s="61">
        <f t="shared" si="152"/>
        <v>0</v>
      </c>
      <c r="N237" s="61">
        <f t="shared" si="152"/>
        <v>0</v>
      </c>
      <c r="O237" s="61">
        <f t="shared" si="152"/>
        <v>0</v>
      </c>
      <c r="P237" s="61">
        <f t="shared" si="152"/>
        <v>0</v>
      </c>
      <c r="Q237" s="61">
        <f t="shared" si="152"/>
        <v>0</v>
      </c>
      <c r="R237" s="61">
        <f t="shared" si="152"/>
        <v>0</v>
      </c>
      <c r="S237" s="61">
        <f t="shared" si="152"/>
        <v>0</v>
      </c>
      <c r="T237" s="61">
        <f t="shared" si="152"/>
        <v>0</v>
      </c>
      <c r="U237" s="61">
        <f t="shared" si="152"/>
        <v>0</v>
      </c>
      <c r="V237" s="61">
        <f t="shared" si="152"/>
        <v>0</v>
      </c>
      <c r="W237" s="61">
        <f t="shared" si="153"/>
        <v>0</v>
      </c>
      <c r="X237" s="61">
        <f t="shared" si="153"/>
        <v>0</v>
      </c>
      <c r="Y237" s="61">
        <f t="shared" si="153"/>
        <v>0</v>
      </c>
      <c r="Z237" s="61">
        <f t="shared" si="153"/>
        <v>0</v>
      </c>
      <c r="AA237" s="61">
        <f t="shared" si="153"/>
        <v>0</v>
      </c>
      <c r="AB237" s="61">
        <f t="shared" si="153"/>
        <v>0</v>
      </c>
      <c r="AC237" s="61">
        <f t="shared" si="153"/>
        <v>0</v>
      </c>
      <c r="AD237" s="61">
        <f t="shared" si="153"/>
        <v>0</v>
      </c>
      <c r="AE237" s="61">
        <f t="shared" si="153"/>
        <v>0</v>
      </c>
      <c r="AF237" s="61">
        <f t="shared" si="149"/>
        <v>0</v>
      </c>
      <c r="AG237" s="61">
        <f t="shared" si="151"/>
        <v>0</v>
      </c>
      <c r="AH237" s="61">
        <f t="shared" si="154"/>
        <v>0</v>
      </c>
      <c r="AI237" s="61">
        <f t="shared" si="154"/>
        <v>0</v>
      </c>
      <c r="AJ237" s="61">
        <f t="shared" si="154"/>
        <v>0</v>
      </c>
      <c r="AK237" s="61">
        <f t="shared" si="154"/>
        <v>0</v>
      </c>
      <c r="AL237" s="61">
        <f t="shared" si="154"/>
        <v>0</v>
      </c>
      <c r="AM237" s="61">
        <f t="shared" si="154"/>
        <v>0</v>
      </c>
      <c r="AN237" s="61">
        <f t="shared" si="154"/>
        <v>0</v>
      </c>
      <c r="AO237" s="61">
        <f t="shared" si="154"/>
        <v>0</v>
      </c>
      <c r="AP237" s="61">
        <f t="shared" si="154"/>
        <v>0</v>
      </c>
      <c r="AQ237" s="61"/>
    </row>
    <row r="238" spans="2:43" x14ac:dyDescent="0.25">
      <c r="B238" s="54">
        <v>0.75000000002182798</v>
      </c>
      <c r="C238" s="54">
        <v>1.1041666667588399</v>
      </c>
      <c r="D238" s="60"/>
      <c r="E238" s="91"/>
      <c r="G238" s="91"/>
      <c r="H238" s="92">
        <f t="shared" si="142"/>
        <v>0</v>
      </c>
      <c r="I238" s="180">
        <f>AI$214-AI$215</f>
        <v>0</v>
      </c>
      <c r="M238" s="61">
        <f t="shared" ref="M238:V245" si="155">IF(AND(M$2&gt;=$B238,M$2&lt;$C238),$E238,0)</f>
        <v>0</v>
      </c>
      <c r="N238" s="61">
        <f t="shared" si="155"/>
        <v>0</v>
      </c>
      <c r="O238" s="61">
        <f t="shared" si="155"/>
        <v>0</v>
      </c>
      <c r="P238" s="61">
        <f t="shared" si="155"/>
        <v>0</v>
      </c>
      <c r="Q238" s="61">
        <f t="shared" si="155"/>
        <v>0</v>
      </c>
      <c r="R238" s="61">
        <f t="shared" si="155"/>
        <v>0</v>
      </c>
      <c r="S238" s="61">
        <f t="shared" si="155"/>
        <v>0</v>
      </c>
      <c r="T238" s="61">
        <f t="shared" si="155"/>
        <v>0</v>
      </c>
      <c r="U238" s="61">
        <f t="shared" si="155"/>
        <v>0</v>
      </c>
      <c r="V238" s="61">
        <f t="shared" si="155"/>
        <v>0</v>
      </c>
      <c r="W238" s="61">
        <f t="shared" ref="W238:AE245" si="156">IF(AND(W$2&gt;=$B238,W$2&lt;$C238),$E238,0)</f>
        <v>0</v>
      </c>
      <c r="X238" s="61">
        <f t="shared" si="156"/>
        <v>0</v>
      </c>
      <c r="Y238" s="61">
        <f t="shared" si="156"/>
        <v>0</v>
      </c>
      <c r="Z238" s="61">
        <f t="shared" si="156"/>
        <v>0</v>
      </c>
      <c r="AA238" s="61">
        <f t="shared" si="156"/>
        <v>0</v>
      </c>
      <c r="AB238" s="61">
        <f t="shared" si="156"/>
        <v>0</v>
      </c>
      <c r="AC238" s="61">
        <f t="shared" si="156"/>
        <v>0</v>
      </c>
      <c r="AD238" s="61">
        <f t="shared" si="156"/>
        <v>0</v>
      </c>
      <c r="AE238" s="61">
        <f t="shared" si="156"/>
        <v>0</v>
      </c>
      <c r="AF238" s="61">
        <f t="shared" si="149"/>
        <v>0</v>
      </c>
      <c r="AG238" s="61">
        <f t="shared" si="151"/>
        <v>0</v>
      </c>
      <c r="AH238" s="61">
        <f t="shared" si="154"/>
        <v>0</v>
      </c>
      <c r="AI238" s="61">
        <f t="shared" si="154"/>
        <v>0</v>
      </c>
      <c r="AJ238" s="61">
        <f t="shared" si="154"/>
        <v>0</v>
      </c>
      <c r="AK238" s="61">
        <f t="shared" si="154"/>
        <v>0</v>
      </c>
      <c r="AL238" s="61">
        <f t="shared" si="154"/>
        <v>0</v>
      </c>
      <c r="AM238" s="61">
        <f t="shared" si="154"/>
        <v>0</v>
      </c>
      <c r="AN238" s="61">
        <f t="shared" si="154"/>
        <v>0</v>
      </c>
      <c r="AO238" s="61">
        <f t="shared" si="154"/>
        <v>0</v>
      </c>
      <c r="AP238" s="61">
        <f t="shared" si="154"/>
        <v>0</v>
      </c>
      <c r="AQ238" s="61"/>
    </row>
    <row r="239" spans="2:43" x14ac:dyDescent="0.25">
      <c r="B239" s="54">
        <v>0.77083333335758597</v>
      </c>
      <c r="C239" s="54">
        <v>1.1250000000945899</v>
      </c>
      <c r="D239" s="60"/>
      <c r="E239" s="91"/>
      <c r="G239" s="91"/>
      <c r="H239" s="92">
        <f t="shared" si="142"/>
        <v>0</v>
      </c>
      <c r="I239" s="180">
        <f>AJ$214-AJ$215</f>
        <v>0</v>
      </c>
      <c r="M239" s="61">
        <f t="shared" si="155"/>
        <v>0</v>
      </c>
      <c r="N239" s="61">
        <f t="shared" si="155"/>
        <v>0</v>
      </c>
      <c r="O239" s="61">
        <f t="shared" si="155"/>
        <v>0</v>
      </c>
      <c r="P239" s="61">
        <f t="shared" si="155"/>
        <v>0</v>
      </c>
      <c r="Q239" s="61">
        <f t="shared" si="155"/>
        <v>0</v>
      </c>
      <c r="R239" s="61">
        <f t="shared" si="155"/>
        <v>0</v>
      </c>
      <c r="S239" s="61">
        <f t="shared" si="155"/>
        <v>0</v>
      </c>
      <c r="T239" s="61">
        <f t="shared" si="155"/>
        <v>0</v>
      </c>
      <c r="U239" s="61">
        <f t="shared" si="155"/>
        <v>0</v>
      </c>
      <c r="V239" s="61">
        <f t="shared" si="155"/>
        <v>0</v>
      </c>
      <c r="W239" s="61">
        <f t="shared" si="156"/>
        <v>0</v>
      </c>
      <c r="X239" s="61">
        <f t="shared" si="156"/>
        <v>0</v>
      </c>
      <c r="Y239" s="61">
        <f t="shared" si="156"/>
        <v>0</v>
      </c>
      <c r="Z239" s="61">
        <f t="shared" si="156"/>
        <v>0</v>
      </c>
      <c r="AA239" s="61">
        <f t="shared" si="156"/>
        <v>0</v>
      </c>
      <c r="AB239" s="61">
        <f t="shared" si="156"/>
        <v>0</v>
      </c>
      <c r="AC239" s="61">
        <f t="shared" si="156"/>
        <v>0</v>
      </c>
      <c r="AD239" s="61">
        <f t="shared" si="156"/>
        <v>0</v>
      </c>
      <c r="AE239" s="61">
        <f t="shared" si="156"/>
        <v>0</v>
      </c>
      <c r="AF239" s="61">
        <f t="shared" si="149"/>
        <v>0</v>
      </c>
      <c r="AG239" s="61">
        <f t="shared" si="151"/>
        <v>0</v>
      </c>
      <c r="AH239" s="61">
        <f t="shared" ref="AH239:AP245" si="157">IF(AND(AH$2&gt;=$B239,AH$2&lt;$C239),$E239,0)</f>
        <v>0</v>
      </c>
      <c r="AI239" s="61">
        <f t="shared" si="157"/>
        <v>0</v>
      </c>
      <c r="AJ239" s="61">
        <f t="shared" si="157"/>
        <v>0</v>
      </c>
      <c r="AK239" s="61">
        <f t="shared" si="157"/>
        <v>0</v>
      </c>
      <c r="AL239" s="61">
        <f t="shared" si="157"/>
        <v>0</v>
      </c>
      <c r="AM239" s="61">
        <f t="shared" si="157"/>
        <v>0</v>
      </c>
      <c r="AN239" s="61">
        <f t="shared" si="157"/>
        <v>0</v>
      </c>
      <c r="AO239" s="61">
        <f t="shared" si="157"/>
        <v>0</v>
      </c>
      <c r="AP239" s="61">
        <f t="shared" si="157"/>
        <v>0</v>
      </c>
      <c r="AQ239" s="61"/>
    </row>
    <row r="240" spans="2:43" x14ac:dyDescent="0.25">
      <c r="B240" s="54">
        <v>0.79166666669334496</v>
      </c>
      <c r="C240" s="54">
        <v>1.1458333334303501</v>
      </c>
      <c r="D240" s="60"/>
      <c r="E240" s="91"/>
      <c r="G240" s="91"/>
      <c r="H240" s="92">
        <f t="shared" si="142"/>
        <v>0</v>
      </c>
      <c r="I240" s="180">
        <f>AK$214-AK$215</f>
        <v>0</v>
      </c>
      <c r="M240" s="61">
        <f t="shared" si="155"/>
        <v>0</v>
      </c>
      <c r="N240" s="61">
        <f t="shared" si="155"/>
        <v>0</v>
      </c>
      <c r="O240" s="61">
        <f t="shared" si="155"/>
        <v>0</v>
      </c>
      <c r="P240" s="61">
        <f t="shared" si="155"/>
        <v>0</v>
      </c>
      <c r="Q240" s="61">
        <f t="shared" si="155"/>
        <v>0</v>
      </c>
      <c r="R240" s="61">
        <f t="shared" si="155"/>
        <v>0</v>
      </c>
      <c r="S240" s="61">
        <f t="shared" si="155"/>
        <v>0</v>
      </c>
      <c r="T240" s="61">
        <f t="shared" si="155"/>
        <v>0</v>
      </c>
      <c r="U240" s="61">
        <f t="shared" si="155"/>
        <v>0</v>
      </c>
      <c r="V240" s="61">
        <f t="shared" si="155"/>
        <v>0</v>
      </c>
      <c r="W240" s="61">
        <f t="shared" si="156"/>
        <v>0</v>
      </c>
      <c r="X240" s="61">
        <f t="shared" si="156"/>
        <v>0</v>
      </c>
      <c r="Y240" s="61">
        <f t="shared" si="156"/>
        <v>0</v>
      </c>
      <c r="Z240" s="61">
        <f t="shared" si="156"/>
        <v>0</v>
      </c>
      <c r="AA240" s="61">
        <f t="shared" si="156"/>
        <v>0</v>
      </c>
      <c r="AB240" s="61">
        <f t="shared" si="156"/>
        <v>0</v>
      </c>
      <c r="AC240" s="61">
        <f t="shared" si="156"/>
        <v>0</v>
      </c>
      <c r="AD240" s="61">
        <f t="shared" si="156"/>
        <v>0</v>
      </c>
      <c r="AE240" s="61">
        <f t="shared" si="156"/>
        <v>0</v>
      </c>
      <c r="AF240" s="61">
        <f t="shared" si="149"/>
        <v>0</v>
      </c>
      <c r="AG240" s="61">
        <f t="shared" si="151"/>
        <v>0</v>
      </c>
      <c r="AH240" s="61">
        <f t="shared" si="157"/>
        <v>0</v>
      </c>
      <c r="AI240" s="61">
        <f t="shared" si="157"/>
        <v>0</v>
      </c>
      <c r="AJ240" s="61">
        <f t="shared" si="157"/>
        <v>0</v>
      </c>
      <c r="AK240" s="61">
        <f t="shared" si="157"/>
        <v>0</v>
      </c>
      <c r="AL240" s="61">
        <f t="shared" si="157"/>
        <v>0</v>
      </c>
      <c r="AM240" s="61">
        <f t="shared" si="157"/>
        <v>0</v>
      </c>
      <c r="AN240" s="61">
        <f t="shared" si="157"/>
        <v>0</v>
      </c>
      <c r="AO240" s="61">
        <f t="shared" si="157"/>
        <v>0</v>
      </c>
      <c r="AP240" s="61">
        <f t="shared" si="157"/>
        <v>0</v>
      </c>
      <c r="AQ240" s="61"/>
    </row>
    <row r="241" spans="2:43" x14ac:dyDescent="0.25">
      <c r="B241" s="54">
        <v>0.81250000002910305</v>
      </c>
      <c r="C241" s="54">
        <v>1.1666666667661101</v>
      </c>
      <c r="D241" s="60"/>
      <c r="E241" s="91"/>
      <c r="G241" s="91"/>
      <c r="H241" s="92">
        <f t="shared" si="142"/>
        <v>0</v>
      </c>
      <c r="I241" s="180">
        <f>AL$214-AL$215</f>
        <v>0</v>
      </c>
      <c r="M241" s="61">
        <f t="shared" si="155"/>
        <v>0</v>
      </c>
      <c r="N241" s="61">
        <f t="shared" si="155"/>
        <v>0</v>
      </c>
      <c r="O241" s="61">
        <f t="shared" si="155"/>
        <v>0</v>
      </c>
      <c r="P241" s="61">
        <f t="shared" si="155"/>
        <v>0</v>
      </c>
      <c r="Q241" s="61">
        <f t="shared" si="155"/>
        <v>0</v>
      </c>
      <c r="R241" s="61">
        <f t="shared" si="155"/>
        <v>0</v>
      </c>
      <c r="S241" s="61">
        <f t="shared" si="155"/>
        <v>0</v>
      </c>
      <c r="T241" s="61">
        <f t="shared" si="155"/>
        <v>0</v>
      </c>
      <c r="U241" s="61">
        <f t="shared" si="155"/>
        <v>0</v>
      </c>
      <c r="V241" s="61">
        <f t="shared" si="155"/>
        <v>0</v>
      </c>
      <c r="W241" s="61">
        <f t="shared" si="156"/>
        <v>0</v>
      </c>
      <c r="X241" s="61">
        <f t="shared" si="156"/>
        <v>0</v>
      </c>
      <c r="Y241" s="61">
        <f t="shared" si="156"/>
        <v>0</v>
      </c>
      <c r="Z241" s="61">
        <f t="shared" si="156"/>
        <v>0</v>
      </c>
      <c r="AA241" s="61">
        <f t="shared" si="156"/>
        <v>0</v>
      </c>
      <c r="AB241" s="61">
        <f t="shared" si="156"/>
        <v>0</v>
      </c>
      <c r="AC241" s="61">
        <f t="shared" si="156"/>
        <v>0</v>
      </c>
      <c r="AD241" s="61">
        <f t="shared" si="156"/>
        <v>0</v>
      </c>
      <c r="AE241" s="61">
        <f t="shared" si="156"/>
        <v>0</v>
      </c>
      <c r="AF241" s="61">
        <f t="shared" si="149"/>
        <v>0</v>
      </c>
      <c r="AG241" s="61">
        <f t="shared" si="151"/>
        <v>0</v>
      </c>
      <c r="AH241" s="61">
        <f t="shared" si="157"/>
        <v>0</v>
      </c>
      <c r="AI241" s="61">
        <f t="shared" si="157"/>
        <v>0</v>
      </c>
      <c r="AJ241" s="61">
        <f t="shared" si="157"/>
        <v>0</v>
      </c>
      <c r="AK241" s="61">
        <f t="shared" si="157"/>
        <v>0</v>
      </c>
      <c r="AL241" s="61">
        <f t="shared" si="157"/>
        <v>0</v>
      </c>
      <c r="AM241" s="61">
        <f t="shared" si="157"/>
        <v>0</v>
      </c>
      <c r="AN241" s="61">
        <f t="shared" si="157"/>
        <v>0</v>
      </c>
      <c r="AO241" s="61">
        <f t="shared" si="157"/>
        <v>0</v>
      </c>
      <c r="AP241" s="61">
        <f t="shared" si="157"/>
        <v>0</v>
      </c>
      <c r="AQ241" s="61"/>
    </row>
    <row r="242" spans="2:43" x14ac:dyDescent="0.25">
      <c r="B242" s="54">
        <v>0.83333333336486204</v>
      </c>
      <c r="C242" s="54">
        <v>1.1875000001018701</v>
      </c>
      <c r="D242" s="60"/>
      <c r="E242" s="91"/>
      <c r="G242" s="91"/>
      <c r="H242" s="92">
        <f t="shared" si="142"/>
        <v>0</v>
      </c>
      <c r="I242" s="180">
        <f>AM$214-AM$215</f>
        <v>0</v>
      </c>
      <c r="M242" s="61">
        <f t="shared" si="155"/>
        <v>0</v>
      </c>
      <c r="N242" s="61">
        <f t="shared" si="155"/>
        <v>0</v>
      </c>
      <c r="O242" s="61">
        <f t="shared" si="155"/>
        <v>0</v>
      </c>
      <c r="P242" s="61">
        <f t="shared" si="155"/>
        <v>0</v>
      </c>
      <c r="Q242" s="61">
        <f t="shared" si="155"/>
        <v>0</v>
      </c>
      <c r="R242" s="61">
        <f t="shared" si="155"/>
        <v>0</v>
      </c>
      <c r="S242" s="61">
        <f t="shared" si="155"/>
        <v>0</v>
      </c>
      <c r="T242" s="61">
        <f t="shared" si="155"/>
        <v>0</v>
      </c>
      <c r="U242" s="61">
        <f t="shared" si="155"/>
        <v>0</v>
      </c>
      <c r="V242" s="61">
        <f t="shared" si="155"/>
        <v>0</v>
      </c>
      <c r="W242" s="61">
        <f t="shared" si="156"/>
        <v>0</v>
      </c>
      <c r="X242" s="61">
        <f t="shared" si="156"/>
        <v>0</v>
      </c>
      <c r="Y242" s="61">
        <f t="shared" si="156"/>
        <v>0</v>
      </c>
      <c r="Z242" s="61">
        <f t="shared" si="156"/>
        <v>0</v>
      </c>
      <c r="AA242" s="61">
        <f t="shared" si="156"/>
        <v>0</v>
      </c>
      <c r="AB242" s="61">
        <f t="shared" si="156"/>
        <v>0</v>
      </c>
      <c r="AC242" s="61">
        <f t="shared" si="156"/>
        <v>0</v>
      </c>
      <c r="AD242" s="61">
        <f t="shared" si="156"/>
        <v>0</v>
      </c>
      <c r="AE242" s="61">
        <f t="shared" si="156"/>
        <v>0</v>
      </c>
      <c r="AF242" s="61">
        <f t="shared" si="149"/>
        <v>0</v>
      </c>
      <c r="AG242" s="61">
        <f t="shared" si="151"/>
        <v>0</v>
      </c>
      <c r="AH242" s="61">
        <f t="shared" si="157"/>
        <v>0</v>
      </c>
      <c r="AI242" s="61">
        <f t="shared" si="157"/>
        <v>0</v>
      </c>
      <c r="AJ242" s="61">
        <f t="shared" si="157"/>
        <v>0</v>
      </c>
      <c r="AK242" s="61">
        <f t="shared" si="157"/>
        <v>0</v>
      </c>
      <c r="AL242" s="61">
        <f t="shared" si="157"/>
        <v>0</v>
      </c>
      <c r="AM242" s="61">
        <f t="shared" si="157"/>
        <v>0</v>
      </c>
      <c r="AN242" s="61">
        <f t="shared" si="157"/>
        <v>0</v>
      </c>
      <c r="AO242" s="61">
        <f t="shared" si="157"/>
        <v>0</v>
      </c>
      <c r="AP242" s="61">
        <f t="shared" si="157"/>
        <v>0</v>
      </c>
      <c r="AQ242" s="61"/>
    </row>
    <row r="243" spans="2:43" x14ac:dyDescent="0.25">
      <c r="B243" s="54">
        <v>0.85416666670062102</v>
      </c>
      <c r="C243" s="54">
        <v>1.2083333334376301</v>
      </c>
      <c r="D243" s="60"/>
      <c r="E243" s="91"/>
      <c r="G243" s="91"/>
      <c r="H243" s="92">
        <f t="shared" si="142"/>
        <v>0</v>
      </c>
      <c r="I243" s="180">
        <f>AN$214-AN$215</f>
        <v>0</v>
      </c>
      <c r="M243" s="61">
        <f t="shared" si="155"/>
        <v>0</v>
      </c>
      <c r="N243" s="61">
        <f t="shared" si="155"/>
        <v>0</v>
      </c>
      <c r="O243" s="61">
        <f t="shared" si="155"/>
        <v>0</v>
      </c>
      <c r="P243" s="61">
        <f t="shared" si="155"/>
        <v>0</v>
      </c>
      <c r="Q243" s="61">
        <f t="shared" si="155"/>
        <v>0</v>
      </c>
      <c r="R243" s="61">
        <f t="shared" si="155"/>
        <v>0</v>
      </c>
      <c r="S243" s="61">
        <f t="shared" si="155"/>
        <v>0</v>
      </c>
      <c r="T243" s="61">
        <f t="shared" si="155"/>
        <v>0</v>
      </c>
      <c r="U243" s="61">
        <f t="shared" si="155"/>
        <v>0</v>
      </c>
      <c r="V243" s="61">
        <f t="shared" si="155"/>
        <v>0</v>
      </c>
      <c r="W243" s="61">
        <f t="shared" si="156"/>
        <v>0</v>
      </c>
      <c r="X243" s="61">
        <f t="shared" si="156"/>
        <v>0</v>
      </c>
      <c r="Y243" s="61">
        <f t="shared" si="156"/>
        <v>0</v>
      </c>
      <c r="Z243" s="61">
        <f t="shared" si="156"/>
        <v>0</v>
      </c>
      <c r="AA243" s="61">
        <f t="shared" si="156"/>
        <v>0</v>
      </c>
      <c r="AB243" s="61">
        <f t="shared" si="156"/>
        <v>0</v>
      </c>
      <c r="AC243" s="61">
        <f t="shared" si="156"/>
        <v>0</v>
      </c>
      <c r="AD243" s="61">
        <f t="shared" si="156"/>
        <v>0</v>
      </c>
      <c r="AE243" s="61">
        <f t="shared" si="156"/>
        <v>0</v>
      </c>
      <c r="AF243" s="61">
        <f t="shared" si="149"/>
        <v>0</v>
      </c>
      <c r="AG243" s="61">
        <f t="shared" si="151"/>
        <v>0</v>
      </c>
      <c r="AH243" s="61">
        <f t="shared" si="157"/>
        <v>0</v>
      </c>
      <c r="AI243" s="61">
        <f t="shared" si="157"/>
        <v>0</v>
      </c>
      <c r="AJ243" s="61">
        <f t="shared" si="157"/>
        <v>0</v>
      </c>
      <c r="AK243" s="61">
        <f t="shared" si="157"/>
        <v>0</v>
      </c>
      <c r="AL243" s="61">
        <f t="shared" si="157"/>
        <v>0</v>
      </c>
      <c r="AM243" s="61">
        <f t="shared" si="157"/>
        <v>0</v>
      </c>
      <c r="AN243" s="61">
        <f t="shared" si="157"/>
        <v>0</v>
      </c>
      <c r="AO243" s="61">
        <f t="shared" si="157"/>
        <v>0</v>
      </c>
      <c r="AP243" s="61">
        <f t="shared" si="157"/>
        <v>0</v>
      </c>
      <c r="AQ243" s="61"/>
    </row>
    <row r="244" spans="2:43" x14ac:dyDescent="0.25">
      <c r="B244" s="54">
        <v>0.87500000003637901</v>
      </c>
      <c r="C244" s="54">
        <v>1.22916666677339</v>
      </c>
      <c r="D244" s="60"/>
      <c r="E244" s="91"/>
      <c r="G244" s="91"/>
      <c r="H244" s="92">
        <f t="shared" si="142"/>
        <v>0</v>
      </c>
      <c r="I244" s="180">
        <f>AO$214-AO$215</f>
        <v>0</v>
      </c>
      <c r="M244" s="61">
        <f t="shared" si="155"/>
        <v>0</v>
      </c>
      <c r="N244" s="61">
        <f t="shared" si="155"/>
        <v>0</v>
      </c>
      <c r="O244" s="61">
        <f t="shared" si="155"/>
        <v>0</v>
      </c>
      <c r="P244" s="61">
        <f t="shared" si="155"/>
        <v>0</v>
      </c>
      <c r="Q244" s="61">
        <f t="shared" si="155"/>
        <v>0</v>
      </c>
      <c r="R244" s="61">
        <f t="shared" si="155"/>
        <v>0</v>
      </c>
      <c r="S244" s="61">
        <f t="shared" si="155"/>
        <v>0</v>
      </c>
      <c r="T244" s="61">
        <f t="shared" si="155"/>
        <v>0</v>
      </c>
      <c r="U244" s="61">
        <f t="shared" si="155"/>
        <v>0</v>
      </c>
      <c r="V244" s="61">
        <f t="shared" si="155"/>
        <v>0</v>
      </c>
      <c r="W244" s="61">
        <f t="shared" si="156"/>
        <v>0</v>
      </c>
      <c r="X244" s="61">
        <f t="shared" si="156"/>
        <v>0</v>
      </c>
      <c r="Y244" s="61">
        <f t="shared" si="156"/>
        <v>0</v>
      </c>
      <c r="Z244" s="61">
        <f t="shared" si="156"/>
        <v>0</v>
      </c>
      <c r="AA244" s="61">
        <f t="shared" si="156"/>
        <v>0</v>
      </c>
      <c r="AB244" s="61">
        <f t="shared" si="156"/>
        <v>0</v>
      </c>
      <c r="AC244" s="61">
        <f t="shared" si="156"/>
        <v>0</v>
      </c>
      <c r="AD244" s="61">
        <f t="shared" si="156"/>
        <v>0</v>
      </c>
      <c r="AE244" s="61">
        <f t="shared" si="156"/>
        <v>0</v>
      </c>
      <c r="AF244" s="61">
        <f t="shared" si="149"/>
        <v>0</v>
      </c>
      <c r="AG244" s="61">
        <f t="shared" si="151"/>
        <v>0</v>
      </c>
      <c r="AH244" s="61">
        <f t="shared" si="157"/>
        <v>0</v>
      </c>
      <c r="AI244" s="61">
        <f t="shared" si="157"/>
        <v>0</v>
      </c>
      <c r="AJ244" s="61">
        <f t="shared" si="157"/>
        <v>0</v>
      </c>
      <c r="AK244" s="61">
        <f t="shared" si="157"/>
        <v>0</v>
      </c>
      <c r="AL244" s="61">
        <f t="shared" si="157"/>
        <v>0</v>
      </c>
      <c r="AM244" s="61">
        <f t="shared" si="157"/>
        <v>0</v>
      </c>
      <c r="AN244" s="61">
        <f t="shared" si="157"/>
        <v>0</v>
      </c>
      <c r="AO244" s="61">
        <f t="shared" si="157"/>
        <v>0</v>
      </c>
      <c r="AP244" s="61">
        <f t="shared" si="157"/>
        <v>0</v>
      </c>
      <c r="AQ244" s="61"/>
    </row>
    <row r="245" spans="2:43" x14ac:dyDescent="0.25">
      <c r="B245" s="54">
        <v>0.895833333372138</v>
      </c>
      <c r="C245" s="54">
        <v>1.25000000010915</v>
      </c>
      <c r="D245" s="60"/>
      <c r="E245" s="91"/>
      <c r="G245" s="91"/>
      <c r="H245" s="92">
        <f t="shared" si="142"/>
        <v>0</v>
      </c>
      <c r="I245" s="180">
        <f>AP$214-AP$215</f>
        <v>0</v>
      </c>
      <c r="M245" s="61">
        <f t="shared" si="155"/>
        <v>0</v>
      </c>
      <c r="N245" s="61">
        <f t="shared" si="155"/>
        <v>0</v>
      </c>
      <c r="O245" s="61">
        <f t="shared" si="155"/>
        <v>0</v>
      </c>
      <c r="P245" s="61">
        <f t="shared" si="155"/>
        <v>0</v>
      </c>
      <c r="Q245" s="61">
        <f t="shared" si="155"/>
        <v>0</v>
      </c>
      <c r="R245" s="61">
        <f t="shared" si="155"/>
        <v>0</v>
      </c>
      <c r="S245" s="61">
        <f t="shared" si="155"/>
        <v>0</v>
      </c>
      <c r="T245" s="61">
        <f t="shared" si="155"/>
        <v>0</v>
      </c>
      <c r="U245" s="61">
        <f t="shared" si="155"/>
        <v>0</v>
      </c>
      <c r="V245" s="61">
        <f t="shared" si="155"/>
        <v>0</v>
      </c>
      <c r="W245" s="61">
        <f t="shared" si="156"/>
        <v>0</v>
      </c>
      <c r="X245" s="61">
        <f t="shared" si="156"/>
        <v>0</v>
      </c>
      <c r="Y245" s="61">
        <f t="shared" si="156"/>
        <v>0</v>
      </c>
      <c r="Z245" s="61">
        <f t="shared" si="156"/>
        <v>0</v>
      </c>
      <c r="AA245" s="61">
        <f t="shared" si="156"/>
        <v>0</v>
      </c>
      <c r="AB245" s="61">
        <f t="shared" si="156"/>
        <v>0</v>
      </c>
      <c r="AC245" s="61">
        <f t="shared" si="156"/>
        <v>0</v>
      </c>
      <c r="AD245" s="61">
        <f t="shared" si="156"/>
        <v>0</v>
      </c>
      <c r="AE245" s="61">
        <f t="shared" si="156"/>
        <v>0</v>
      </c>
      <c r="AF245" s="61">
        <f t="shared" si="149"/>
        <v>0</v>
      </c>
      <c r="AG245" s="61">
        <f t="shared" si="151"/>
        <v>0</v>
      </c>
      <c r="AH245" s="61">
        <f t="shared" si="157"/>
        <v>0</v>
      </c>
      <c r="AI245" s="61">
        <f t="shared" si="157"/>
        <v>0</v>
      </c>
      <c r="AJ245" s="61">
        <f t="shared" si="157"/>
        <v>0</v>
      </c>
      <c r="AK245" s="61">
        <f t="shared" si="157"/>
        <v>0</v>
      </c>
      <c r="AL245" s="61">
        <f t="shared" si="157"/>
        <v>0</v>
      </c>
      <c r="AM245" s="61">
        <f t="shared" si="157"/>
        <v>0</v>
      </c>
      <c r="AN245" s="61">
        <f t="shared" si="157"/>
        <v>0</v>
      </c>
      <c r="AO245" s="61">
        <f t="shared" si="157"/>
        <v>0</v>
      </c>
      <c r="AP245" s="61">
        <f t="shared" si="157"/>
        <v>0</v>
      </c>
      <c r="AQ245" s="61"/>
    </row>
    <row r="246" spans="2:43" x14ac:dyDescent="0.25">
      <c r="E246" s="91"/>
      <c r="G246" s="91"/>
      <c r="I246" s="180">
        <f>NCC!$S$36</f>
        <v>0</v>
      </c>
    </row>
    <row r="252" spans="2:43" s="52" customFormat="1" x14ac:dyDescent="0.25">
      <c r="E252" s="53"/>
      <c r="F252" s="53"/>
      <c r="G252" s="53"/>
      <c r="H252" s="53"/>
      <c r="I252" s="53"/>
      <c r="J252" s="53"/>
      <c r="K252" s="58" t="s">
        <v>32</v>
      </c>
      <c r="L252" s="53"/>
      <c r="M252" s="84">
        <f>G257</f>
        <v>0</v>
      </c>
      <c r="N252" s="84">
        <f>M252+G258</f>
        <v>0</v>
      </c>
      <c r="O252" s="84">
        <f>N252+G259</f>
        <v>0</v>
      </c>
      <c r="P252" s="84">
        <f>+O252+G260</f>
        <v>0</v>
      </c>
      <c r="Q252" s="84">
        <f>P252+G261</f>
        <v>0</v>
      </c>
      <c r="R252" s="84">
        <f>Q252+G262</f>
        <v>0</v>
      </c>
      <c r="S252" s="84">
        <f>R252+G263</f>
        <v>0</v>
      </c>
      <c r="T252" s="84">
        <f>S252+G264</f>
        <v>0</v>
      </c>
      <c r="U252" s="84">
        <f>T252+G265-G257</f>
        <v>0</v>
      </c>
      <c r="V252" s="84">
        <f>U252+G266-G258</f>
        <v>0</v>
      </c>
      <c r="W252" s="84">
        <f>V252+G267-G259</f>
        <v>0</v>
      </c>
      <c r="X252" s="84">
        <f>W252+G268-G260</f>
        <v>0</v>
      </c>
      <c r="Y252" s="84">
        <f>X252+G269-G261</f>
        <v>0</v>
      </c>
      <c r="Z252" s="84">
        <f>Y252+G270-G262</f>
        <v>0</v>
      </c>
      <c r="AA252" s="84">
        <f>Z252+G271-G263</f>
        <v>0</v>
      </c>
      <c r="AB252" s="84">
        <f>AA252+G272-G264</f>
        <v>0</v>
      </c>
      <c r="AC252" s="84">
        <f>AB252+G273-G265</f>
        <v>0</v>
      </c>
      <c r="AD252" s="84">
        <f>AC252+G274-G266</f>
        <v>0</v>
      </c>
      <c r="AE252" s="84">
        <f>AD252+G275-G267</f>
        <v>0</v>
      </c>
      <c r="AF252" s="84">
        <f>AE252+G276-G268</f>
        <v>0</v>
      </c>
      <c r="AG252" s="84">
        <f>AF252+G277-G269</f>
        <v>0</v>
      </c>
      <c r="AH252" s="84">
        <f>AG252+G278-G270</f>
        <v>0</v>
      </c>
      <c r="AI252" s="84">
        <f>AH252+G279-G271</f>
        <v>0</v>
      </c>
      <c r="AJ252" s="84">
        <f>AI252+G280-G272</f>
        <v>0</v>
      </c>
      <c r="AK252" s="84">
        <f>AJ252+G281-G273</f>
        <v>0</v>
      </c>
      <c r="AL252" s="84">
        <f>AK252+G282-G274</f>
        <v>0</v>
      </c>
      <c r="AM252" s="84">
        <f>AL252+G283-G275</f>
        <v>0</v>
      </c>
      <c r="AN252" s="84">
        <f>AM252+G284-G276</f>
        <v>0</v>
      </c>
      <c r="AO252" s="84">
        <f>AN252+G285-G277</f>
        <v>0</v>
      </c>
      <c r="AP252" s="84">
        <f>AO252+G286-G278</f>
        <v>0</v>
      </c>
      <c r="AQ252" s="84">
        <f>SUM(M252:AP252)/8.5</f>
        <v>0</v>
      </c>
    </row>
    <row r="253" spans="2:43" x14ac:dyDescent="0.25">
      <c r="J253" s="57"/>
      <c r="K253" s="58" t="s">
        <v>31</v>
      </c>
      <c r="M253" s="84">
        <f>F257</f>
        <v>0</v>
      </c>
      <c r="N253" s="84">
        <f>M253+F258</f>
        <v>0</v>
      </c>
      <c r="O253" s="84">
        <f>N253+F259</f>
        <v>0</v>
      </c>
      <c r="P253" s="84">
        <f>O253+F260</f>
        <v>0</v>
      </c>
      <c r="Q253" s="84">
        <f>P253+F261</f>
        <v>0</v>
      </c>
      <c r="R253" s="84">
        <f>Q253+F262</f>
        <v>0</v>
      </c>
      <c r="S253" s="84">
        <f>R253+F263</f>
        <v>0</v>
      </c>
      <c r="T253" s="84">
        <f>S253+F264</f>
        <v>0</v>
      </c>
      <c r="U253" s="84">
        <f>T253+F265</f>
        <v>0</v>
      </c>
      <c r="V253" s="84">
        <f>U253</f>
        <v>0</v>
      </c>
      <c r="W253" s="84">
        <f>V253</f>
        <v>0</v>
      </c>
      <c r="X253" s="84">
        <f>W253</f>
        <v>0</v>
      </c>
      <c r="Y253" s="96"/>
      <c r="Z253" s="96"/>
      <c r="AA253" s="96"/>
      <c r="AB253" s="96"/>
      <c r="AC253" s="84">
        <f t="shared" ref="AC253:AN253" si="158">M253</f>
        <v>0</v>
      </c>
      <c r="AD253" s="84">
        <f t="shared" si="158"/>
        <v>0</v>
      </c>
      <c r="AE253" s="84">
        <f t="shared" si="158"/>
        <v>0</v>
      </c>
      <c r="AF253" s="84">
        <f t="shared" si="158"/>
        <v>0</v>
      </c>
      <c r="AG253" s="84">
        <f t="shared" si="158"/>
        <v>0</v>
      </c>
      <c r="AH253" s="84">
        <f t="shared" si="158"/>
        <v>0</v>
      </c>
      <c r="AI253" s="84">
        <f t="shared" si="158"/>
        <v>0</v>
      </c>
      <c r="AJ253" s="84">
        <f t="shared" si="158"/>
        <v>0</v>
      </c>
      <c r="AK253" s="84">
        <f t="shared" si="158"/>
        <v>0</v>
      </c>
      <c r="AL253" s="84">
        <f t="shared" si="158"/>
        <v>0</v>
      </c>
      <c r="AM253" s="84">
        <f t="shared" si="158"/>
        <v>0</v>
      </c>
      <c r="AN253" s="84">
        <f t="shared" si="158"/>
        <v>0</v>
      </c>
      <c r="AO253" s="84"/>
      <c r="AP253" s="84"/>
      <c r="AQ253" s="182"/>
    </row>
    <row r="254" spans="2:43" s="57" customFormat="1" ht="17.25" customHeight="1" x14ac:dyDescent="0.25">
      <c r="K254" s="58" t="s">
        <v>13</v>
      </c>
      <c r="M254" s="84"/>
      <c r="N254" s="84"/>
      <c r="O254" s="84"/>
      <c r="P254" s="84"/>
      <c r="Q254" s="84"/>
      <c r="R254" s="84"/>
      <c r="S254" s="84"/>
      <c r="T254" s="84"/>
      <c r="U254" s="84">
        <f>M253</f>
        <v>0</v>
      </c>
      <c r="V254" s="84">
        <f>N253</f>
        <v>0</v>
      </c>
      <c r="W254" s="84">
        <f>O253</f>
        <v>0</v>
      </c>
      <c r="X254" s="84">
        <f>P253</f>
        <v>0</v>
      </c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>
        <f>AC253</f>
        <v>0</v>
      </c>
      <c r="AL254" s="84">
        <f>AD253</f>
        <v>0</v>
      </c>
      <c r="AM254" s="84">
        <f>AE253</f>
        <v>0</v>
      </c>
      <c r="AN254" s="84">
        <f>AF253</f>
        <v>0</v>
      </c>
      <c r="AO254" s="84"/>
      <c r="AP254" s="85"/>
      <c r="AQ254" s="86"/>
    </row>
    <row r="255" spans="2:43" s="57" customFormat="1" ht="17.25" customHeight="1" x14ac:dyDescent="0.25">
      <c r="B255" s="57" t="s">
        <v>12</v>
      </c>
      <c r="E255" s="59" t="s">
        <v>8</v>
      </c>
      <c r="F255" s="59" t="s">
        <v>15</v>
      </c>
      <c r="G255" s="59" t="s">
        <v>32</v>
      </c>
      <c r="H255" s="59" t="s">
        <v>16</v>
      </c>
      <c r="J255" s="58" t="s">
        <v>9</v>
      </c>
      <c r="K255" s="58">
        <f>SUM(M255:AP255)/16</f>
        <v>0</v>
      </c>
      <c r="M255" s="87">
        <f t="shared" ref="M255:AP255" si="159">SUM(M257:M286)+M253+M252-M254</f>
        <v>0</v>
      </c>
      <c r="N255" s="87">
        <f t="shared" si="159"/>
        <v>0</v>
      </c>
      <c r="O255" s="87">
        <f t="shared" si="159"/>
        <v>0</v>
      </c>
      <c r="P255" s="87">
        <f t="shared" si="159"/>
        <v>0</v>
      </c>
      <c r="Q255" s="87">
        <f t="shared" si="159"/>
        <v>0</v>
      </c>
      <c r="R255" s="87">
        <f t="shared" si="159"/>
        <v>0</v>
      </c>
      <c r="S255" s="87">
        <f t="shared" si="159"/>
        <v>0</v>
      </c>
      <c r="T255" s="87">
        <f t="shared" si="159"/>
        <v>0</v>
      </c>
      <c r="U255" s="87">
        <f t="shared" si="159"/>
        <v>0</v>
      </c>
      <c r="V255" s="87">
        <f t="shared" si="159"/>
        <v>0</v>
      </c>
      <c r="W255" s="87">
        <f t="shared" si="159"/>
        <v>0</v>
      </c>
      <c r="X255" s="87">
        <f t="shared" si="159"/>
        <v>0</v>
      </c>
      <c r="Y255" s="87">
        <f t="shared" si="159"/>
        <v>0</v>
      </c>
      <c r="Z255" s="87">
        <f t="shared" si="159"/>
        <v>0</v>
      </c>
      <c r="AA255" s="87">
        <f t="shared" si="159"/>
        <v>0</v>
      </c>
      <c r="AB255" s="87">
        <f t="shared" si="159"/>
        <v>0</v>
      </c>
      <c r="AC255" s="87">
        <f t="shared" si="159"/>
        <v>0</v>
      </c>
      <c r="AD255" s="87">
        <f t="shared" si="159"/>
        <v>0</v>
      </c>
      <c r="AE255" s="87">
        <f t="shared" si="159"/>
        <v>0</v>
      </c>
      <c r="AF255" s="87">
        <f t="shared" si="159"/>
        <v>0</v>
      </c>
      <c r="AG255" s="87">
        <f t="shared" si="159"/>
        <v>0</v>
      </c>
      <c r="AH255" s="87">
        <f t="shared" si="159"/>
        <v>0</v>
      </c>
      <c r="AI255" s="87">
        <f t="shared" si="159"/>
        <v>0</v>
      </c>
      <c r="AJ255" s="87">
        <f t="shared" si="159"/>
        <v>0</v>
      </c>
      <c r="AK255" s="87">
        <f t="shared" si="159"/>
        <v>0</v>
      </c>
      <c r="AL255" s="87">
        <f t="shared" si="159"/>
        <v>0</v>
      </c>
      <c r="AM255" s="87">
        <f t="shared" si="159"/>
        <v>0</v>
      </c>
      <c r="AN255" s="87">
        <f t="shared" si="159"/>
        <v>0</v>
      </c>
      <c r="AO255" s="87">
        <f t="shared" si="159"/>
        <v>0</v>
      </c>
      <c r="AP255" s="87">
        <f t="shared" si="159"/>
        <v>0</v>
      </c>
      <c r="AQ255" s="87"/>
    </row>
    <row r="256" spans="2:43" s="88" customFormat="1" x14ac:dyDescent="0.25">
      <c r="E256" s="178">
        <f>SUM(E257:E286)</f>
        <v>0</v>
      </c>
      <c r="F256" s="178">
        <f>SUM(F257:F286)</f>
        <v>0</v>
      </c>
      <c r="G256" s="178">
        <f>SUM(G257:G286)</f>
        <v>0</v>
      </c>
      <c r="H256" s="178">
        <f>SUM(H257:H286)</f>
        <v>0</v>
      </c>
      <c r="I256" s="89"/>
      <c r="J256" s="89"/>
      <c r="K256" s="58" t="s">
        <v>7</v>
      </c>
      <c r="L256" s="89"/>
      <c r="M256" s="180">
        <f>SUMMARY!$K$6</f>
        <v>0</v>
      </c>
      <c r="N256" s="180">
        <f>SUMMARY!$K$7</f>
        <v>0</v>
      </c>
      <c r="O256" s="180">
        <f>SUMMARY!$K$8</f>
        <v>0</v>
      </c>
      <c r="P256" s="180">
        <f>SUMMARY!$K$9</f>
        <v>0</v>
      </c>
      <c r="Q256" s="180">
        <f>SUMMARY!$K$10</f>
        <v>0</v>
      </c>
      <c r="R256" s="180">
        <f>SUMMARY!$K$11</f>
        <v>0</v>
      </c>
      <c r="S256" s="180">
        <f>SUMMARY!$K$12</f>
        <v>0</v>
      </c>
      <c r="T256" s="180">
        <f>SUMMARY!$K$13</f>
        <v>0</v>
      </c>
      <c r="U256" s="180">
        <f>SUMMARY!$K$14</f>
        <v>0</v>
      </c>
      <c r="V256" s="180">
        <f>SUMMARY!$K$15</f>
        <v>0</v>
      </c>
      <c r="W256" s="180">
        <f>SUMMARY!$K$16</f>
        <v>0</v>
      </c>
      <c r="X256" s="180">
        <f>SUMMARY!$K$17</f>
        <v>0</v>
      </c>
      <c r="Y256" s="180">
        <f>SUMMARY!$K$18</f>
        <v>0</v>
      </c>
      <c r="Z256" s="180">
        <f>SUMMARY!$K$19</f>
        <v>0</v>
      </c>
      <c r="AA256" s="180">
        <f>SUMMARY!$K$20</f>
        <v>0</v>
      </c>
      <c r="AB256" s="180">
        <f>SUMMARY!$K$21</f>
        <v>0</v>
      </c>
      <c r="AC256" s="180">
        <f>SUMMARY!$K$22</f>
        <v>0</v>
      </c>
      <c r="AD256" s="180">
        <f>SUMMARY!$K$23</f>
        <v>0</v>
      </c>
      <c r="AE256" s="180">
        <f>SUMMARY!$K$24</f>
        <v>0</v>
      </c>
      <c r="AF256" s="180">
        <f>SUMMARY!$K$25</f>
        <v>0</v>
      </c>
      <c r="AG256" s="180">
        <f>SUMMARY!$K$26</f>
        <v>0</v>
      </c>
      <c r="AH256" s="180">
        <f>SUMMARY!$K$27</f>
        <v>0</v>
      </c>
      <c r="AI256" s="180">
        <f>SUMMARY!$K$28</f>
        <v>0</v>
      </c>
      <c r="AJ256" s="180">
        <f>SUMMARY!$K$29</f>
        <v>0</v>
      </c>
      <c r="AK256" s="180">
        <f>SUMMARY!$K$30</f>
        <v>0</v>
      </c>
      <c r="AL256" s="180">
        <f>SUMMARY!$K$31</f>
        <v>0</v>
      </c>
      <c r="AM256" s="180">
        <f>SUMMARY!$K$32</f>
        <v>0</v>
      </c>
      <c r="AN256" s="180">
        <f>SUMMARY!$K$33</f>
        <v>0</v>
      </c>
      <c r="AO256" s="180">
        <f>SUMMARY!$K$34</f>
        <v>0</v>
      </c>
      <c r="AP256" s="180">
        <f>SUMMARY!$K$35</f>
        <v>0</v>
      </c>
      <c r="AQ256" s="90"/>
    </row>
    <row r="257" spans="2:43" x14ac:dyDescent="0.25">
      <c r="B257" s="54">
        <v>0.29166666666424135</v>
      </c>
      <c r="C257" s="54">
        <v>0.645833333372138</v>
      </c>
      <c r="D257" s="60"/>
      <c r="E257" s="91">
        <f>SUMMARY!V6</f>
        <v>0</v>
      </c>
      <c r="F257" s="91"/>
      <c r="G257" s="91"/>
      <c r="H257" s="92">
        <f t="shared" ref="H257:H286" si="160">SUM(E257:G257)</f>
        <v>0</v>
      </c>
      <c r="I257" s="180">
        <f>M$255-M$256</f>
        <v>0</v>
      </c>
      <c r="M257" s="61">
        <f t="shared" ref="M257:V258" si="161">IF(AND(M$2&gt;=$B257,M$2&lt;$C257),$E257,0)</f>
        <v>0</v>
      </c>
      <c r="N257" s="61">
        <f t="shared" si="161"/>
        <v>0</v>
      </c>
      <c r="O257" s="61">
        <f t="shared" si="161"/>
        <v>0</v>
      </c>
      <c r="P257" s="61">
        <f t="shared" si="161"/>
        <v>0</v>
      </c>
      <c r="Q257" s="61">
        <f t="shared" si="161"/>
        <v>0</v>
      </c>
      <c r="R257" s="61">
        <f t="shared" si="161"/>
        <v>0</v>
      </c>
      <c r="S257" s="61">
        <f t="shared" si="161"/>
        <v>0</v>
      </c>
      <c r="T257" s="61">
        <f t="shared" si="161"/>
        <v>0</v>
      </c>
      <c r="U257" s="61">
        <f t="shared" si="161"/>
        <v>0</v>
      </c>
      <c r="V257" s="61">
        <f t="shared" si="161"/>
        <v>0</v>
      </c>
      <c r="W257" s="61">
        <f t="shared" ref="W257:AF258" si="162">IF(AND(W$2&gt;=$B257,W$2&lt;$C257),$E257,0)</f>
        <v>0</v>
      </c>
      <c r="X257" s="61">
        <f t="shared" si="162"/>
        <v>0</v>
      </c>
      <c r="Y257" s="61">
        <f t="shared" si="162"/>
        <v>0</v>
      </c>
      <c r="Z257" s="61">
        <f t="shared" si="162"/>
        <v>0</v>
      </c>
      <c r="AA257" s="61">
        <f t="shared" si="162"/>
        <v>0</v>
      </c>
      <c r="AB257" s="61">
        <f t="shared" si="162"/>
        <v>0</v>
      </c>
      <c r="AC257" s="61">
        <f t="shared" si="162"/>
        <v>0</v>
      </c>
      <c r="AD257" s="61">
        <f t="shared" si="162"/>
        <v>0</v>
      </c>
      <c r="AE257" s="61">
        <f t="shared" si="162"/>
        <v>0</v>
      </c>
      <c r="AF257" s="61">
        <f t="shared" si="162"/>
        <v>0</v>
      </c>
      <c r="AG257" s="61">
        <f t="shared" ref="AG257:AP258" si="163">IF(AND(AG$2&gt;=$B257,AG$2&lt;$C257),$E257,0)</f>
        <v>0</v>
      </c>
      <c r="AH257" s="61">
        <f t="shared" si="163"/>
        <v>0</v>
      </c>
      <c r="AI257" s="61">
        <f t="shared" si="163"/>
        <v>0</v>
      </c>
      <c r="AJ257" s="61">
        <f t="shared" si="163"/>
        <v>0</v>
      </c>
      <c r="AK257" s="61">
        <f t="shared" si="163"/>
        <v>0</v>
      </c>
      <c r="AL257" s="61">
        <f t="shared" si="163"/>
        <v>0</v>
      </c>
      <c r="AM257" s="61">
        <f t="shared" si="163"/>
        <v>0</v>
      </c>
      <c r="AN257" s="61">
        <f t="shared" si="163"/>
        <v>0</v>
      </c>
      <c r="AO257" s="61">
        <f t="shared" si="163"/>
        <v>0</v>
      </c>
      <c r="AP257" s="61">
        <f t="shared" si="163"/>
        <v>0</v>
      </c>
      <c r="AQ257" s="61"/>
    </row>
    <row r="258" spans="2:43" x14ac:dyDescent="0.25">
      <c r="B258" s="54">
        <v>0.3125</v>
      </c>
      <c r="C258" s="54">
        <v>0.66666666670789698</v>
      </c>
      <c r="D258" s="60"/>
      <c r="E258" s="91">
        <f>SUMMARY!V7</f>
        <v>0</v>
      </c>
      <c r="F258" s="91"/>
      <c r="G258" s="91"/>
      <c r="H258" s="92">
        <f t="shared" si="160"/>
        <v>0</v>
      </c>
      <c r="I258" s="180">
        <f>N$255-N$256</f>
        <v>0</v>
      </c>
      <c r="M258" s="61">
        <f t="shared" si="161"/>
        <v>0</v>
      </c>
      <c r="N258" s="61">
        <f t="shared" si="161"/>
        <v>0</v>
      </c>
      <c r="O258" s="61">
        <f t="shared" si="161"/>
        <v>0</v>
      </c>
      <c r="P258" s="61">
        <f t="shared" si="161"/>
        <v>0</v>
      </c>
      <c r="Q258" s="61">
        <f t="shared" si="161"/>
        <v>0</v>
      </c>
      <c r="R258" s="61">
        <f t="shared" si="161"/>
        <v>0</v>
      </c>
      <c r="S258" s="61">
        <f t="shared" si="161"/>
        <v>0</v>
      </c>
      <c r="T258" s="61">
        <f t="shared" si="161"/>
        <v>0</v>
      </c>
      <c r="U258" s="61">
        <f t="shared" si="161"/>
        <v>0</v>
      </c>
      <c r="V258" s="61">
        <f t="shared" si="161"/>
        <v>0</v>
      </c>
      <c r="W258" s="61">
        <f t="shared" si="162"/>
        <v>0</v>
      </c>
      <c r="X258" s="61">
        <f t="shared" si="162"/>
        <v>0</v>
      </c>
      <c r="Y258" s="61">
        <f t="shared" si="162"/>
        <v>0</v>
      </c>
      <c r="Z258" s="61">
        <f t="shared" si="162"/>
        <v>0</v>
      </c>
      <c r="AA258" s="61">
        <f t="shared" si="162"/>
        <v>0</v>
      </c>
      <c r="AB258" s="61">
        <f t="shared" si="162"/>
        <v>0</v>
      </c>
      <c r="AC258" s="61">
        <f t="shared" si="162"/>
        <v>0</v>
      </c>
      <c r="AD258" s="61">
        <f t="shared" si="162"/>
        <v>0</v>
      </c>
      <c r="AE258" s="61">
        <f t="shared" si="162"/>
        <v>0</v>
      </c>
      <c r="AF258" s="61">
        <f t="shared" si="162"/>
        <v>0</v>
      </c>
      <c r="AG258" s="61">
        <f t="shared" si="163"/>
        <v>0</v>
      </c>
      <c r="AH258" s="61">
        <f t="shared" si="163"/>
        <v>0</v>
      </c>
      <c r="AI258" s="61">
        <f t="shared" si="163"/>
        <v>0</v>
      </c>
      <c r="AJ258" s="61">
        <f t="shared" si="163"/>
        <v>0</v>
      </c>
      <c r="AK258" s="61">
        <f t="shared" si="163"/>
        <v>0</v>
      </c>
      <c r="AL258" s="61">
        <f t="shared" si="163"/>
        <v>0</v>
      </c>
      <c r="AM258" s="61">
        <f t="shared" si="163"/>
        <v>0</v>
      </c>
      <c r="AN258" s="61">
        <f t="shared" si="163"/>
        <v>0</v>
      </c>
      <c r="AO258" s="61">
        <f t="shared" si="163"/>
        <v>0</v>
      </c>
      <c r="AP258" s="61">
        <f t="shared" si="163"/>
        <v>0</v>
      </c>
      <c r="AQ258" s="61"/>
    </row>
    <row r="259" spans="2:43" x14ac:dyDescent="0.25">
      <c r="B259" s="54">
        <v>0.33333333333575865</v>
      </c>
      <c r="C259" s="54">
        <v>0.68750000004365597</v>
      </c>
      <c r="D259" s="60"/>
      <c r="E259" s="91">
        <f>SUMMARY!V8</f>
        <v>0</v>
      </c>
      <c r="F259" s="91"/>
      <c r="G259" s="91"/>
      <c r="H259" s="92">
        <f t="shared" si="160"/>
        <v>0</v>
      </c>
      <c r="I259" s="180">
        <f>O$255-O$256</f>
        <v>0</v>
      </c>
      <c r="M259" s="61">
        <f t="shared" ref="M259:V268" si="164">IF(AND(M$2&gt;=$B259,M$2&lt;$C259),$E259,0)</f>
        <v>0</v>
      </c>
      <c r="N259" s="61">
        <f t="shared" si="164"/>
        <v>0</v>
      </c>
      <c r="O259" s="61">
        <f t="shared" si="164"/>
        <v>0</v>
      </c>
      <c r="P259" s="61">
        <f t="shared" si="164"/>
        <v>0</v>
      </c>
      <c r="Q259" s="61">
        <f t="shared" si="164"/>
        <v>0</v>
      </c>
      <c r="R259" s="61">
        <f t="shared" si="164"/>
        <v>0</v>
      </c>
      <c r="S259" s="61">
        <f t="shared" si="164"/>
        <v>0</v>
      </c>
      <c r="T259" s="61">
        <f t="shared" si="164"/>
        <v>0</v>
      </c>
      <c r="U259" s="61">
        <f t="shared" si="164"/>
        <v>0</v>
      </c>
      <c r="V259" s="61">
        <f t="shared" si="164"/>
        <v>0</v>
      </c>
      <c r="W259" s="61">
        <f t="shared" ref="W259:AE268" si="165">IF(AND(W$2&gt;=$B259,W$2&lt;$C259),$E259,0)</f>
        <v>0</v>
      </c>
      <c r="X259" s="61">
        <f t="shared" si="165"/>
        <v>0</v>
      </c>
      <c r="Y259" s="61">
        <f t="shared" si="165"/>
        <v>0</v>
      </c>
      <c r="Z259" s="61">
        <f t="shared" si="165"/>
        <v>0</v>
      </c>
      <c r="AA259" s="61">
        <f t="shared" si="165"/>
        <v>0</v>
      </c>
      <c r="AB259" s="61">
        <f t="shared" si="165"/>
        <v>0</v>
      </c>
      <c r="AC259" s="61">
        <f t="shared" si="165"/>
        <v>0</v>
      </c>
      <c r="AD259" s="61">
        <f t="shared" si="165"/>
        <v>0</v>
      </c>
      <c r="AE259" s="61">
        <f t="shared" si="165"/>
        <v>0</v>
      </c>
      <c r="AF259" s="61"/>
      <c r="AG259" s="61">
        <f t="shared" ref="AG259:AP259" si="166">IF(AND(AG$2&gt;=$B259,AG$2&lt;$C259),$E259,0)</f>
        <v>0</v>
      </c>
      <c r="AH259" s="61">
        <f t="shared" si="166"/>
        <v>0</v>
      </c>
      <c r="AI259" s="61">
        <f t="shared" si="166"/>
        <v>0</v>
      </c>
      <c r="AJ259" s="61">
        <f t="shared" si="166"/>
        <v>0</v>
      </c>
      <c r="AK259" s="61">
        <f t="shared" si="166"/>
        <v>0</v>
      </c>
      <c r="AL259" s="61">
        <f t="shared" si="166"/>
        <v>0</v>
      </c>
      <c r="AM259" s="61">
        <f t="shared" si="166"/>
        <v>0</v>
      </c>
      <c r="AN259" s="61">
        <f t="shared" si="166"/>
        <v>0</v>
      </c>
      <c r="AO259" s="61">
        <f t="shared" si="166"/>
        <v>0</v>
      </c>
      <c r="AP259" s="61">
        <f t="shared" si="166"/>
        <v>0</v>
      </c>
      <c r="AQ259" s="61"/>
    </row>
    <row r="260" spans="2:43" x14ac:dyDescent="0.25">
      <c r="B260" s="54">
        <v>0.35416666666424135</v>
      </c>
      <c r="C260" s="54">
        <v>0.70833333337941495</v>
      </c>
      <c r="D260" s="60"/>
      <c r="E260" s="91">
        <f>SUMMARY!V9</f>
        <v>0</v>
      </c>
      <c r="F260" s="91"/>
      <c r="G260" s="91"/>
      <c r="H260" s="92">
        <f t="shared" si="160"/>
        <v>0</v>
      </c>
      <c r="I260" s="180">
        <f>P$255-P$256</f>
        <v>0</v>
      </c>
      <c r="M260" s="61">
        <f t="shared" si="164"/>
        <v>0</v>
      </c>
      <c r="N260" s="61">
        <f t="shared" si="164"/>
        <v>0</v>
      </c>
      <c r="O260" s="61">
        <f t="shared" si="164"/>
        <v>0</v>
      </c>
      <c r="P260" s="61">
        <f t="shared" si="164"/>
        <v>0</v>
      </c>
      <c r="Q260" s="61">
        <f t="shared" si="164"/>
        <v>0</v>
      </c>
      <c r="R260" s="61">
        <f t="shared" si="164"/>
        <v>0</v>
      </c>
      <c r="S260" s="61">
        <f t="shared" si="164"/>
        <v>0</v>
      </c>
      <c r="T260" s="61">
        <f t="shared" si="164"/>
        <v>0</v>
      </c>
      <c r="U260" s="61">
        <f t="shared" si="164"/>
        <v>0</v>
      </c>
      <c r="V260" s="61">
        <f t="shared" si="164"/>
        <v>0</v>
      </c>
      <c r="W260" s="61">
        <f t="shared" si="165"/>
        <v>0</v>
      </c>
      <c r="X260" s="61">
        <f t="shared" si="165"/>
        <v>0</v>
      </c>
      <c r="Y260" s="61">
        <f t="shared" si="165"/>
        <v>0</v>
      </c>
      <c r="Z260" s="61">
        <f t="shared" si="165"/>
        <v>0</v>
      </c>
      <c r="AA260" s="61">
        <f t="shared" si="165"/>
        <v>0</v>
      </c>
      <c r="AB260" s="61">
        <f t="shared" si="165"/>
        <v>0</v>
      </c>
      <c r="AC260" s="61">
        <f t="shared" si="165"/>
        <v>0</v>
      </c>
      <c r="AD260" s="61">
        <f t="shared" si="165"/>
        <v>0</v>
      </c>
      <c r="AE260" s="61">
        <f t="shared" si="165"/>
        <v>0</v>
      </c>
      <c r="AF260" s="61">
        <f t="shared" ref="AF260:AF286" si="167">IF(AND(AF$2&gt;=$B260,AF$2&lt;$C260),$E260,0)</f>
        <v>0</v>
      </c>
      <c r="AG260" s="61"/>
      <c r="AH260" s="61">
        <f t="shared" ref="AH260:AP269" si="168">IF(AND(AH$2&gt;=$B260,AH$2&lt;$C260),$E260,0)</f>
        <v>0</v>
      </c>
      <c r="AI260" s="61">
        <f t="shared" si="168"/>
        <v>0</v>
      </c>
      <c r="AJ260" s="61">
        <f t="shared" si="168"/>
        <v>0</v>
      </c>
      <c r="AK260" s="61">
        <f t="shared" si="168"/>
        <v>0</v>
      </c>
      <c r="AL260" s="61">
        <f t="shared" si="168"/>
        <v>0</v>
      </c>
      <c r="AM260" s="61">
        <f t="shared" si="168"/>
        <v>0</v>
      </c>
      <c r="AN260" s="61">
        <f t="shared" si="168"/>
        <v>0</v>
      </c>
      <c r="AO260" s="61">
        <f t="shared" si="168"/>
        <v>0</v>
      </c>
      <c r="AP260" s="61">
        <f t="shared" si="168"/>
        <v>0</v>
      </c>
      <c r="AQ260" s="61"/>
    </row>
    <row r="261" spans="2:43" x14ac:dyDescent="0.25">
      <c r="B261" s="54">
        <v>0.375</v>
      </c>
      <c r="C261" s="54">
        <v>0.72916666671517405</v>
      </c>
      <c r="D261" s="60"/>
      <c r="E261" s="91">
        <f>SUMMARY!V10</f>
        <v>0</v>
      </c>
      <c r="F261" s="91"/>
      <c r="G261" s="91"/>
      <c r="H261" s="92">
        <f t="shared" si="160"/>
        <v>0</v>
      </c>
      <c r="I261" s="180">
        <f>Q$255-Q$256</f>
        <v>0</v>
      </c>
      <c r="M261" s="61">
        <f t="shared" si="164"/>
        <v>0</v>
      </c>
      <c r="N261" s="61">
        <f t="shared" si="164"/>
        <v>0</v>
      </c>
      <c r="O261" s="61">
        <f t="shared" si="164"/>
        <v>0</v>
      </c>
      <c r="P261" s="61">
        <f t="shared" si="164"/>
        <v>0</v>
      </c>
      <c r="Q261" s="61">
        <f t="shared" si="164"/>
        <v>0</v>
      </c>
      <c r="R261" s="61">
        <f t="shared" si="164"/>
        <v>0</v>
      </c>
      <c r="S261" s="61">
        <f t="shared" si="164"/>
        <v>0</v>
      </c>
      <c r="T261" s="61">
        <f t="shared" si="164"/>
        <v>0</v>
      </c>
      <c r="U261" s="61">
        <f t="shared" si="164"/>
        <v>0</v>
      </c>
      <c r="V261" s="61">
        <f t="shared" si="164"/>
        <v>0</v>
      </c>
      <c r="W261" s="61">
        <f t="shared" si="165"/>
        <v>0</v>
      </c>
      <c r="X261" s="61">
        <f t="shared" si="165"/>
        <v>0</v>
      </c>
      <c r="Y261" s="61">
        <f t="shared" si="165"/>
        <v>0</v>
      </c>
      <c r="Z261" s="61">
        <f t="shared" si="165"/>
        <v>0</v>
      </c>
      <c r="AA261" s="61">
        <f t="shared" si="165"/>
        <v>0</v>
      </c>
      <c r="AB261" s="61">
        <f t="shared" si="165"/>
        <v>0</v>
      </c>
      <c r="AC261" s="61">
        <f t="shared" si="165"/>
        <v>0</v>
      </c>
      <c r="AD261" s="61">
        <f t="shared" si="165"/>
        <v>0</v>
      </c>
      <c r="AE261" s="61">
        <f t="shared" si="165"/>
        <v>0</v>
      </c>
      <c r="AF261" s="61">
        <f t="shared" si="167"/>
        <v>0</v>
      </c>
      <c r="AG261" s="61">
        <f t="shared" ref="AG261:AG286" si="169">IF(AND(AG$2&gt;=$B261,AG$2&lt;$C261),$E261,0)</f>
        <v>0</v>
      </c>
      <c r="AH261" s="61">
        <f t="shared" si="168"/>
        <v>0</v>
      </c>
      <c r="AI261" s="61">
        <f t="shared" si="168"/>
        <v>0</v>
      </c>
      <c r="AJ261" s="61">
        <f t="shared" si="168"/>
        <v>0</v>
      </c>
      <c r="AK261" s="61">
        <f t="shared" si="168"/>
        <v>0</v>
      </c>
      <c r="AL261" s="61">
        <f t="shared" si="168"/>
        <v>0</v>
      </c>
      <c r="AM261" s="61">
        <f t="shared" si="168"/>
        <v>0</v>
      </c>
      <c r="AN261" s="61">
        <f t="shared" si="168"/>
        <v>0</v>
      </c>
      <c r="AO261" s="61">
        <f t="shared" si="168"/>
        <v>0</v>
      </c>
      <c r="AP261" s="61">
        <f t="shared" si="168"/>
        <v>0</v>
      </c>
      <c r="AQ261" s="61"/>
    </row>
    <row r="262" spans="2:43" x14ac:dyDescent="0.25">
      <c r="B262" s="54">
        <v>0.39583333333575865</v>
      </c>
      <c r="C262" s="54">
        <v>0.75000000005093304</v>
      </c>
      <c r="D262" s="60"/>
      <c r="E262" s="91">
        <f>SUMMARY!V11</f>
        <v>0</v>
      </c>
      <c r="F262" s="91"/>
      <c r="G262" s="91"/>
      <c r="H262" s="92">
        <f t="shared" si="160"/>
        <v>0</v>
      </c>
      <c r="I262" s="180">
        <f>R$255-R$256</f>
        <v>0</v>
      </c>
      <c r="M262" s="61">
        <f t="shared" si="164"/>
        <v>0</v>
      </c>
      <c r="N262" s="61">
        <f t="shared" si="164"/>
        <v>0</v>
      </c>
      <c r="O262" s="61">
        <f t="shared" si="164"/>
        <v>0</v>
      </c>
      <c r="P262" s="61">
        <f t="shared" si="164"/>
        <v>0</v>
      </c>
      <c r="Q262" s="61">
        <f t="shared" si="164"/>
        <v>0</v>
      </c>
      <c r="R262" s="61">
        <f t="shared" si="164"/>
        <v>0</v>
      </c>
      <c r="S262" s="61">
        <f t="shared" si="164"/>
        <v>0</v>
      </c>
      <c r="T262" s="61">
        <f t="shared" si="164"/>
        <v>0</v>
      </c>
      <c r="U262" s="61">
        <f t="shared" si="164"/>
        <v>0</v>
      </c>
      <c r="V262" s="61">
        <f t="shared" si="164"/>
        <v>0</v>
      </c>
      <c r="W262" s="61">
        <f t="shared" si="165"/>
        <v>0</v>
      </c>
      <c r="X262" s="61">
        <f t="shared" si="165"/>
        <v>0</v>
      </c>
      <c r="Y262" s="61">
        <f t="shared" si="165"/>
        <v>0</v>
      </c>
      <c r="Z262" s="61">
        <f t="shared" si="165"/>
        <v>0</v>
      </c>
      <c r="AA262" s="61">
        <f t="shared" si="165"/>
        <v>0</v>
      </c>
      <c r="AB262" s="61">
        <f t="shared" si="165"/>
        <v>0</v>
      </c>
      <c r="AC262" s="61">
        <f t="shared" si="165"/>
        <v>0</v>
      </c>
      <c r="AD262" s="61">
        <f t="shared" si="165"/>
        <v>0</v>
      </c>
      <c r="AE262" s="61">
        <f t="shared" si="165"/>
        <v>0</v>
      </c>
      <c r="AF262" s="61">
        <f t="shared" si="167"/>
        <v>0</v>
      </c>
      <c r="AG262" s="61">
        <f t="shared" si="169"/>
        <v>0</v>
      </c>
      <c r="AH262" s="61">
        <f t="shared" si="168"/>
        <v>0</v>
      </c>
      <c r="AI262" s="61">
        <f t="shared" si="168"/>
        <v>0</v>
      </c>
      <c r="AJ262" s="61">
        <f t="shared" si="168"/>
        <v>0</v>
      </c>
      <c r="AK262" s="61">
        <f t="shared" si="168"/>
        <v>0</v>
      </c>
      <c r="AL262" s="61">
        <f t="shared" si="168"/>
        <v>0</v>
      </c>
      <c r="AM262" s="61">
        <f t="shared" si="168"/>
        <v>0</v>
      </c>
      <c r="AN262" s="61">
        <f t="shared" si="168"/>
        <v>0</v>
      </c>
      <c r="AO262" s="61">
        <f t="shared" si="168"/>
        <v>0</v>
      </c>
      <c r="AP262" s="61">
        <f t="shared" si="168"/>
        <v>0</v>
      </c>
      <c r="AQ262" s="61"/>
    </row>
    <row r="263" spans="2:43" x14ac:dyDescent="0.25">
      <c r="B263" s="54">
        <v>0.41666666666424135</v>
      </c>
      <c r="C263" s="54">
        <v>0.77083333338669202</v>
      </c>
      <c r="D263" s="60"/>
      <c r="E263" s="91">
        <f>SUMMARY!V12</f>
        <v>0</v>
      </c>
      <c r="F263" s="91"/>
      <c r="G263" s="91"/>
      <c r="H263" s="92">
        <f t="shared" si="160"/>
        <v>0</v>
      </c>
      <c r="I263" s="180">
        <f>S$255-S$256</f>
        <v>0</v>
      </c>
      <c r="M263" s="61">
        <f t="shared" si="164"/>
        <v>0</v>
      </c>
      <c r="N263" s="61">
        <f t="shared" si="164"/>
        <v>0</v>
      </c>
      <c r="O263" s="61">
        <f t="shared" si="164"/>
        <v>0</v>
      </c>
      <c r="P263" s="61">
        <f t="shared" si="164"/>
        <v>0</v>
      </c>
      <c r="Q263" s="61">
        <f t="shared" si="164"/>
        <v>0</v>
      </c>
      <c r="R263" s="61">
        <f t="shared" si="164"/>
        <v>0</v>
      </c>
      <c r="S263" s="61">
        <f t="shared" si="164"/>
        <v>0</v>
      </c>
      <c r="T263" s="61">
        <f t="shared" si="164"/>
        <v>0</v>
      </c>
      <c r="U263" s="61">
        <f t="shared" si="164"/>
        <v>0</v>
      </c>
      <c r="V263" s="61">
        <f t="shared" si="164"/>
        <v>0</v>
      </c>
      <c r="W263" s="61">
        <f t="shared" si="165"/>
        <v>0</v>
      </c>
      <c r="X263" s="61">
        <f t="shared" si="165"/>
        <v>0</v>
      </c>
      <c r="Y263" s="61">
        <f t="shared" si="165"/>
        <v>0</v>
      </c>
      <c r="Z263" s="61">
        <f t="shared" si="165"/>
        <v>0</v>
      </c>
      <c r="AA263" s="61">
        <f t="shared" si="165"/>
        <v>0</v>
      </c>
      <c r="AB263" s="61">
        <f t="shared" si="165"/>
        <v>0</v>
      </c>
      <c r="AC263" s="61">
        <f t="shared" si="165"/>
        <v>0</v>
      </c>
      <c r="AD263" s="61">
        <f t="shared" si="165"/>
        <v>0</v>
      </c>
      <c r="AE263" s="61">
        <f t="shared" si="165"/>
        <v>0</v>
      </c>
      <c r="AF263" s="61">
        <f t="shared" si="167"/>
        <v>0</v>
      </c>
      <c r="AG263" s="61">
        <f t="shared" si="169"/>
        <v>0</v>
      </c>
      <c r="AH263" s="61">
        <f t="shared" si="168"/>
        <v>0</v>
      </c>
      <c r="AI263" s="61">
        <f t="shared" si="168"/>
        <v>0</v>
      </c>
      <c r="AJ263" s="61">
        <f t="shared" si="168"/>
        <v>0</v>
      </c>
      <c r="AK263" s="61">
        <f t="shared" si="168"/>
        <v>0</v>
      </c>
      <c r="AL263" s="61">
        <f t="shared" si="168"/>
        <v>0</v>
      </c>
      <c r="AM263" s="61">
        <f t="shared" si="168"/>
        <v>0</v>
      </c>
      <c r="AN263" s="61">
        <f t="shared" si="168"/>
        <v>0</v>
      </c>
      <c r="AO263" s="61">
        <f t="shared" si="168"/>
        <v>0</v>
      </c>
      <c r="AP263" s="61">
        <f t="shared" si="168"/>
        <v>0</v>
      </c>
      <c r="AQ263" s="61"/>
    </row>
    <row r="264" spans="2:43" x14ac:dyDescent="0.25">
      <c r="B264" s="54">
        <v>0.4375</v>
      </c>
      <c r="C264" s="54">
        <v>0.79166666672245101</v>
      </c>
      <c r="D264" s="60"/>
      <c r="E264" s="91">
        <f>SUMMARY!V13</f>
        <v>0</v>
      </c>
      <c r="F264" s="91"/>
      <c r="G264" s="91"/>
      <c r="H264" s="92">
        <f t="shared" si="160"/>
        <v>0</v>
      </c>
      <c r="I264" s="180">
        <f>T$255-T$256</f>
        <v>0</v>
      </c>
      <c r="M264" s="61">
        <f t="shared" si="164"/>
        <v>0</v>
      </c>
      <c r="N264" s="61">
        <f t="shared" si="164"/>
        <v>0</v>
      </c>
      <c r="O264" s="61">
        <f t="shared" si="164"/>
        <v>0</v>
      </c>
      <c r="P264" s="61">
        <f t="shared" si="164"/>
        <v>0</v>
      </c>
      <c r="Q264" s="61">
        <f t="shared" si="164"/>
        <v>0</v>
      </c>
      <c r="R264" s="61">
        <f t="shared" si="164"/>
        <v>0</v>
      </c>
      <c r="S264" s="61">
        <f t="shared" si="164"/>
        <v>0</v>
      </c>
      <c r="T264" s="61">
        <f t="shared" si="164"/>
        <v>0</v>
      </c>
      <c r="U264" s="61">
        <f t="shared" si="164"/>
        <v>0</v>
      </c>
      <c r="V264" s="61">
        <f t="shared" si="164"/>
        <v>0</v>
      </c>
      <c r="W264" s="61">
        <f t="shared" si="165"/>
        <v>0</v>
      </c>
      <c r="X264" s="61">
        <f t="shared" si="165"/>
        <v>0</v>
      </c>
      <c r="Y264" s="61">
        <f t="shared" si="165"/>
        <v>0</v>
      </c>
      <c r="Z264" s="61">
        <f t="shared" si="165"/>
        <v>0</v>
      </c>
      <c r="AA264" s="61">
        <f t="shared" si="165"/>
        <v>0</v>
      </c>
      <c r="AB264" s="61">
        <f t="shared" si="165"/>
        <v>0</v>
      </c>
      <c r="AC264" s="61">
        <f t="shared" si="165"/>
        <v>0</v>
      </c>
      <c r="AD264" s="61">
        <f t="shared" si="165"/>
        <v>0</v>
      </c>
      <c r="AE264" s="61">
        <f t="shared" si="165"/>
        <v>0</v>
      </c>
      <c r="AF264" s="61">
        <f t="shared" si="167"/>
        <v>0</v>
      </c>
      <c r="AG264" s="61">
        <f t="shared" si="169"/>
        <v>0</v>
      </c>
      <c r="AH264" s="61">
        <f t="shared" si="168"/>
        <v>0</v>
      </c>
      <c r="AI264" s="61">
        <f t="shared" si="168"/>
        <v>0</v>
      </c>
      <c r="AJ264" s="61">
        <f t="shared" si="168"/>
        <v>0</v>
      </c>
      <c r="AK264" s="61">
        <f t="shared" si="168"/>
        <v>0</v>
      </c>
      <c r="AL264" s="61">
        <f t="shared" si="168"/>
        <v>0</v>
      </c>
      <c r="AM264" s="61">
        <f t="shared" si="168"/>
        <v>0</v>
      </c>
      <c r="AN264" s="61">
        <f t="shared" si="168"/>
        <v>0</v>
      </c>
      <c r="AO264" s="61">
        <f t="shared" si="168"/>
        <v>0</v>
      </c>
      <c r="AP264" s="61">
        <f t="shared" si="168"/>
        <v>0</v>
      </c>
      <c r="AQ264" s="61"/>
    </row>
    <row r="265" spans="2:43" x14ac:dyDescent="0.25">
      <c r="B265" s="54">
        <v>0.45833333333575865</v>
      </c>
      <c r="C265" s="54">
        <v>0.81250000005820999</v>
      </c>
      <c r="D265" s="60"/>
      <c r="E265" s="91">
        <f>SUMMARY!V14</f>
        <v>0</v>
      </c>
      <c r="F265" s="91"/>
      <c r="G265" s="91"/>
      <c r="H265" s="92">
        <f t="shared" si="160"/>
        <v>0</v>
      </c>
      <c r="I265" s="180">
        <f>U$255-U$256</f>
        <v>0</v>
      </c>
      <c r="M265" s="61">
        <f t="shared" si="164"/>
        <v>0</v>
      </c>
      <c r="N265" s="61">
        <f t="shared" si="164"/>
        <v>0</v>
      </c>
      <c r="O265" s="61">
        <f t="shared" si="164"/>
        <v>0</v>
      </c>
      <c r="P265" s="61">
        <f t="shared" si="164"/>
        <v>0</v>
      </c>
      <c r="Q265" s="61">
        <f t="shared" si="164"/>
        <v>0</v>
      </c>
      <c r="R265" s="61">
        <f t="shared" si="164"/>
        <v>0</v>
      </c>
      <c r="S265" s="61">
        <f t="shared" si="164"/>
        <v>0</v>
      </c>
      <c r="T265" s="61">
        <f t="shared" si="164"/>
        <v>0</v>
      </c>
      <c r="U265" s="61">
        <f t="shared" si="164"/>
        <v>0</v>
      </c>
      <c r="V265" s="61">
        <f t="shared" si="164"/>
        <v>0</v>
      </c>
      <c r="W265" s="61">
        <f t="shared" si="165"/>
        <v>0</v>
      </c>
      <c r="X265" s="61">
        <f t="shared" si="165"/>
        <v>0</v>
      </c>
      <c r="Y265" s="61">
        <f t="shared" si="165"/>
        <v>0</v>
      </c>
      <c r="Z265" s="61">
        <f t="shared" si="165"/>
        <v>0</v>
      </c>
      <c r="AA265" s="61">
        <f t="shared" si="165"/>
        <v>0</v>
      </c>
      <c r="AB265" s="61">
        <f t="shared" si="165"/>
        <v>0</v>
      </c>
      <c r="AC265" s="61">
        <f t="shared" si="165"/>
        <v>0</v>
      </c>
      <c r="AD265" s="61">
        <f t="shared" si="165"/>
        <v>0</v>
      </c>
      <c r="AE265" s="61">
        <f t="shared" si="165"/>
        <v>0</v>
      </c>
      <c r="AF265" s="61">
        <f t="shared" si="167"/>
        <v>0</v>
      </c>
      <c r="AG265" s="61">
        <f t="shared" si="169"/>
        <v>0</v>
      </c>
      <c r="AH265" s="61">
        <f t="shared" si="168"/>
        <v>0</v>
      </c>
      <c r="AI265" s="61">
        <f t="shared" si="168"/>
        <v>0</v>
      </c>
      <c r="AJ265" s="61">
        <f t="shared" si="168"/>
        <v>0</v>
      </c>
      <c r="AK265" s="61">
        <f t="shared" si="168"/>
        <v>0</v>
      </c>
      <c r="AL265" s="61">
        <f t="shared" si="168"/>
        <v>0</v>
      </c>
      <c r="AM265" s="61">
        <f t="shared" si="168"/>
        <v>0</v>
      </c>
      <c r="AN265" s="61">
        <f t="shared" si="168"/>
        <v>0</v>
      </c>
      <c r="AO265" s="61">
        <f t="shared" si="168"/>
        <v>0</v>
      </c>
      <c r="AP265" s="61">
        <f t="shared" si="168"/>
        <v>0</v>
      </c>
      <c r="AQ265" s="61"/>
    </row>
    <row r="266" spans="2:43" x14ac:dyDescent="0.25">
      <c r="B266" s="54">
        <v>0.47916666666424135</v>
      </c>
      <c r="C266" s="54">
        <v>0.83333333339396898</v>
      </c>
      <c r="D266" s="60"/>
      <c r="E266" s="91">
        <f>SUMMARY!V15</f>
        <v>0</v>
      </c>
      <c r="G266" s="91"/>
      <c r="H266" s="92">
        <f t="shared" si="160"/>
        <v>0</v>
      </c>
      <c r="I266" s="180">
        <f>V$255-V$256</f>
        <v>0</v>
      </c>
      <c r="M266" s="61">
        <f t="shared" si="164"/>
        <v>0</v>
      </c>
      <c r="N266" s="61">
        <f t="shared" si="164"/>
        <v>0</v>
      </c>
      <c r="O266" s="61">
        <f t="shared" si="164"/>
        <v>0</v>
      </c>
      <c r="P266" s="61">
        <f t="shared" si="164"/>
        <v>0</v>
      </c>
      <c r="Q266" s="61">
        <f t="shared" si="164"/>
        <v>0</v>
      </c>
      <c r="R266" s="61">
        <f t="shared" si="164"/>
        <v>0</v>
      </c>
      <c r="S266" s="61">
        <f t="shared" si="164"/>
        <v>0</v>
      </c>
      <c r="T266" s="61">
        <f t="shared" si="164"/>
        <v>0</v>
      </c>
      <c r="U266" s="61">
        <f t="shared" si="164"/>
        <v>0</v>
      </c>
      <c r="V266" s="61">
        <f t="shared" si="164"/>
        <v>0</v>
      </c>
      <c r="W266" s="61">
        <f t="shared" si="165"/>
        <v>0</v>
      </c>
      <c r="X266" s="61">
        <f t="shared" si="165"/>
        <v>0</v>
      </c>
      <c r="Y266" s="61">
        <f t="shared" si="165"/>
        <v>0</v>
      </c>
      <c r="Z266" s="61">
        <f t="shared" si="165"/>
        <v>0</v>
      </c>
      <c r="AA266" s="61">
        <f t="shared" si="165"/>
        <v>0</v>
      </c>
      <c r="AB266" s="61">
        <f t="shared" si="165"/>
        <v>0</v>
      </c>
      <c r="AC266" s="61">
        <f t="shared" si="165"/>
        <v>0</v>
      </c>
      <c r="AD266" s="61">
        <f t="shared" si="165"/>
        <v>0</v>
      </c>
      <c r="AE266" s="61">
        <f t="shared" si="165"/>
        <v>0</v>
      </c>
      <c r="AF266" s="61">
        <f t="shared" si="167"/>
        <v>0</v>
      </c>
      <c r="AG266" s="61">
        <f t="shared" si="169"/>
        <v>0</v>
      </c>
      <c r="AH266" s="61">
        <f t="shared" si="168"/>
        <v>0</v>
      </c>
      <c r="AI266" s="61">
        <f t="shared" si="168"/>
        <v>0</v>
      </c>
      <c r="AJ266" s="61">
        <f t="shared" si="168"/>
        <v>0</v>
      </c>
      <c r="AK266" s="61">
        <f t="shared" si="168"/>
        <v>0</v>
      </c>
      <c r="AL266" s="61">
        <f t="shared" si="168"/>
        <v>0</v>
      </c>
      <c r="AM266" s="61">
        <f t="shared" si="168"/>
        <v>0</v>
      </c>
      <c r="AN266" s="61">
        <f t="shared" si="168"/>
        <v>0</v>
      </c>
      <c r="AO266" s="61">
        <f t="shared" si="168"/>
        <v>0</v>
      </c>
      <c r="AP266" s="61">
        <f t="shared" si="168"/>
        <v>0</v>
      </c>
      <c r="AQ266" s="61"/>
    </row>
    <row r="267" spans="2:43" x14ac:dyDescent="0.25">
      <c r="B267" s="54">
        <v>0.5</v>
      </c>
      <c r="C267" s="54">
        <v>0.85416666672972796</v>
      </c>
      <c r="D267" s="60"/>
      <c r="E267" s="91">
        <f>SUMMARY!V16</f>
        <v>0</v>
      </c>
      <c r="G267" s="91"/>
      <c r="H267" s="92">
        <f t="shared" si="160"/>
        <v>0</v>
      </c>
      <c r="I267" s="180">
        <f>W$255-W$256</f>
        <v>0</v>
      </c>
      <c r="M267" s="61">
        <f t="shared" si="164"/>
        <v>0</v>
      </c>
      <c r="N267" s="61">
        <f t="shared" si="164"/>
        <v>0</v>
      </c>
      <c r="O267" s="61">
        <f t="shared" si="164"/>
        <v>0</v>
      </c>
      <c r="P267" s="61">
        <f t="shared" si="164"/>
        <v>0</v>
      </c>
      <c r="Q267" s="61">
        <f t="shared" si="164"/>
        <v>0</v>
      </c>
      <c r="R267" s="61">
        <f t="shared" si="164"/>
        <v>0</v>
      </c>
      <c r="S267" s="61">
        <f t="shared" si="164"/>
        <v>0</v>
      </c>
      <c r="T267" s="61">
        <f t="shared" si="164"/>
        <v>0</v>
      </c>
      <c r="U267" s="61">
        <f t="shared" si="164"/>
        <v>0</v>
      </c>
      <c r="V267" s="61">
        <f t="shared" si="164"/>
        <v>0</v>
      </c>
      <c r="W267" s="61">
        <f t="shared" si="165"/>
        <v>0</v>
      </c>
      <c r="X267" s="61">
        <f t="shared" si="165"/>
        <v>0</v>
      </c>
      <c r="Y267" s="61">
        <f t="shared" si="165"/>
        <v>0</v>
      </c>
      <c r="Z267" s="61">
        <f t="shared" si="165"/>
        <v>0</v>
      </c>
      <c r="AA267" s="61">
        <f t="shared" si="165"/>
        <v>0</v>
      </c>
      <c r="AB267" s="61">
        <f t="shared" si="165"/>
        <v>0</v>
      </c>
      <c r="AC267" s="61">
        <f t="shared" si="165"/>
        <v>0</v>
      </c>
      <c r="AD267" s="61">
        <f t="shared" si="165"/>
        <v>0</v>
      </c>
      <c r="AE267" s="61">
        <f t="shared" si="165"/>
        <v>0</v>
      </c>
      <c r="AF267" s="61">
        <f t="shared" si="167"/>
        <v>0</v>
      </c>
      <c r="AG267" s="61">
        <f t="shared" si="169"/>
        <v>0</v>
      </c>
      <c r="AH267" s="61">
        <f t="shared" si="168"/>
        <v>0</v>
      </c>
      <c r="AI267" s="61">
        <f t="shared" si="168"/>
        <v>0</v>
      </c>
      <c r="AJ267" s="61">
        <f t="shared" si="168"/>
        <v>0</v>
      </c>
      <c r="AK267" s="61">
        <f t="shared" si="168"/>
        <v>0</v>
      </c>
      <c r="AL267" s="61">
        <f t="shared" si="168"/>
        <v>0</v>
      </c>
      <c r="AM267" s="61">
        <f t="shared" si="168"/>
        <v>0</v>
      </c>
      <c r="AN267" s="61">
        <f t="shared" si="168"/>
        <v>0</v>
      </c>
      <c r="AO267" s="61">
        <f t="shared" si="168"/>
        <v>0</v>
      </c>
      <c r="AP267" s="61">
        <f t="shared" si="168"/>
        <v>0</v>
      </c>
      <c r="AQ267" s="61"/>
    </row>
    <row r="268" spans="2:43" x14ac:dyDescent="0.25">
      <c r="B268" s="54">
        <v>0.52083333333575865</v>
      </c>
      <c r="C268" s="54">
        <v>0.87500000006548695</v>
      </c>
      <c r="D268" s="60"/>
      <c r="E268" s="91">
        <f>SUMMARY!V17</f>
        <v>0</v>
      </c>
      <c r="G268" s="91"/>
      <c r="H268" s="92">
        <f t="shared" si="160"/>
        <v>0</v>
      </c>
      <c r="I268" s="180">
        <f>X$255-X$256</f>
        <v>0</v>
      </c>
      <c r="M268" s="61">
        <f t="shared" si="164"/>
        <v>0</v>
      </c>
      <c r="N268" s="61">
        <f t="shared" si="164"/>
        <v>0</v>
      </c>
      <c r="O268" s="61">
        <f t="shared" si="164"/>
        <v>0</v>
      </c>
      <c r="P268" s="61">
        <f t="shared" si="164"/>
        <v>0</v>
      </c>
      <c r="Q268" s="61">
        <f t="shared" si="164"/>
        <v>0</v>
      </c>
      <c r="R268" s="61">
        <f t="shared" si="164"/>
        <v>0</v>
      </c>
      <c r="S268" s="61">
        <f t="shared" si="164"/>
        <v>0</v>
      </c>
      <c r="T268" s="61">
        <f t="shared" si="164"/>
        <v>0</v>
      </c>
      <c r="U268" s="61">
        <f t="shared" si="164"/>
        <v>0</v>
      </c>
      <c r="V268" s="61">
        <f t="shared" si="164"/>
        <v>0</v>
      </c>
      <c r="W268" s="61">
        <f t="shared" si="165"/>
        <v>0</v>
      </c>
      <c r="X268" s="61">
        <f t="shared" si="165"/>
        <v>0</v>
      </c>
      <c r="Y268" s="61">
        <f t="shared" si="165"/>
        <v>0</v>
      </c>
      <c r="Z268" s="61">
        <f t="shared" si="165"/>
        <v>0</v>
      </c>
      <c r="AA268" s="61">
        <f t="shared" si="165"/>
        <v>0</v>
      </c>
      <c r="AB268" s="61">
        <f t="shared" si="165"/>
        <v>0</v>
      </c>
      <c r="AC268" s="61">
        <f t="shared" si="165"/>
        <v>0</v>
      </c>
      <c r="AD268" s="61">
        <f t="shared" si="165"/>
        <v>0</v>
      </c>
      <c r="AE268" s="61">
        <f t="shared" si="165"/>
        <v>0</v>
      </c>
      <c r="AF268" s="61">
        <f t="shared" si="167"/>
        <v>0</v>
      </c>
      <c r="AG268" s="61">
        <f t="shared" si="169"/>
        <v>0</v>
      </c>
      <c r="AH268" s="61">
        <f t="shared" si="168"/>
        <v>0</v>
      </c>
      <c r="AI268" s="61">
        <f t="shared" si="168"/>
        <v>0</v>
      </c>
      <c r="AJ268" s="61">
        <f t="shared" si="168"/>
        <v>0</v>
      </c>
      <c r="AK268" s="61">
        <f t="shared" si="168"/>
        <v>0</v>
      </c>
      <c r="AL268" s="61">
        <f t="shared" si="168"/>
        <v>0</v>
      </c>
      <c r="AM268" s="61">
        <f t="shared" si="168"/>
        <v>0</v>
      </c>
      <c r="AN268" s="61">
        <f t="shared" si="168"/>
        <v>0</v>
      </c>
      <c r="AO268" s="61">
        <f t="shared" si="168"/>
        <v>0</v>
      </c>
      <c r="AP268" s="61">
        <f t="shared" si="168"/>
        <v>0</v>
      </c>
      <c r="AQ268" s="61"/>
    </row>
    <row r="269" spans="2:43" x14ac:dyDescent="0.25">
      <c r="B269" s="54">
        <v>0.54166666666424135</v>
      </c>
      <c r="C269" s="54">
        <v>0.89583333340124605</v>
      </c>
      <c r="D269" s="60"/>
      <c r="E269" s="91">
        <f>SUMMARY!V18</f>
        <v>0</v>
      </c>
      <c r="G269" s="91"/>
      <c r="H269" s="92">
        <f t="shared" si="160"/>
        <v>0</v>
      </c>
      <c r="I269" s="180">
        <f>Y$255-Y$256</f>
        <v>0</v>
      </c>
      <c r="M269" s="61">
        <f t="shared" ref="M269:V278" si="170">IF(AND(M$2&gt;=$B269,M$2&lt;$C269),$E269,0)</f>
        <v>0</v>
      </c>
      <c r="N269" s="61">
        <f t="shared" si="170"/>
        <v>0</v>
      </c>
      <c r="O269" s="61">
        <f t="shared" si="170"/>
        <v>0</v>
      </c>
      <c r="P269" s="61">
        <f t="shared" si="170"/>
        <v>0</v>
      </c>
      <c r="Q269" s="61">
        <f t="shared" si="170"/>
        <v>0</v>
      </c>
      <c r="R269" s="61">
        <f t="shared" si="170"/>
        <v>0</v>
      </c>
      <c r="S269" s="61">
        <f t="shared" si="170"/>
        <v>0</v>
      </c>
      <c r="T269" s="61">
        <f t="shared" si="170"/>
        <v>0</v>
      </c>
      <c r="U269" s="61">
        <f t="shared" si="170"/>
        <v>0</v>
      </c>
      <c r="V269" s="61">
        <f t="shared" si="170"/>
        <v>0</v>
      </c>
      <c r="W269" s="61">
        <f t="shared" ref="W269:AE278" si="171">IF(AND(W$2&gt;=$B269,W$2&lt;$C269),$E269,0)</f>
        <v>0</v>
      </c>
      <c r="X269" s="61">
        <f t="shared" si="171"/>
        <v>0</v>
      </c>
      <c r="Y269" s="61">
        <f t="shared" si="171"/>
        <v>0</v>
      </c>
      <c r="Z269" s="61">
        <f t="shared" si="171"/>
        <v>0</v>
      </c>
      <c r="AA269" s="61">
        <f t="shared" si="171"/>
        <v>0</v>
      </c>
      <c r="AB269" s="61">
        <f t="shared" si="171"/>
        <v>0</v>
      </c>
      <c r="AC269" s="61">
        <f t="shared" si="171"/>
        <v>0</v>
      </c>
      <c r="AD269" s="61">
        <f t="shared" si="171"/>
        <v>0</v>
      </c>
      <c r="AE269" s="61">
        <f t="shared" si="171"/>
        <v>0</v>
      </c>
      <c r="AF269" s="61">
        <f t="shared" si="167"/>
        <v>0</v>
      </c>
      <c r="AG269" s="61">
        <f t="shared" si="169"/>
        <v>0</v>
      </c>
      <c r="AH269" s="61">
        <f t="shared" si="168"/>
        <v>0</v>
      </c>
      <c r="AI269" s="61">
        <f t="shared" si="168"/>
        <v>0</v>
      </c>
      <c r="AJ269" s="61">
        <f t="shared" si="168"/>
        <v>0</v>
      </c>
      <c r="AK269" s="61">
        <f t="shared" si="168"/>
        <v>0</v>
      </c>
      <c r="AL269" s="61">
        <f t="shared" si="168"/>
        <v>0</v>
      </c>
      <c r="AM269" s="61">
        <f t="shared" si="168"/>
        <v>0</v>
      </c>
      <c r="AN269" s="61">
        <f t="shared" si="168"/>
        <v>0</v>
      </c>
      <c r="AO269" s="61">
        <f t="shared" si="168"/>
        <v>0</v>
      </c>
      <c r="AP269" s="61">
        <f t="shared" si="168"/>
        <v>0</v>
      </c>
      <c r="AQ269" s="61"/>
    </row>
    <row r="270" spans="2:43" x14ac:dyDescent="0.25">
      <c r="B270" s="54">
        <v>0.5625</v>
      </c>
      <c r="C270" s="54">
        <v>0.91666666673700503</v>
      </c>
      <c r="D270" s="60"/>
      <c r="E270" s="91">
        <f>SUMMARY!V19</f>
        <v>0</v>
      </c>
      <c r="G270" s="91"/>
      <c r="H270" s="92">
        <f t="shared" si="160"/>
        <v>0</v>
      </c>
      <c r="I270" s="180">
        <f>Z$255-Z$256</f>
        <v>0</v>
      </c>
      <c r="M270" s="61">
        <f t="shared" si="170"/>
        <v>0</v>
      </c>
      <c r="N270" s="61">
        <f t="shared" si="170"/>
        <v>0</v>
      </c>
      <c r="O270" s="61">
        <f t="shared" si="170"/>
        <v>0</v>
      </c>
      <c r="P270" s="61">
        <f t="shared" si="170"/>
        <v>0</v>
      </c>
      <c r="Q270" s="61">
        <f t="shared" si="170"/>
        <v>0</v>
      </c>
      <c r="R270" s="61">
        <f t="shared" si="170"/>
        <v>0</v>
      </c>
      <c r="S270" s="61">
        <f t="shared" si="170"/>
        <v>0</v>
      </c>
      <c r="T270" s="61">
        <f t="shared" si="170"/>
        <v>0</v>
      </c>
      <c r="U270" s="61">
        <f t="shared" si="170"/>
        <v>0</v>
      </c>
      <c r="V270" s="61">
        <f t="shared" si="170"/>
        <v>0</v>
      </c>
      <c r="W270" s="61">
        <f t="shared" si="171"/>
        <v>0</v>
      </c>
      <c r="X270" s="61">
        <f t="shared" si="171"/>
        <v>0</v>
      </c>
      <c r="Y270" s="61">
        <f t="shared" si="171"/>
        <v>0</v>
      </c>
      <c r="Z270" s="61">
        <f t="shared" si="171"/>
        <v>0</v>
      </c>
      <c r="AA270" s="61">
        <f t="shared" si="171"/>
        <v>0</v>
      </c>
      <c r="AB270" s="61">
        <f t="shared" si="171"/>
        <v>0</v>
      </c>
      <c r="AC270" s="61">
        <f t="shared" si="171"/>
        <v>0</v>
      </c>
      <c r="AD270" s="61">
        <f t="shared" si="171"/>
        <v>0</v>
      </c>
      <c r="AE270" s="61">
        <f t="shared" si="171"/>
        <v>0</v>
      </c>
      <c r="AF270" s="61">
        <f t="shared" si="167"/>
        <v>0</v>
      </c>
      <c r="AG270" s="61">
        <f t="shared" si="169"/>
        <v>0</v>
      </c>
      <c r="AH270" s="61">
        <f t="shared" ref="AH270:AP279" si="172">IF(AND(AH$2&gt;=$B270,AH$2&lt;$C270),$E270,0)</f>
        <v>0</v>
      </c>
      <c r="AI270" s="61">
        <f t="shared" si="172"/>
        <v>0</v>
      </c>
      <c r="AJ270" s="61">
        <f t="shared" si="172"/>
        <v>0</v>
      </c>
      <c r="AK270" s="61">
        <f t="shared" si="172"/>
        <v>0</v>
      </c>
      <c r="AL270" s="61">
        <f t="shared" si="172"/>
        <v>0</v>
      </c>
      <c r="AM270" s="61">
        <f t="shared" si="172"/>
        <v>0</v>
      </c>
      <c r="AN270" s="61">
        <f t="shared" si="172"/>
        <v>0</v>
      </c>
      <c r="AO270" s="61">
        <f t="shared" si="172"/>
        <v>0</v>
      </c>
      <c r="AP270" s="61">
        <f t="shared" si="172"/>
        <v>0</v>
      </c>
      <c r="AQ270" s="61"/>
    </row>
    <row r="271" spans="2:43" x14ac:dyDescent="0.25">
      <c r="B271" s="54">
        <v>0.58333333333575899</v>
      </c>
      <c r="C271" s="54">
        <v>0.93750000007276402</v>
      </c>
      <c r="D271" s="60"/>
      <c r="E271" s="91"/>
      <c r="G271" s="91"/>
      <c r="H271" s="92">
        <f t="shared" si="160"/>
        <v>0</v>
      </c>
      <c r="I271" s="180">
        <f>AA$255-AA$256</f>
        <v>0</v>
      </c>
      <c r="M271" s="61">
        <f t="shared" si="170"/>
        <v>0</v>
      </c>
      <c r="N271" s="61">
        <f t="shared" si="170"/>
        <v>0</v>
      </c>
      <c r="O271" s="61">
        <f t="shared" si="170"/>
        <v>0</v>
      </c>
      <c r="P271" s="61">
        <f t="shared" si="170"/>
        <v>0</v>
      </c>
      <c r="Q271" s="61">
        <f t="shared" si="170"/>
        <v>0</v>
      </c>
      <c r="R271" s="61">
        <f t="shared" si="170"/>
        <v>0</v>
      </c>
      <c r="S271" s="61">
        <f t="shared" si="170"/>
        <v>0</v>
      </c>
      <c r="T271" s="61">
        <f t="shared" si="170"/>
        <v>0</v>
      </c>
      <c r="U271" s="61">
        <f t="shared" si="170"/>
        <v>0</v>
      </c>
      <c r="V271" s="61">
        <f t="shared" si="170"/>
        <v>0</v>
      </c>
      <c r="W271" s="61">
        <f t="shared" si="171"/>
        <v>0</v>
      </c>
      <c r="X271" s="61">
        <f t="shared" si="171"/>
        <v>0</v>
      </c>
      <c r="Y271" s="61">
        <f t="shared" si="171"/>
        <v>0</v>
      </c>
      <c r="Z271" s="61">
        <f t="shared" si="171"/>
        <v>0</v>
      </c>
      <c r="AA271" s="61">
        <f t="shared" si="171"/>
        <v>0</v>
      </c>
      <c r="AB271" s="61">
        <f t="shared" si="171"/>
        <v>0</v>
      </c>
      <c r="AC271" s="61">
        <f t="shared" si="171"/>
        <v>0</v>
      </c>
      <c r="AD271" s="61">
        <f t="shared" si="171"/>
        <v>0</v>
      </c>
      <c r="AE271" s="61">
        <f t="shared" si="171"/>
        <v>0</v>
      </c>
      <c r="AF271" s="61">
        <f t="shared" si="167"/>
        <v>0</v>
      </c>
      <c r="AG271" s="61">
        <f t="shared" si="169"/>
        <v>0</v>
      </c>
      <c r="AH271" s="61">
        <f t="shared" si="172"/>
        <v>0</v>
      </c>
      <c r="AI271" s="61">
        <f t="shared" si="172"/>
        <v>0</v>
      </c>
      <c r="AJ271" s="61">
        <f t="shared" si="172"/>
        <v>0</v>
      </c>
      <c r="AK271" s="61">
        <f t="shared" si="172"/>
        <v>0</v>
      </c>
      <c r="AL271" s="61">
        <f t="shared" si="172"/>
        <v>0</v>
      </c>
      <c r="AM271" s="61">
        <f t="shared" si="172"/>
        <v>0</v>
      </c>
      <c r="AN271" s="61">
        <f t="shared" si="172"/>
        <v>0</v>
      </c>
      <c r="AO271" s="61">
        <f t="shared" si="172"/>
        <v>0</v>
      </c>
      <c r="AP271" s="61">
        <f t="shared" si="172"/>
        <v>0</v>
      </c>
      <c r="AQ271" s="61"/>
    </row>
    <row r="272" spans="2:43" x14ac:dyDescent="0.25">
      <c r="B272" s="54">
        <v>0.60416666667151697</v>
      </c>
      <c r="C272" s="54">
        <v>0.958333333408523</v>
      </c>
      <c r="D272" s="60"/>
      <c r="E272" s="91"/>
      <c r="G272" s="91"/>
      <c r="H272" s="92">
        <f t="shared" si="160"/>
        <v>0</v>
      </c>
      <c r="I272" s="180">
        <f>AB$255-AB$256</f>
        <v>0</v>
      </c>
      <c r="M272" s="61">
        <f t="shared" si="170"/>
        <v>0</v>
      </c>
      <c r="N272" s="61">
        <f t="shared" si="170"/>
        <v>0</v>
      </c>
      <c r="O272" s="61">
        <f t="shared" si="170"/>
        <v>0</v>
      </c>
      <c r="P272" s="61">
        <f t="shared" si="170"/>
        <v>0</v>
      </c>
      <c r="Q272" s="61">
        <f t="shared" si="170"/>
        <v>0</v>
      </c>
      <c r="R272" s="61">
        <f t="shared" si="170"/>
        <v>0</v>
      </c>
      <c r="S272" s="61">
        <f t="shared" si="170"/>
        <v>0</v>
      </c>
      <c r="T272" s="61">
        <f t="shared" si="170"/>
        <v>0</v>
      </c>
      <c r="U272" s="61">
        <f t="shared" si="170"/>
        <v>0</v>
      </c>
      <c r="V272" s="61">
        <f t="shared" si="170"/>
        <v>0</v>
      </c>
      <c r="W272" s="61">
        <f t="shared" si="171"/>
        <v>0</v>
      </c>
      <c r="X272" s="61">
        <f t="shared" si="171"/>
        <v>0</v>
      </c>
      <c r="Y272" s="61">
        <f t="shared" si="171"/>
        <v>0</v>
      </c>
      <c r="Z272" s="61">
        <f t="shared" si="171"/>
        <v>0</v>
      </c>
      <c r="AA272" s="61">
        <f t="shared" si="171"/>
        <v>0</v>
      </c>
      <c r="AB272" s="61">
        <f t="shared" si="171"/>
        <v>0</v>
      </c>
      <c r="AC272" s="61">
        <f t="shared" si="171"/>
        <v>0</v>
      </c>
      <c r="AD272" s="61">
        <f t="shared" si="171"/>
        <v>0</v>
      </c>
      <c r="AE272" s="61">
        <f t="shared" si="171"/>
        <v>0</v>
      </c>
      <c r="AF272" s="61">
        <f t="shared" si="167"/>
        <v>0</v>
      </c>
      <c r="AG272" s="61">
        <f t="shared" si="169"/>
        <v>0</v>
      </c>
      <c r="AH272" s="61">
        <f t="shared" si="172"/>
        <v>0</v>
      </c>
      <c r="AI272" s="61">
        <f t="shared" si="172"/>
        <v>0</v>
      </c>
      <c r="AJ272" s="61">
        <f t="shared" si="172"/>
        <v>0</v>
      </c>
      <c r="AK272" s="61">
        <f t="shared" si="172"/>
        <v>0</v>
      </c>
      <c r="AL272" s="61">
        <f t="shared" si="172"/>
        <v>0</v>
      </c>
      <c r="AM272" s="61">
        <f t="shared" si="172"/>
        <v>0</v>
      </c>
      <c r="AN272" s="61">
        <f t="shared" si="172"/>
        <v>0</v>
      </c>
      <c r="AO272" s="61">
        <f t="shared" si="172"/>
        <v>0</v>
      </c>
      <c r="AP272" s="61">
        <f t="shared" si="172"/>
        <v>0</v>
      </c>
      <c r="AQ272" s="61"/>
    </row>
    <row r="273" spans="2:43" x14ac:dyDescent="0.25">
      <c r="B273" s="54">
        <v>0.62500000000727596</v>
      </c>
      <c r="C273" s="54">
        <v>0.97916666674428199</v>
      </c>
      <c r="D273" s="60"/>
      <c r="E273" s="91"/>
      <c r="G273" s="91"/>
      <c r="H273" s="92">
        <f t="shared" si="160"/>
        <v>0</v>
      </c>
      <c r="I273" s="180">
        <f>AC$255-AC$256</f>
        <v>0</v>
      </c>
      <c r="M273" s="61">
        <f t="shared" si="170"/>
        <v>0</v>
      </c>
      <c r="N273" s="61">
        <f t="shared" si="170"/>
        <v>0</v>
      </c>
      <c r="O273" s="61">
        <f t="shared" si="170"/>
        <v>0</v>
      </c>
      <c r="P273" s="61">
        <f t="shared" si="170"/>
        <v>0</v>
      </c>
      <c r="Q273" s="61">
        <f t="shared" si="170"/>
        <v>0</v>
      </c>
      <c r="R273" s="61">
        <f t="shared" si="170"/>
        <v>0</v>
      </c>
      <c r="S273" s="61">
        <f t="shared" si="170"/>
        <v>0</v>
      </c>
      <c r="T273" s="61">
        <f t="shared" si="170"/>
        <v>0</v>
      </c>
      <c r="U273" s="61">
        <f t="shared" si="170"/>
        <v>0</v>
      </c>
      <c r="V273" s="61">
        <f t="shared" si="170"/>
        <v>0</v>
      </c>
      <c r="W273" s="61">
        <f t="shared" si="171"/>
        <v>0</v>
      </c>
      <c r="X273" s="61">
        <f t="shared" si="171"/>
        <v>0</v>
      </c>
      <c r="Y273" s="61">
        <f t="shared" si="171"/>
        <v>0</v>
      </c>
      <c r="Z273" s="61">
        <f t="shared" si="171"/>
        <v>0</v>
      </c>
      <c r="AA273" s="61">
        <f t="shared" si="171"/>
        <v>0</v>
      </c>
      <c r="AB273" s="61">
        <f t="shared" si="171"/>
        <v>0</v>
      </c>
      <c r="AC273" s="61">
        <f t="shared" si="171"/>
        <v>0</v>
      </c>
      <c r="AD273" s="61">
        <f t="shared" si="171"/>
        <v>0</v>
      </c>
      <c r="AE273" s="61">
        <f t="shared" si="171"/>
        <v>0</v>
      </c>
      <c r="AF273" s="61">
        <f t="shared" si="167"/>
        <v>0</v>
      </c>
      <c r="AG273" s="61">
        <f t="shared" si="169"/>
        <v>0</v>
      </c>
      <c r="AH273" s="61">
        <f t="shared" si="172"/>
        <v>0</v>
      </c>
      <c r="AI273" s="61">
        <f t="shared" si="172"/>
        <v>0</v>
      </c>
      <c r="AJ273" s="61">
        <f t="shared" si="172"/>
        <v>0</v>
      </c>
      <c r="AK273" s="61">
        <f t="shared" si="172"/>
        <v>0</v>
      </c>
      <c r="AL273" s="61">
        <f t="shared" si="172"/>
        <v>0</v>
      </c>
      <c r="AM273" s="61">
        <f t="shared" si="172"/>
        <v>0</v>
      </c>
      <c r="AN273" s="61">
        <f t="shared" si="172"/>
        <v>0</v>
      </c>
      <c r="AO273" s="61">
        <f t="shared" si="172"/>
        <v>0</v>
      </c>
      <c r="AP273" s="61">
        <f t="shared" si="172"/>
        <v>0</v>
      </c>
      <c r="AQ273" s="61"/>
    </row>
    <row r="274" spans="2:43" x14ac:dyDescent="0.25">
      <c r="B274" s="54">
        <v>0.64583333334303406</v>
      </c>
      <c r="C274" s="54">
        <v>1.00000000008004</v>
      </c>
      <c r="D274" s="60"/>
      <c r="E274" s="91"/>
      <c r="G274" s="91"/>
      <c r="H274" s="92">
        <f t="shared" si="160"/>
        <v>0</v>
      </c>
      <c r="I274" s="180">
        <f>AD$255-AD$256</f>
        <v>0</v>
      </c>
      <c r="M274" s="61">
        <f t="shared" si="170"/>
        <v>0</v>
      </c>
      <c r="N274" s="61">
        <f t="shared" si="170"/>
        <v>0</v>
      </c>
      <c r="O274" s="61">
        <f t="shared" si="170"/>
        <v>0</v>
      </c>
      <c r="P274" s="61">
        <f t="shared" si="170"/>
        <v>0</v>
      </c>
      <c r="Q274" s="61">
        <f t="shared" si="170"/>
        <v>0</v>
      </c>
      <c r="R274" s="61">
        <f t="shared" si="170"/>
        <v>0</v>
      </c>
      <c r="S274" s="61">
        <f t="shared" si="170"/>
        <v>0</v>
      </c>
      <c r="T274" s="61">
        <f t="shared" si="170"/>
        <v>0</v>
      </c>
      <c r="U274" s="61">
        <f t="shared" si="170"/>
        <v>0</v>
      </c>
      <c r="V274" s="61">
        <f t="shared" si="170"/>
        <v>0</v>
      </c>
      <c r="W274" s="61">
        <f t="shared" si="171"/>
        <v>0</v>
      </c>
      <c r="X274" s="61">
        <f t="shared" si="171"/>
        <v>0</v>
      </c>
      <c r="Y274" s="61">
        <f t="shared" si="171"/>
        <v>0</v>
      </c>
      <c r="Z274" s="61">
        <f t="shared" si="171"/>
        <v>0</v>
      </c>
      <c r="AA274" s="61">
        <f t="shared" si="171"/>
        <v>0</v>
      </c>
      <c r="AB274" s="61">
        <f t="shared" si="171"/>
        <v>0</v>
      </c>
      <c r="AC274" s="61">
        <f t="shared" si="171"/>
        <v>0</v>
      </c>
      <c r="AD274" s="61">
        <f t="shared" si="171"/>
        <v>0</v>
      </c>
      <c r="AE274" s="61">
        <f t="shared" si="171"/>
        <v>0</v>
      </c>
      <c r="AF274" s="61">
        <f t="shared" si="167"/>
        <v>0</v>
      </c>
      <c r="AG274" s="61">
        <f t="shared" si="169"/>
        <v>0</v>
      </c>
      <c r="AH274" s="61">
        <f t="shared" si="172"/>
        <v>0</v>
      </c>
      <c r="AI274" s="61">
        <f t="shared" si="172"/>
        <v>0</v>
      </c>
      <c r="AJ274" s="61">
        <f t="shared" si="172"/>
        <v>0</v>
      </c>
      <c r="AK274" s="61">
        <f t="shared" si="172"/>
        <v>0</v>
      </c>
      <c r="AL274" s="61">
        <f t="shared" si="172"/>
        <v>0</v>
      </c>
      <c r="AM274" s="61">
        <f t="shared" si="172"/>
        <v>0</v>
      </c>
      <c r="AN274" s="61">
        <f t="shared" si="172"/>
        <v>0</v>
      </c>
      <c r="AO274" s="61">
        <f t="shared" si="172"/>
        <v>0</v>
      </c>
      <c r="AP274" s="61">
        <f t="shared" si="172"/>
        <v>0</v>
      </c>
      <c r="AQ274" s="61"/>
    </row>
    <row r="275" spans="2:43" x14ac:dyDescent="0.25">
      <c r="B275" s="54">
        <v>0.66666666667879304</v>
      </c>
      <c r="C275" s="54">
        <v>1.0208333334158</v>
      </c>
      <c r="D275" s="60"/>
      <c r="E275" s="91"/>
      <c r="G275" s="91"/>
      <c r="H275" s="92">
        <f t="shared" si="160"/>
        <v>0</v>
      </c>
      <c r="I275" s="180">
        <f>AE$255-AE$256</f>
        <v>0</v>
      </c>
      <c r="M275" s="61">
        <f t="shared" si="170"/>
        <v>0</v>
      </c>
      <c r="N275" s="61">
        <f t="shared" si="170"/>
        <v>0</v>
      </c>
      <c r="O275" s="61">
        <f t="shared" si="170"/>
        <v>0</v>
      </c>
      <c r="P275" s="61">
        <f t="shared" si="170"/>
        <v>0</v>
      </c>
      <c r="Q275" s="61">
        <f t="shared" si="170"/>
        <v>0</v>
      </c>
      <c r="R275" s="61">
        <f t="shared" si="170"/>
        <v>0</v>
      </c>
      <c r="S275" s="61">
        <f t="shared" si="170"/>
        <v>0</v>
      </c>
      <c r="T275" s="61">
        <f t="shared" si="170"/>
        <v>0</v>
      </c>
      <c r="U275" s="61">
        <f t="shared" si="170"/>
        <v>0</v>
      </c>
      <c r="V275" s="61">
        <f t="shared" si="170"/>
        <v>0</v>
      </c>
      <c r="W275" s="61">
        <f t="shared" si="171"/>
        <v>0</v>
      </c>
      <c r="X275" s="61">
        <f t="shared" si="171"/>
        <v>0</v>
      </c>
      <c r="Y275" s="61">
        <f t="shared" si="171"/>
        <v>0</v>
      </c>
      <c r="Z275" s="61">
        <f t="shared" si="171"/>
        <v>0</v>
      </c>
      <c r="AA275" s="61">
        <f t="shared" si="171"/>
        <v>0</v>
      </c>
      <c r="AB275" s="61">
        <f t="shared" si="171"/>
        <v>0</v>
      </c>
      <c r="AC275" s="61">
        <f t="shared" si="171"/>
        <v>0</v>
      </c>
      <c r="AD275" s="61">
        <f t="shared" si="171"/>
        <v>0</v>
      </c>
      <c r="AE275" s="61">
        <f t="shared" si="171"/>
        <v>0</v>
      </c>
      <c r="AF275" s="61">
        <f t="shared" si="167"/>
        <v>0</v>
      </c>
      <c r="AG275" s="61">
        <f t="shared" si="169"/>
        <v>0</v>
      </c>
      <c r="AH275" s="61">
        <f t="shared" si="172"/>
        <v>0</v>
      </c>
      <c r="AI275" s="61">
        <f t="shared" si="172"/>
        <v>0</v>
      </c>
      <c r="AJ275" s="61">
        <f t="shared" si="172"/>
        <v>0</v>
      </c>
      <c r="AK275" s="61">
        <f t="shared" si="172"/>
        <v>0</v>
      </c>
      <c r="AL275" s="61">
        <f t="shared" si="172"/>
        <v>0</v>
      </c>
      <c r="AM275" s="61">
        <f t="shared" si="172"/>
        <v>0</v>
      </c>
      <c r="AN275" s="61">
        <f t="shared" si="172"/>
        <v>0</v>
      </c>
      <c r="AO275" s="61">
        <f t="shared" si="172"/>
        <v>0</v>
      </c>
      <c r="AP275" s="61">
        <f t="shared" si="172"/>
        <v>0</v>
      </c>
      <c r="AQ275" s="61"/>
    </row>
    <row r="276" spans="2:43" x14ac:dyDescent="0.25">
      <c r="B276" s="54">
        <v>0.68750000001455203</v>
      </c>
      <c r="C276" s="54">
        <v>1.0416666667515599</v>
      </c>
      <c r="D276" s="60"/>
      <c r="E276" s="91"/>
      <c r="G276" s="91"/>
      <c r="H276" s="92">
        <f t="shared" si="160"/>
        <v>0</v>
      </c>
      <c r="I276" s="180">
        <f>AF$255-AF$256</f>
        <v>0</v>
      </c>
      <c r="M276" s="61">
        <f t="shared" si="170"/>
        <v>0</v>
      </c>
      <c r="N276" s="61">
        <f t="shared" si="170"/>
        <v>0</v>
      </c>
      <c r="O276" s="61">
        <f t="shared" si="170"/>
        <v>0</v>
      </c>
      <c r="P276" s="61">
        <f t="shared" si="170"/>
        <v>0</v>
      </c>
      <c r="Q276" s="61">
        <f t="shared" si="170"/>
        <v>0</v>
      </c>
      <c r="R276" s="61">
        <f t="shared" si="170"/>
        <v>0</v>
      </c>
      <c r="S276" s="61">
        <f t="shared" si="170"/>
        <v>0</v>
      </c>
      <c r="T276" s="61">
        <f t="shared" si="170"/>
        <v>0</v>
      </c>
      <c r="U276" s="61">
        <f t="shared" si="170"/>
        <v>0</v>
      </c>
      <c r="V276" s="61">
        <f t="shared" si="170"/>
        <v>0</v>
      </c>
      <c r="W276" s="61">
        <f t="shared" si="171"/>
        <v>0</v>
      </c>
      <c r="X276" s="61">
        <f t="shared" si="171"/>
        <v>0</v>
      </c>
      <c r="Y276" s="61">
        <f t="shared" si="171"/>
        <v>0</v>
      </c>
      <c r="Z276" s="61">
        <f t="shared" si="171"/>
        <v>0</v>
      </c>
      <c r="AA276" s="61">
        <f t="shared" si="171"/>
        <v>0</v>
      </c>
      <c r="AB276" s="61">
        <f t="shared" si="171"/>
        <v>0</v>
      </c>
      <c r="AC276" s="61">
        <f t="shared" si="171"/>
        <v>0</v>
      </c>
      <c r="AD276" s="61">
        <f t="shared" si="171"/>
        <v>0</v>
      </c>
      <c r="AE276" s="61">
        <f t="shared" si="171"/>
        <v>0</v>
      </c>
      <c r="AF276" s="61">
        <f t="shared" si="167"/>
        <v>0</v>
      </c>
      <c r="AG276" s="61">
        <f t="shared" si="169"/>
        <v>0</v>
      </c>
      <c r="AH276" s="61">
        <f t="shared" si="172"/>
        <v>0</v>
      </c>
      <c r="AI276" s="61">
        <f t="shared" si="172"/>
        <v>0</v>
      </c>
      <c r="AJ276" s="61">
        <f t="shared" si="172"/>
        <v>0</v>
      </c>
      <c r="AK276" s="61">
        <f t="shared" si="172"/>
        <v>0</v>
      </c>
      <c r="AL276" s="61">
        <f t="shared" si="172"/>
        <v>0</v>
      </c>
      <c r="AM276" s="61">
        <f t="shared" si="172"/>
        <v>0</v>
      </c>
      <c r="AN276" s="61">
        <f t="shared" si="172"/>
        <v>0</v>
      </c>
      <c r="AO276" s="61">
        <f t="shared" si="172"/>
        <v>0</v>
      </c>
      <c r="AP276" s="61">
        <f t="shared" si="172"/>
        <v>0</v>
      </c>
      <c r="AQ276" s="61"/>
    </row>
    <row r="277" spans="2:43" x14ac:dyDescent="0.25">
      <c r="B277" s="54">
        <v>0.70833333335031001</v>
      </c>
      <c r="C277" s="54">
        <v>1.0625000000873199</v>
      </c>
      <c r="D277" s="60"/>
      <c r="E277" s="91"/>
      <c r="G277" s="91"/>
      <c r="H277" s="92">
        <f t="shared" si="160"/>
        <v>0</v>
      </c>
      <c r="I277" s="180">
        <f>AG$255-AG$256</f>
        <v>0</v>
      </c>
      <c r="M277" s="61">
        <f t="shared" si="170"/>
        <v>0</v>
      </c>
      <c r="N277" s="61">
        <f t="shared" si="170"/>
        <v>0</v>
      </c>
      <c r="O277" s="61">
        <f t="shared" si="170"/>
        <v>0</v>
      </c>
      <c r="P277" s="61">
        <f t="shared" si="170"/>
        <v>0</v>
      </c>
      <c r="Q277" s="61">
        <f t="shared" si="170"/>
        <v>0</v>
      </c>
      <c r="R277" s="61">
        <f t="shared" si="170"/>
        <v>0</v>
      </c>
      <c r="S277" s="61">
        <f t="shared" si="170"/>
        <v>0</v>
      </c>
      <c r="T277" s="61">
        <f t="shared" si="170"/>
        <v>0</v>
      </c>
      <c r="U277" s="61">
        <f t="shared" si="170"/>
        <v>0</v>
      </c>
      <c r="V277" s="61">
        <f t="shared" si="170"/>
        <v>0</v>
      </c>
      <c r="W277" s="61">
        <f t="shared" si="171"/>
        <v>0</v>
      </c>
      <c r="X277" s="61">
        <f t="shared" si="171"/>
        <v>0</v>
      </c>
      <c r="Y277" s="61">
        <f t="shared" si="171"/>
        <v>0</v>
      </c>
      <c r="Z277" s="61">
        <f t="shared" si="171"/>
        <v>0</v>
      </c>
      <c r="AA277" s="61">
        <f t="shared" si="171"/>
        <v>0</v>
      </c>
      <c r="AB277" s="61">
        <f t="shared" si="171"/>
        <v>0</v>
      </c>
      <c r="AC277" s="61">
        <f t="shared" si="171"/>
        <v>0</v>
      </c>
      <c r="AD277" s="61">
        <f t="shared" si="171"/>
        <v>0</v>
      </c>
      <c r="AE277" s="61">
        <f t="shared" si="171"/>
        <v>0</v>
      </c>
      <c r="AF277" s="61">
        <f t="shared" si="167"/>
        <v>0</v>
      </c>
      <c r="AG277" s="61">
        <f t="shared" si="169"/>
        <v>0</v>
      </c>
      <c r="AH277" s="61">
        <f t="shared" si="172"/>
        <v>0</v>
      </c>
      <c r="AI277" s="61">
        <f t="shared" si="172"/>
        <v>0</v>
      </c>
      <c r="AJ277" s="61">
        <f t="shared" si="172"/>
        <v>0</v>
      </c>
      <c r="AK277" s="61">
        <f t="shared" si="172"/>
        <v>0</v>
      </c>
      <c r="AL277" s="61">
        <f t="shared" si="172"/>
        <v>0</v>
      </c>
      <c r="AM277" s="61">
        <f t="shared" si="172"/>
        <v>0</v>
      </c>
      <c r="AN277" s="61">
        <f t="shared" si="172"/>
        <v>0</v>
      </c>
      <c r="AO277" s="61">
        <f t="shared" si="172"/>
        <v>0</v>
      </c>
      <c r="AP277" s="61">
        <f t="shared" si="172"/>
        <v>0</v>
      </c>
      <c r="AQ277" s="61"/>
    </row>
    <row r="278" spans="2:43" x14ac:dyDescent="0.25">
      <c r="B278" s="54">
        <v>0.729166666686069</v>
      </c>
      <c r="C278" s="54">
        <v>1.0833333334230799</v>
      </c>
      <c r="D278" s="60"/>
      <c r="E278" s="91"/>
      <c r="G278" s="91"/>
      <c r="H278" s="92">
        <f t="shared" si="160"/>
        <v>0</v>
      </c>
      <c r="I278" s="180">
        <f>AH$255-AH$256</f>
        <v>0</v>
      </c>
      <c r="M278" s="61">
        <f t="shared" si="170"/>
        <v>0</v>
      </c>
      <c r="N278" s="61">
        <f t="shared" si="170"/>
        <v>0</v>
      </c>
      <c r="O278" s="61">
        <f t="shared" si="170"/>
        <v>0</v>
      </c>
      <c r="P278" s="61">
        <f t="shared" si="170"/>
        <v>0</v>
      </c>
      <c r="Q278" s="61">
        <f t="shared" si="170"/>
        <v>0</v>
      </c>
      <c r="R278" s="61">
        <f t="shared" si="170"/>
        <v>0</v>
      </c>
      <c r="S278" s="61">
        <f t="shared" si="170"/>
        <v>0</v>
      </c>
      <c r="T278" s="61">
        <f t="shared" si="170"/>
        <v>0</v>
      </c>
      <c r="U278" s="61">
        <f t="shared" si="170"/>
        <v>0</v>
      </c>
      <c r="V278" s="61">
        <f t="shared" si="170"/>
        <v>0</v>
      </c>
      <c r="W278" s="61">
        <f t="shared" si="171"/>
        <v>0</v>
      </c>
      <c r="X278" s="61">
        <f t="shared" si="171"/>
        <v>0</v>
      </c>
      <c r="Y278" s="61">
        <f t="shared" si="171"/>
        <v>0</v>
      </c>
      <c r="Z278" s="61">
        <f t="shared" si="171"/>
        <v>0</v>
      </c>
      <c r="AA278" s="61">
        <f t="shared" si="171"/>
        <v>0</v>
      </c>
      <c r="AB278" s="61">
        <f t="shared" si="171"/>
        <v>0</v>
      </c>
      <c r="AC278" s="61">
        <f t="shared" si="171"/>
        <v>0</v>
      </c>
      <c r="AD278" s="61">
        <f t="shared" si="171"/>
        <v>0</v>
      </c>
      <c r="AE278" s="61">
        <f t="shared" si="171"/>
        <v>0</v>
      </c>
      <c r="AF278" s="61">
        <f t="shared" si="167"/>
        <v>0</v>
      </c>
      <c r="AG278" s="61">
        <f t="shared" si="169"/>
        <v>0</v>
      </c>
      <c r="AH278" s="61">
        <f t="shared" si="172"/>
        <v>0</v>
      </c>
      <c r="AI278" s="61">
        <f t="shared" si="172"/>
        <v>0</v>
      </c>
      <c r="AJ278" s="61">
        <f t="shared" si="172"/>
        <v>0</v>
      </c>
      <c r="AK278" s="61">
        <f t="shared" si="172"/>
        <v>0</v>
      </c>
      <c r="AL278" s="61">
        <f t="shared" si="172"/>
        <v>0</v>
      </c>
      <c r="AM278" s="61">
        <f t="shared" si="172"/>
        <v>0</v>
      </c>
      <c r="AN278" s="61">
        <f t="shared" si="172"/>
        <v>0</v>
      </c>
      <c r="AO278" s="61">
        <f t="shared" si="172"/>
        <v>0</v>
      </c>
      <c r="AP278" s="61">
        <f t="shared" si="172"/>
        <v>0</v>
      </c>
      <c r="AQ278" s="61"/>
    </row>
    <row r="279" spans="2:43" x14ac:dyDescent="0.25">
      <c r="B279" s="54">
        <v>0.75000000002182798</v>
      </c>
      <c r="C279" s="54">
        <v>1.1041666667588399</v>
      </c>
      <c r="D279" s="60"/>
      <c r="E279" s="91"/>
      <c r="G279" s="91"/>
      <c r="H279" s="92">
        <f t="shared" si="160"/>
        <v>0</v>
      </c>
      <c r="I279" s="180">
        <f>AI$255-AI$256</f>
        <v>0</v>
      </c>
      <c r="M279" s="61">
        <f t="shared" ref="M279:V286" si="173">IF(AND(M$2&gt;=$B279,M$2&lt;$C279),$E279,0)</f>
        <v>0</v>
      </c>
      <c r="N279" s="61">
        <f t="shared" si="173"/>
        <v>0</v>
      </c>
      <c r="O279" s="61">
        <f t="shared" si="173"/>
        <v>0</v>
      </c>
      <c r="P279" s="61">
        <f t="shared" si="173"/>
        <v>0</v>
      </c>
      <c r="Q279" s="61">
        <f t="shared" si="173"/>
        <v>0</v>
      </c>
      <c r="R279" s="61">
        <f t="shared" si="173"/>
        <v>0</v>
      </c>
      <c r="S279" s="61">
        <f t="shared" si="173"/>
        <v>0</v>
      </c>
      <c r="T279" s="61">
        <f t="shared" si="173"/>
        <v>0</v>
      </c>
      <c r="U279" s="61">
        <f t="shared" si="173"/>
        <v>0</v>
      </c>
      <c r="V279" s="61">
        <f t="shared" si="173"/>
        <v>0</v>
      </c>
      <c r="W279" s="61">
        <f t="shared" ref="W279:AE286" si="174">IF(AND(W$2&gt;=$B279,W$2&lt;$C279),$E279,0)</f>
        <v>0</v>
      </c>
      <c r="X279" s="61">
        <f t="shared" si="174"/>
        <v>0</v>
      </c>
      <c r="Y279" s="61">
        <f t="shared" si="174"/>
        <v>0</v>
      </c>
      <c r="Z279" s="61">
        <f t="shared" si="174"/>
        <v>0</v>
      </c>
      <c r="AA279" s="61">
        <f t="shared" si="174"/>
        <v>0</v>
      </c>
      <c r="AB279" s="61">
        <f t="shared" si="174"/>
        <v>0</v>
      </c>
      <c r="AC279" s="61">
        <f t="shared" si="174"/>
        <v>0</v>
      </c>
      <c r="AD279" s="61">
        <f t="shared" si="174"/>
        <v>0</v>
      </c>
      <c r="AE279" s="61">
        <f t="shared" si="174"/>
        <v>0</v>
      </c>
      <c r="AF279" s="61">
        <f t="shared" si="167"/>
        <v>0</v>
      </c>
      <c r="AG279" s="61">
        <f t="shared" si="169"/>
        <v>0</v>
      </c>
      <c r="AH279" s="61">
        <f t="shared" si="172"/>
        <v>0</v>
      </c>
      <c r="AI279" s="61">
        <f t="shared" si="172"/>
        <v>0</v>
      </c>
      <c r="AJ279" s="61">
        <f t="shared" si="172"/>
        <v>0</v>
      </c>
      <c r="AK279" s="61">
        <f t="shared" si="172"/>
        <v>0</v>
      </c>
      <c r="AL279" s="61">
        <f t="shared" si="172"/>
        <v>0</v>
      </c>
      <c r="AM279" s="61">
        <f t="shared" si="172"/>
        <v>0</v>
      </c>
      <c r="AN279" s="61">
        <f t="shared" si="172"/>
        <v>0</v>
      </c>
      <c r="AO279" s="61">
        <f t="shared" si="172"/>
        <v>0</v>
      </c>
      <c r="AP279" s="61">
        <f t="shared" si="172"/>
        <v>0</v>
      </c>
      <c r="AQ279" s="61"/>
    </row>
    <row r="280" spans="2:43" x14ac:dyDescent="0.25">
      <c r="B280" s="54">
        <v>0.77083333335758597</v>
      </c>
      <c r="C280" s="54">
        <v>1.1250000000945899</v>
      </c>
      <c r="D280" s="60"/>
      <c r="E280" s="91"/>
      <c r="G280" s="91"/>
      <c r="H280" s="92">
        <f t="shared" si="160"/>
        <v>0</v>
      </c>
      <c r="I280" s="180">
        <f>AJ$255-AJ$256</f>
        <v>0</v>
      </c>
      <c r="M280" s="61">
        <f t="shared" si="173"/>
        <v>0</v>
      </c>
      <c r="N280" s="61">
        <f t="shared" si="173"/>
        <v>0</v>
      </c>
      <c r="O280" s="61">
        <f t="shared" si="173"/>
        <v>0</v>
      </c>
      <c r="P280" s="61">
        <f t="shared" si="173"/>
        <v>0</v>
      </c>
      <c r="Q280" s="61">
        <f t="shared" si="173"/>
        <v>0</v>
      </c>
      <c r="R280" s="61">
        <f t="shared" si="173"/>
        <v>0</v>
      </c>
      <c r="S280" s="61">
        <f t="shared" si="173"/>
        <v>0</v>
      </c>
      <c r="T280" s="61">
        <f t="shared" si="173"/>
        <v>0</v>
      </c>
      <c r="U280" s="61">
        <f t="shared" si="173"/>
        <v>0</v>
      </c>
      <c r="V280" s="61">
        <f t="shared" si="173"/>
        <v>0</v>
      </c>
      <c r="W280" s="61">
        <f t="shared" si="174"/>
        <v>0</v>
      </c>
      <c r="X280" s="61">
        <f t="shared" si="174"/>
        <v>0</v>
      </c>
      <c r="Y280" s="61">
        <f t="shared" si="174"/>
        <v>0</v>
      </c>
      <c r="Z280" s="61">
        <f t="shared" si="174"/>
        <v>0</v>
      </c>
      <c r="AA280" s="61">
        <f t="shared" si="174"/>
        <v>0</v>
      </c>
      <c r="AB280" s="61">
        <f t="shared" si="174"/>
        <v>0</v>
      </c>
      <c r="AC280" s="61">
        <f t="shared" si="174"/>
        <v>0</v>
      </c>
      <c r="AD280" s="61">
        <f t="shared" si="174"/>
        <v>0</v>
      </c>
      <c r="AE280" s="61">
        <f t="shared" si="174"/>
        <v>0</v>
      </c>
      <c r="AF280" s="61">
        <f t="shared" si="167"/>
        <v>0</v>
      </c>
      <c r="AG280" s="61">
        <f t="shared" si="169"/>
        <v>0</v>
      </c>
      <c r="AH280" s="61">
        <f t="shared" ref="AH280:AP286" si="175">IF(AND(AH$2&gt;=$B280,AH$2&lt;$C280),$E280,0)</f>
        <v>0</v>
      </c>
      <c r="AI280" s="61">
        <f t="shared" si="175"/>
        <v>0</v>
      </c>
      <c r="AJ280" s="61">
        <f t="shared" si="175"/>
        <v>0</v>
      </c>
      <c r="AK280" s="61">
        <f t="shared" si="175"/>
        <v>0</v>
      </c>
      <c r="AL280" s="61">
        <f t="shared" si="175"/>
        <v>0</v>
      </c>
      <c r="AM280" s="61">
        <f t="shared" si="175"/>
        <v>0</v>
      </c>
      <c r="AN280" s="61">
        <f t="shared" si="175"/>
        <v>0</v>
      </c>
      <c r="AO280" s="61">
        <f t="shared" si="175"/>
        <v>0</v>
      </c>
      <c r="AP280" s="61">
        <f t="shared" si="175"/>
        <v>0</v>
      </c>
      <c r="AQ280" s="61"/>
    </row>
    <row r="281" spans="2:43" x14ac:dyDescent="0.25">
      <c r="B281" s="54">
        <v>0.79166666669334496</v>
      </c>
      <c r="C281" s="54">
        <v>1.1458333334303501</v>
      </c>
      <c r="D281" s="60"/>
      <c r="E281" s="91"/>
      <c r="G281" s="91"/>
      <c r="H281" s="92">
        <f t="shared" si="160"/>
        <v>0</v>
      </c>
      <c r="I281" s="180">
        <f>AK$255-AK$256</f>
        <v>0</v>
      </c>
      <c r="M281" s="61">
        <f t="shared" si="173"/>
        <v>0</v>
      </c>
      <c r="N281" s="61">
        <f t="shared" si="173"/>
        <v>0</v>
      </c>
      <c r="O281" s="61">
        <f t="shared" si="173"/>
        <v>0</v>
      </c>
      <c r="P281" s="61">
        <f t="shared" si="173"/>
        <v>0</v>
      </c>
      <c r="Q281" s="61">
        <f t="shared" si="173"/>
        <v>0</v>
      </c>
      <c r="R281" s="61">
        <f t="shared" si="173"/>
        <v>0</v>
      </c>
      <c r="S281" s="61">
        <f t="shared" si="173"/>
        <v>0</v>
      </c>
      <c r="T281" s="61">
        <f t="shared" si="173"/>
        <v>0</v>
      </c>
      <c r="U281" s="61">
        <f t="shared" si="173"/>
        <v>0</v>
      </c>
      <c r="V281" s="61">
        <f t="shared" si="173"/>
        <v>0</v>
      </c>
      <c r="W281" s="61">
        <f t="shared" si="174"/>
        <v>0</v>
      </c>
      <c r="X281" s="61">
        <f t="shared" si="174"/>
        <v>0</v>
      </c>
      <c r="Y281" s="61">
        <f t="shared" si="174"/>
        <v>0</v>
      </c>
      <c r="Z281" s="61">
        <f t="shared" si="174"/>
        <v>0</v>
      </c>
      <c r="AA281" s="61">
        <f t="shared" si="174"/>
        <v>0</v>
      </c>
      <c r="AB281" s="61">
        <f t="shared" si="174"/>
        <v>0</v>
      </c>
      <c r="AC281" s="61">
        <f t="shared" si="174"/>
        <v>0</v>
      </c>
      <c r="AD281" s="61">
        <f t="shared" si="174"/>
        <v>0</v>
      </c>
      <c r="AE281" s="61">
        <f t="shared" si="174"/>
        <v>0</v>
      </c>
      <c r="AF281" s="61">
        <f t="shared" si="167"/>
        <v>0</v>
      </c>
      <c r="AG281" s="61">
        <f t="shared" si="169"/>
        <v>0</v>
      </c>
      <c r="AH281" s="61">
        <f t="shared" si="175"/>
        <v>0</v>
      </c>
      <c r="AI281" s="61">
        <f t="shared" si="175"/>
        <v>0</v>
      </c>
      <c r="AJ281" s="61">
        <f t="shared" si="175"/>
        <v>0</v>
      </c>
      <c r="AK281" s="61">
        <f t="shared" si="175"/>
        <v>0</v>
      </c>
      <c r="AL281" s="61">
        <f t="shared" si="175"/>
        <v>0</v>
      </c>
      <c r="AM281" s="61">
        <f t="shared" si="175"/>
        <v>0</v>
      </c>
      <c r="AN281" s="61">
        <f t="shared" si="175"/>
        <v>0</v>
      </c>
      <c r="AO281" s="61">
        <f t="shared" si="175"/>
        <v>0</v>
      </c>
      <c r="AP281" s="61">
        <f t="shared" si="175"/>
        <v>0</v>
      </c>
      <c r="AQ281" s="61"/>
    </row>
    <row r="282" spans="2:43" x14ac:dyDescent="0.25">
      <c r="B282" s="54">
        <v>0.81250000002910305</v>
      </c>
      <c r="C282" s="54">
        <v>1.1666666667661101</v>
      </c>
      <c r="D282" s="60"/>
      <c r="E282" s="91"/>
      <c r="G282" s="91"/>
      <c r="H282" s="92">
        <f t="shared" si="160"/>
        <v>0</v>
      </c>
      <c r="I282" s="180">
        <f>AL$255-AL$256</f>
        <v>0</v>
      </c>
      <c r="M282" s="61">
        <f t="shared" si="173"/>
        <v>0</v>
      </c>
      <c r="N282" s="61">
        <f t="shared" si="173"/>
        <v>0</v>
      </c>
      <c r="O282" s="61">
        <f t="shared" si="173"/>
        <v>0</v>
      </c>
      <c r="P282" s="61">
        <f t="shared" si="173"/>
        <v>0</v>
      </c>
      <c r="Q282" s="61">
        <f t="shared" si="173"/>
        <v>0</v>
      </c>
      <c r="R282" s="61">
        <f t="shared" si="173"/>
        <v>0</v>
      </c>
      <c r="S282" s="61">
        <f t="shared" si="173"/>
        <v>0</v>
      </c>
      <c r="T282" s="61">
        <f t="shared" si="173"/>
        <v>0</v>
      </c>
      <c r="U282" s="61">
        <f t="shared" si="173"/>
        <v>0</v>
      </c>
      <c r="V282" s="61">
        <f t="shared" si="173"/>
        <v>0</v>
      </c>
      <c r="W282" s="61">
        <f t="shared" si="174"/>
        <v>0</v>
      </c>
      <c r="X282" s="61">
        <f t="shared" si="174"/>
        <v>0</v>
      </c>
      <c r="Y282" s="61">
        <f t="shared" si="174"/>
        <v>0</v>
      </c>
      <c r="Z282" s="61">
        <f t="shared" si="174"/>
        <v>0</v>
      </c>
      <c r="AA282" s="61">
        <f t="shared" si="174"/>
        <v>0</v>
      </c>
      <c r="AB282" s="61">
        <f t="shared" si="174"/>
        <v>0</v>
      </c>
      <c r="AC282" s="61">
        <f t="shared" si="174"/>
        <v>0</v>
      </c>
      <c r="AD282" s="61">
        <f t="shared" si="174"/>
        <v>0</v>
      </c>
      <c r="AE282" s="61">
        <f t="shared" si="174"/>
        <v>0</v>
      </c>
      <c r="AF282" s="61">
        <f t="shared" si="167"/>
        <v>0</v>
      </c>
      <c r="AG282" s="61">
        <f t="shared" si="169"/>
        <v>0</v>
      </c>
      <c r="AH282" s="61">
        <f t="shared" si="175"/>
        <v>0</v>
      </c>
      <c r="AI282" s="61">
        <f t="shared" si="175"/>
        <v>0</v>
      </c>
      <c r="AJ282" s="61">
        <f t="shared" si="175"/>
        <v>0</v>
      </c>
      <c r="AK282" s="61">
        <f t="shared" si="175"/>
        <v>0</v>
      </c>
      <c r="AL282" s="61">
        <f t="shared" si="175"/>
        <v>0</v>
      </c>
      <c r="AM282" s="61">
        <f t="shared" si="175"/>
        <v>0</v>
      </c>
      <c r="AN282" s="61">
        <f t="shared" si="175"/>
        <v>0</v>
      </c>
      <c r="AO282" s="61">
        <f t="shared" si="175"/>
        <v>0</v>
      </c>
      <c r="AP282" s="61">
        <f t="shared" si="175"/>
        <v>0</v>
      </c>
      <c r="AQ282" s="61"/>
    </row>
    <row r="283" spans="2:43" x14ac:dyDescent="0.25">
      <c r="B283" s="54">
        <v>0.83333333336486204</v>
      </c>
      <c r="C283" s="54">
        <v>1.1875000001018701</v>
      </c>
      <c r="D283" s="60"/>
      <c r="E283" s="91"/>
      <c r="G283" s="91"/>
      <c r="H283" s="92">
        <f t="shared" si="160"/>
        <v>0</v>
      </c>
      <c r="I283" s="180">
        <f>AM$255-AM$256</f>
        <v>0</v>
      </c>
      <c r="M283" s="61">
        <f t="shared" si="173"/>
        <v>0</v>
      </c>
      <c r="N283" s="61">
        <f t="shared" si="173"/>
        <v>0</v>
      </c>
      <c r="O283" s="61">
        <f t="shared" si="173"/>
        <v>0</v>
      </c>
      <c r="P283" s="61">
        <f t="shared" si="173"/>
        <v>0</v>
      </c>
      <c r="Q283" s="61">
        <f t="shared" si="173"/>
        <v>0</v>
      </c>
      <c r="R283" s="61">
        <f t="shared" si="173"/>
        <v>0</v>
      </c>
      <c r="S283" s="61">
        <f t="shared" si="173"/>
        <v>0</v>
      </c>
      <c r="T283" s="61">
        <f t="shared" si="173"/>
        <v>0</v>
      </c>
      <c r="U283" s="61">
        <f t="shared" si="173"/>
        <v>0</v>
      </c>
      <c r="V283" s="61">
        <f t="shared" si="173"/>
        <v>0</v>
      </c>
      <c r="W283" s="61">
        <f t="shared" si="174"/>
        <v>0</v>
      </c>
      <c r="X283" s="61">
        <f t="shared" si="174"/>
        <v>0</v>
      </c>
      <c r="Y283" s="61">
        <f t="shared" si="174"/>
        <v>0</v>
      </c>
      <c r="Z283" s="61">
        <f t="shared" si="174"/>
        <v>0</v>
      </c>
      <c r="AA283" s="61">
        <f t="shared" si="174"/>
        <v>0</v>
      </c>
      <c r="AB283" s="61">
        <f t="shared" si="174"/>
        <v>0</v>
      </c>
      <c r="AC283" s="61">
        <f t="shared" si="174"/>
        <v>0</v>
      </c>
      <c r="AD283" s="61">
        <f t="shared" si="174"/>
        <v>0</v>
      </c>
      <c r="AE283" s="61">
        <f t="shared" si="174"/>
        <v>0</v>
      </c>
      <c r="AF283" s="61">
        <f t="shared" si="167"/>
        <v>0</v>
      </c>
      <c r="AG283" s="61">
        <f t="shared" si="169"/>
        <v>0</v>
      </c>
      <c r="AH283" s="61">
        <f t="shared" si="175"/>
        <v>0</v>
      </c>
      <c r="AI283" s="61">
        <f t="shared" si="175"/>
        <v>0</v>
      </c>
      <c r="AJ283" s="61">
        <f t="shared" si="175"/>
        <v>0</v>
      </c>
      <c r="AK283" s="61">
        <f t="shared" si="175"/>
        <v>0</v>
      </c>
      <c r="AL283" s="61">
        <f t="shared" si="175"/>
        <v>0</v>
      </c>
      <c r="AM283" s="61">
        <f t="shared" si="175"/>
        <v>0</v>
      </c>
      <c r="AN283" s="61">
        <f t="shared" si="175"/>
        <v>0</v>
      </c>
      <c r="AO283" s="61">
        <f t="shared" si="175"/>
        <v>0</v>
      </c>
      <c r="AP283" s="61">
        <f t="shared" si="175"/>
        <v>0</v>
      </c>
      <c r="AQ283" s="61"/>
    </row>
    <row r="284" spans="2:43" x14ac:dyDescent="0.25">
      <c r="B284" s="54">
        <v>0.85416666670062102</v>
      </c>
      <c r="C284" s="54">
        <v>1.2083333334376301</v>
      </c>
      <c r="D284" s="60"/>
      <c r="E284" s="91"/>
      <c r="G284" s="91"/>
      <c r="H284" s="92">
        <f t="shared" si="160"/>
        <v>0</v>
      </c>
      <c r="I284" s="180">
        <f>AN$255-AN$256</f>
        <v>0</v>
      </c>
      <c r="M284" s="61">
        <f t="shared" si="173"/>
        <v>0</v>
      </c>
      <c r="N284" s="61">
        <f t="shared" si="173"/>
        <v>0</v>
      </c>
      <c r="O284" s="61">
        <f t="shared" si="173"/>
        <v>0</v>
      </c>
      <c r="P284" s="61">
        <f t="shared" si="173"/>
        <v>0</v>
      </c>
      <c r="Q284" s="61">
        <f t="shared" si="173"/>
        <v>0</v>
      </c>
      <c r="R284" s="61">
        <f t="shared" si="173"/>
        <v>0</v>
      </c>
      <c r="S284" s="61">
        <f t="shared" si="173"/>
        <v>0</v>
      </c>
      <c r="T284" s="61">
        <f t="shared" si="173"/>
        <v>0</v>
      </c>
      <c r="U284" s="61">
        <f t="shared" si="173"/>
        <v>0</v>
      </c>
      <c r="V284" s="61">
        <f t="shared" si="173"/>
        <v>0</v>
      </c>
      <c r="W284" s="61">
        <f t="shared" si="174"/>
        <v>0</v>
      </c>
      <c r="X284" s="61">
        <f t="shared" si="174"/>
        <v>0</v>
      </c>
      <c r="Y284" s="61">
        <f t="shared" si="174"/>
        <v>0</v>
      </c>
      <c r="Z284" s="61">
        <f t="shared" si="174"/>
        <v>0</v>
      </c>
      <c r="AA284" s="61">
        <f t="shared" si="174"/>
        <v>0</v>
      </c>
      <c r="AB284" s="61">
        <f t="shared" si="174"/>
        <v>0</v>
      </c>
      <c r="AC284" s="61">
        <f t="shared" si="174"/>
        <v>0</v>
      </c>
      <c r="AD284" s="61">
        <f t="shared" si="174"/>
        <v>0</v>
      </c>
      <c r="AE284" s="61">
        <f t="shared" si="174"/>
        <v>0</v>
      </c>
      <c r="AF284" s="61">
        <f t="shared" si="167"/>
        <v>0</v>
      </c>
      <c r="AG284" s="61">
        <f t="shared" si="169"/>
        <v>0</v>
      </c>
      <c r="AH284" s="61">
        <f t="shared" si="175"/>
        <v>0</v>
      </c>
      <c r="AI284" s="61">
        <f t="shared" si="175"/>
        <v>0</v>
      </c>
      <c r="AJ284" s="61">
        <f t="shared" si="175"/>
        <v>0</v>
      </c>
      <c r="AK284" s="61">
        <f t="shared" si="175"/>
        <v>0</v>
      </c>
      <c r="AL284" s="61">
        <f t="shared" si="175"/>
        <v>0</v>
      </c>
      <c r="AM284" s="61">
        <f t="shared" si="175"/>
        <v>0</v>
      </c>
      <c r="AN284" s="61">
        <f t="shared" si="175"/>
        <v>0</v>
      </c>
      <c r="AO284" s="61">
        <f t="shared" si="175"/>
        <v>0</v>
      </c>
      <c r="AP284" s="61">
        <f t="shared" si="175"/>
        <v>0</v>
      </c>
      <c r="AQ284" s="61"/>
    </row>
    <row r="285" spans="2:43" x14ac:dyDescent="0.25">
      <c r="B285" s="54">
        <v>0.87500000003637901</v>
      </c>
      <c r="C285" s="54">
        <v>1.22916666677339</v>
      </c>
      <c r="D285" s="60"/>
      <c r="E285" s="91"/>
      <c r="G285" s="91"/>
      <c r="H285" s="92">
        <f t="shared" si="160"/>
        <v>0</v>
      </c>
      <c r="I285" s="180">
        <f>AO$255-AO$256</f>
        <v>0</v>
      </c>
      <c r="M285" s="61">
        <f t="shared" si="173"/>
        <v>0</v>
      </c>
      <c r="N285" s="61">
        <f t="shared" si="173"/>
        <v>0</v>
      </c>
      <c r="O285" s="61">
        <f t="shared" si="173"/>
        <v>0</v>
      </c>
      <c r="P285" s="61">
        <f t="shared" si="173"/>
        <v>0</v>
      </c>
      <c r="Q285" s="61">
        <f t="shared" si="173"/>
        <v>0</v>
      </c>
      <c r="R285" s="61">
        <f t="shared" si="173"/>
        <v>0</v>
      </c>
      <c r="S285" s="61">
        <f t="shared" si="173"/>
        <v>0</v>
      </c>
      <c r="T285" s="61">
        <f t="shared" si="173"/>
        <v>0</v>
      </c>
      <c r="U285" s="61">
        <f t="shared" si="173"/>
        <v>0</v>
      </c>
      <c r="V285" s="61">
        <f t="shared" si="173"/>
        <v>0</v>
      </c>
      <c r="W285" s="61">
        <f t="shared" si="174"/>
        <v>0</v>
      </c>
      <c r="X285" s="61">
        <f t="shared" si="174"/>
        <v>0</v>
      </c>
      <c r="Y285" s="61">
        <f t="shared" si="174"/>
        <v>0</v>
      </c>
      <c r="Z285" s="61">
        <f t="shared" si="174"/>
        <v>0</v>
      </c>
      <c r="AA285" s="61">
        <f t="shared" si="174"/>
        <v>0</v>
      </c>
      <c r="AB285" s="61">
        <f t="shared" si="174"/>
        <v>0</v>
      </c>
      <c r="AC285" s="61">
        <f t="shared" si="174"/>
        <v>0</v>
      </c>
      <c r="AD285" s="61">
        <f t="shared" si="174"/>
        <v>0</v>
      </c>
      <c r="AE285" s="61">
        <f t="shared" si="174"/>
        <v>0</v>
      </c>
      <c r="AF285" s="61">
        <f t="shared" si="167"/>
        <v>0</v>
      </c>
      <c r="AG285" s="61">
        <f t="shared" si="169"/>
        <v>0</v>
      </c>
      <c r="AH285" s="61">
        <f t="shared" si="175"/>
        <v>0</v>
      </c>
      <c r="AI285" s="61">
        <f t="shared" si="175"/>
        <v>0</v>
      </c>
      <c r="AJ285" s="61">
        <f t="shared" si="175"/>
        <v>0</v>
      </c>
      <c r="AK285" s="61">
        <f t="shared" si="175"/>
        <v>0</v>
      </c>
      <c r="AL285" s="61">
        <f t="shared" si="175"/>
        <v>0</v>
      </c>
      <c r="AM285" s="61">
        <f t="shared" si="175"/>
        <v>0</v>
      </c>
      <c r="AN285" s="61">
        <f t="shared" si="175"/>
        <v>0</v>
      </c>
      <c r="AO285" s="61">
        <f t="shared" si="175"/>
        <v>0</v>
      </c>
      <c r="AP285" s="61">
        <f t="shared" si="175"/>
        <v>0</v>
      </c>
      <c r="AQ285" s="61"/>
    </row>
    <row r="286" spans="2:43" x14ac:dyDescent="0.25">
      <c r="B286" s="54">
        <v>0.895833333372138</v>
      </c>
      <c r="C286" s="54">
        <v>1.25000000010915</v>
      </c>
      <c r="D286" s="60"/>
      <c r="E286" s="91"/>
      <c r="G286" s="91"/>
      <c r="H286" s="92">
        <f t="shared" si="160"/>
        <v>0</v>
      </c>
      <c r="I286" s="180">
        <f>AP$255-AP$256</f>
        <v>0</v>
      </c>
      <c r="M286" s="61">
        <f t="shared" si="173"/>
        <v>0</v>
      </c>
      <c r="N286" s="61">
        <f t="shared" si="173"/>
        <v>0</v>
      </c>
      <c r="O286" s="61">
        <f t="shared" si="173"/>
        <v>0</v>
      </c>
      <c r="P286" s="61">
        <f t="shared" si="173"/>
        <v>0</v>
      </c>
      <c r="Q286" s="61">
        <f t="shared" si="173"/>
        <v>0</v>
      </c>
      <c r="R286" s="61">
        <f t="shared" si="173"/>
        <v>0</v>
      </c>
      <c r="S286" s="61">
        <f t="shared" si="173"/>
        <v>0</v>
      </c>
      <c r="T286" s="61">
        <f t="shared" si="173"/>
        <v>0</v>
      </c>
      <c r="U286" s="61">
        <f t="shared" si="173"/>
        <v>0</v>
      </c>
      <c r="V286" s="61">
        <f t="shared" si="173"/>
        <v>0</v>
      </c>
      <c r="W286" s="61">
        <f t="shared" si="174"/>
        <v>0</v>
      </c>
      <c r="X286" s="61">
        <f t="shared" si="174"/>
        <v>0</v>
      </c>
      <c r="Y286" s="61">
        <f t="shared" si="174"/>
        <v>0</v>
      </c>
      <c r="Z286" s="61">
        <f t="shared" si="174"/>
        <v>0</v>
      </c>
      <c r="AA286" s="61">
        <f t="shared" si="174"/>
        <v>0</v>
      </c>
      <c r="AB286" s="61">
        <f t="shared" si="174"/>
        <v>0</v>
      </c>
      <c r="AC286" s="61">
        <f t="shared" si="174"/>
        <v>0</v>
      </c>
      <c r="AD286" s="61">
        <f t="shared" si="174"/>
        <v>0</v>
      </c>
      <c r="AE286" s="61">
        <f t="shared" si="174"/>
        <v>0</v>
      </c>
      <c r="AF286" s="61">
        <f t="shared" si="167"/>
        <v>0</v>
      </c>
      <c r="AG286" s="61">
        <f t="shared" si="169"/>
        <v>0</v>
      </c>
      <c r="AH286" s="61">
        <f t="shared" si="175"/>
        <v>0</v>
      </c>
      <c r="AI286" s="61">
        <f t="shared" si="175"/>
        <v>0</v>
      </c>
      <c r="AJ286" s="61">
        <f t="shared" si="175"/>
        <v>0</v>
      </c>
      <c r="AK286" s="61">
        <f t="shared" si="175"/>
        <v>0</v>
      </c>
      <c r="AL286" s="61">
        <f t="shared" si="175"/>
        <v>0</v>
      </c>
      <c r="AM286" s="61">
        <f t="shared" si="175"/>
        <v>0</v>
      </c>
      <c r="AN286" s="61">
        <f t="shared" si="175"/>
        <v>0</v>
      </c>
      <c r="AO286" s="61">
        <f t="shared" si="175"/>
        <v>0</v>
      </c>
      <c r="AP286" s="61">
        <f t="shared" si="175"/>
        <v>0</v>
      </c>
      <c r="AQ286" s="61"/>
    </row>
    <row r="287" spans="2:43" x14ac:dyDescent="0.25">
      <c r="E287" s="91"/>
      <c r="G287" s="91"/>
      <c r="I287" s="180">
        <f>NCC!$T$36</f>
        <v>0</v>
      </c>
    </row>
  </sheetData>
  <phoneticPr fontId="2" type="noConversion"/>
  <conditionalFormatting sqref="G216:G246 Y131:AB131 E216:E246 AC3:AP5 G257:G287 E93:E123 M170:X172 G51:G81 AQ3 Y48:AB48 Y90:AB90 M211:X213 E134:E164 Y5:AB5 G93:G123 E175:E205 Y46:AB46 M46:X48 Y88:AB88 M88:X90 Y129:AB129 M129:X131 E257:E287 F93:F101 M252:X254 G134:G164 G175:G205 E8:E38 Y3:AB3 M3:X5 E51:E81 F51:F59 AC46:AP48 AQ46 AC88:AP90 AQ88 AC129:AP131 AQ129 AC170:AP172 AQ170 Y172:AB172 Y170:AB170 AC211:AP213 AQ211 Y213:AB213 Y211:AB211 AC252:AP254 AQ252 Y254:AB254 Y252:AB252 F134:F142 F257:F265 F175:F183 F216:F224 G8:G38 F8:F16">
    <cfRule type="cellIs" dxfId="22" priority="1" stopIfTrue="1" operator="lessThanOrEqual">
      <formula>0</formula>
    </cfRule>
  </conditionalFormatting>
  <conditionalFormatting sqref="M51:AQ82 M93:AQ122 M134:AQ163 M175:AQ204 M216:AQ245 M257:AQ286 M8:AQ37">
    <cfRule type="cellIs" dxfId="21" priority="2" stopIfTrue="1" operator="equal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AQ287"/>
  <sheetViews>
    <sheetView showGridLines="0" zoomScale="75" workbookViewId="0">
      <pane xSplit="12" ySplit="2" topLeftCell="M3" activePane="bottomRight" state="frozen"/>
      <selection activeCell="C291" sqref="C291"/>
      <selection pane="topRight" activeCell="C291" sqref="C291"/>
      <selection pane="bottomLeft" activeCell="C291" sqref="C291"/>
      <selection pane="bottomRight" activeCell="K6" sqref="K6"/>
    </sheetView>
  </sheetViews>
  <sheetFormatPr defaultRowHeight="15" x14ac:dyDescent="0.25"/>
  <cols>
    <col min="1" max="1" width="2" style="55" customWidth="1"/>
    <col min="2" max="3" width="9.7109375" style="55" bestFit="1" customWidth="1"/>
    <col min="4" max="4" width="3.140625" style="55" customWidth="1"/>
    <col min="5" max="5" width="6.42578125" style="56" bestFit="1" customWidth="1"/>
    <col min="6" max="6" width="7.140625" style="56" bestFit="1" customWidth="1"/>
    <col min="7" max="7" width="7.140625" style="56" customWidth="1"/>
    <col min="8" max="8" width="8.140625" style="56" bestFit="1" customWidth="1"/>
    <col min="9" max="9" width="6.7109375" style="56" customWidth="1"/>
    <col min="10" max="10" width="6" style="56" bestFit="1" customWidth="1"/>
    <col min="11" max="11" width="7.5703125" style="56" bestFit="1" customWidth="1"/>
    <col min="12" max="12" width="1.42578125" style="56" customWidth="1"/>
    <col min="13" max="13" width="9.7109375" style="56" bestFit="1" customWidth="1"/>
    <col min="14" max="18" width="8.5703125" style="56" bestFit="1" customWidth="1"/>
    <col min="19" max="24" width="9.7109375" style="56" bestFit="1" customWidth="1"/>
    <col min="25" max="42" width="8.5703125" style="56" bestFit="1" customWidth="1"/>
    <col min="43" max="43" width="9.7109375" style="56" bestFit="1" customWidth="1"/>
    <col min="44" max="16384" width="9.140625" style="55"/>
  </cols>
  <sheetData>
    <row r="2" spans="2:43" s="52" customFormat="1" x14ac:dyDescent="0.25">
      <c r="E2" s="53"/>
      <c r="F2" s="53"/>
      <c r="G2" s="53"/>
      <c r="H2" s="53"/>
      <c r="I2" s="53"/>
      <c r="J2" s="53"/>
      <c r="K2" s="53"/>
      <c r="L2" s="53"/>
      <c r="M2" s="181">
        <v>0.29166666666424135</v>
      </c>
      <c r="N2" s="181">
        <v>0.3125</v>
      </c>
      <c r="O2" s="181">
        <v>0.33333333333575899</v>
      </c>
      <c r="P2" s="181">
        <v>0.35416666667151703</v>
      </c>
      <c r="Q2" s="181">
        <v>0.37500000000727601</v>
      </c>
      <c r="R2" s="181">
        <v>0.395833333343034</v>
      </c>
      <c r="S2" s="181">
        <v>0.41666666667879299</v>
      </c>
      <c r="T2" s="181">
        <v>0.43750000001455203</v>
      </c>
      <c r="U2" s="181">
        <v>0.45833333335031001</v>
      </c>
      <c r="V2" s="181">
        <v>0.479166666686069</v>
      </c>
      <c r="W2" s="181">
        <v>0.50000000002182798</v>
      </c>
      <c r="X2" s="181">
        <v>0.52083333335758597</v>
      </c>
      <c r="Y2" s="181">
        <v>0.54166666669334496</v>
      </c>
      <c r="Z2" s="181">
        <v>0.56250000002910305</v>
      </c>
      <c r="AA2" s="181">
        <v>0.58333333336486204</v>
      </c>
      <c r="AB2" s="181">
        <v>0.60416666670062102</v>
      </c>
      <c r="AC2" s="181">
        <v>0.62500000003637901</v>
      </c>
      <c r="AD2" s="181">
        <v>0.645833333372138</v>
      </c>
      <c r="AE2" s="181">
        <v>0.66666666670789698</v>
      </c>
      <c r="AF2" s="181">
        <v>0.68750000004365497</v>
      </c>
      <c r="AG2" s="181">
        <v>0.70833333337941395</v>
      </c>
      <c r="AH2" s="181">
        <v>0.72916666671517305</v>
      </c>
      <c r="AI2" s="181">
        <v>0.75000000005093104</v>
      </c>
      <c r="AJ2" s="181">
        <v>0.77083333338669002</v>
      </c>
      <c r="AK2" s="181">
        <v>0.79166666672244901</v>
      </c>
      <c r="AL2" s="181">
        <v>0.81250000005820699</v>
      </c>
      <c r="AM2" s="181">
        <v>0.83333333339396598</v>
      </c>
      <c r="AN2" s="181">
        <v>0.85416666672972497</v>
      </c>
      <c r="AO2" s="181">
        <v>0.87500000006548295</v>
      </c>
      <c r="AP2" s="181">
        <v>0.89583333340124205</v>
      </c>
      <c r="AQ2" s="181"/>
    </row>
    <row r="3" spans="2:43" s="52" customFormat="1" x14ac:dyDescent="0.25">
      <c r="E3" s="53"/>
      <c r="F3" s="53"/>
      <c r="G3" s="53"/>
      <c r="H3" s="53"/>
      <c r="I3" s="53"/>
      <c r="J3" s="53"/>
      <c r="K3" s="58" t="s">
        <v>32</v>
      </c>
      <c r="L3" s="53"/>
      <c r="M3" s="84">
        <f>G8</f>
        <v>0</v>
      </c>
      <c r="N3" s="84">
        <f>M3+G9</f>
        <v>0</v>
      </c>
      <c r="O3" s="84">
        <f>N3+G10</f>
        <v>0</v>
      </c>
      <c r="P3" s="84">
        <f>+O3+G11</f>
        <v>0</v>
      </c>
      <c r="Q3" s="84">
        <f>P3+G12</f>
        <v>0</v>
      </c>
      <c r="R3" s="84">
        <f>Q3+G13</f>
        <v>0</v>
      </c>
      <c r="S3" s="84">
        <f>R3+G14</f>
        <v>0</v>
      </c>
      <c r="T3" s="84">
        <f>S3+G15</f>
        <v>0</v>
      </c>
      <c r="U3" s="84">
        <f>T3+G16-G8</f>
        <v>0</v>
      </c>
      <c r="V3" s="84">
        <f>U3+G17-G9</f>
        <v>0</v>
      </c>
      <c r="W3" s="84">
        <f>V3+G18-G10</f>
        <v>0</v>
      </c>
      <c r="X3" s="84">
        <f>W3+G19-G11</f>
        <v>0</v>
      </c>
      <c r="Y3" s="84">
        <f>X3+G20-G12</f>
        <v>0</v>
      </c>
      <c r="Z3" s="84">
        <f>Y3+G21-G13</f>
        <v>0</v>
      </c>
      <c r="AA3" s="84">
        <f>Z3+G22-G14</f>
        <v>0</v>
      </c>
      <c r="AB3" s="84">
        <f>AA3+G23-G15</f>
        <v>0</v>
      </c>
      <c r="AC3" s="84">
        <f>AB3+G24-G16</f>
        <v>0</v>
      </c>
      <c r="AD3" s="84">
        <f>AC3+G25-G17</f>
        <v>0</v>
      </c>
      <c r="AE3" s="84">
        <f>AD3+G26-G18</f>
        <v>0</v>
      </c>
      <c r="AF3" s="84">
        <f>AE3+G27-G19</f>
        <v>0</v>
      </c>
      <c r="AG3" s="84">
        <f>AF3+G28-G20</f>
        <v>0</v>
      </c>
      <c r="AH3" s="84">
        <f>AG3+G29-G21</f>
        <v>0</v>
      </c>
      <c r="AI3" s="84">
        <f>AH3+G30-G22</f>
        <v>0</v>
      </c>
      <c r="AJ3" s="84">
        <f>AI3+G31-G23</f>
        <v>0</v>
      </c>
      <c r="AK3" s="84">
        <f>AJ3+G32-G24</f>
        <v>0</v>
      </c>
      <c r="AL3" s="84">
        <f>AK3+G33-G25</f>
        <v>0</v>
      </c>
      <c r="AM3" s="84">
        <f>AL3+G34-G26</f>
        <v>0</v>
      </c>
      <c r="AN3" s="84">
        <f>AM3+G35-G27</f>
        <v>0</v>
      </c>
      <c r="AO3" s="84">
        <f>AN3+G36-G28</f>
        <v>0</v>
      </c>
      <c r="AP3" s="84">
        <f>AO3+G37-G29</f>
        <v>0</v>
      </c>
      <c r="AQ3" s="84">
        <f>SUM(M3:AP3)/8.5</f>
        <v>0</v>
      </c>
    </row>
    <row r="4" spans="2:43" x14ac:dyDescent="0.25">
      <c r="J4" s="57"/>
      <c r="K4" s="58" t="s">
        <v>31</v>
      </c>
      <c r="M4" s="84">
        <f>F8</f>
        <v>0</v>
      </c>
      <c r="N4" s="84">
        <f>M4+F9</f>
        <v>0</v>
      </c>
      <c r="O4" s="84">
        <f>N4+F10</f>
        <v>0</v>
      </c>
      <c r="P4" s="84">
        <f>O4+F11</f>
        <v>0</v>
      </c>
      <c r="Q4" s="84">
        <f>P4+F12</f>
        <v>0</v>
      </c>
      <c r="R4" s="84">
        <f>Q4+F13</f>
        <v>0</v>
      </c>
      <c r="S4" s="84">
        <f>R4+F14</f>
        <v>0</v>
      </c>
      <c r="T4" s="84">
        <f>S4+F15</f>
        <v>0</v>
      </c>
      <c r="U4" s="84">
        <f>T4+F16</f>
        <v>0</v>
      </c>
      <c r="V4" s="84">
        <f>U4</f>
        <v>0</v>
      </c>
      <c r="W4" s="84">
        <f>V4</f>
        <v>0</v>
      </c>
      <c r="X4" s="84">
        <f>W4</f>
        <v>0</v>
      </c>
      <c r="Y4" s="96"/>
      <c r="Z4" s="96"/>
      <c r="AA4" s="96"/>
      <c r="AB4" s="96"/>
      <c r="AC4" s="84">
        <f t="shared" ref="AC4:AN4" si="0">M4</f>
        <v>0</v>
      </c>
      <c r="AD4" s="84">
        <f t="shared" si="0"/>
        <v>0</v>
      </c>
      <c r="AE4" s="84">
        <f t="shared" si="0"/>
        <v>0</v>
      </c>
      <c r="AF4" s="84">
        <f t="shared" si="0"/>
        <v>0</v>
      </c>
      <c r="AG4" s="84">
        <f t="shared" si="0"/>
        <v>0</v>
      </c>
      <c r="AH4" s="84">
        <f t="shared" si="0"/>
        <v>0</v>
      </c>
      <c r="AI4" s="84">
        <f t="shared" si="0"/>
        <v>0</v>
      </c>
      <c r="AJ4" s="84">
        <f t="shared" si="0"/>
        <v>0</v>
      </c>
      <c r="AK4" s="84">
        <f t="shared" si="0"/>
        <v>0</v>
      </c>
      <c r="AL4" s="84">
        <f t="shared" si="0"/>
        <v>0</v>
      </c>
      <c r="AM4" s="84">
        <f t="shared" si="0"/>
        <v>0</v>
      </c>
      <c r="AN4" s="84">
        <f t="shared" si="0"/>
        <v>0</v>
      </c>
      <c r="AO4" s="84"/>
      <c r="AP4" s="84"/>
      <c r="AQ4" s="182"/>
    </row>
    <row r="5" spans="2:43" s="57" customFormat="1" ht="17.25" customHeight="1" x14ac:dyDescent="0.25">
      <c r="K5" s="58" t="s">
        <v>13</v>
      </c>
      <c r="M5" s="84"/>
      <c r="N5" s="84"/>
      <c r="O5" s="84"/>
      <c r="P5" s="84"/>
      <c r="Q5" s="84"/>
      <c r="R5" s="84"/>
      <c r="S5" s="84"/>
      <c r="T5" s="84"/>
      <c r="U5" s="84">
        <f>M4</f>
        <v>0</v>
      </c>
      <c r="V5" s="84">
        <f>N4</f>
        <v>0</v>
      </c>
      <c r="W5" s="84">
        <f>O4</f>
        <v>0</v>
      </c>
      <c r="X5" s="84">
        <f>P4</f>
        <v>0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>
        <f>AC4</f>
        <v>0</v>
      </c>
      <c r="AL5" s="84">
        <f>AD4</f>
        <v>0</v>
      </c>
      <c r="AM5" s="84">
        <f>AE4</f>
        <v>0</v>
      </c>
      <c r="AN5" s="84">
        <f>AF4</f>
        <v>0</v>
      </c>
      <c r="AO5" s="84"/>
      <c r="AP5" s="85"/>
      <c r="AQ5" s="86"/>
    </row>
    <row r="6" spans="2:43" s="57" customFormat="1" ht="17.25" customHeight="1" x14ac:dyDescent="0.25">
      <c r="B6" s="57" t="s">
        <v>14</v>
      </c>
      <c r="E6" s="59" t="s">
        <v>8</v>
      </c>
      <c r="F6" s="59" t="s">
        <v>15</v>
      </c>
      <c r="G6" s="59" t="s">
        <v>32</v>
      </c>
      <c r="H6" s="59" t="s">
        <v>16</v>
      </c>
      <c r="J6" s="58" t="s">
        <v>9</v>
      </c>
      <c r="K6" s="58">
        <f>SUM(M6:AP6)/16</f>
        <v>0</v>
      </c>
      <c r="M6" s="87">
        <f>SUM(M8:M37)+M4+M3-M5</f>
        <v>0</v>
      </c>
      <c r="N6" s="87">
        <f t="shared" ref="N6:AP6" si="1">SUM(N8:N37)+N4+N3-N5</f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87">
        <f t="shared" si="1"/>
        <v>0</v>
      </c>
      <c r="V6" s="87">
        <f t="shared" si="1"/>
        <v>0</v>
      </c>
      <c r="W6" s="87">
        <f t="shared" si="1"/>
        <v>0</v>
      </c>
      <c r="X6" s="87">
        <f t="shared" si="1"/>
        <v>0</v>
      </c>
      <c r="Y6" s="87">
        <f t="shared" si="1"/>
        <v>0</v>
      </c>
      <c r="Z6" s="87">
        <f t="shared" si="1"/>
        <v>0</v>
      </c>
      <c r="AA6" s="87">
        <f t="shared" si="1"/>
        <v>0</v>
      </c>
      <c r="AB6" s="87">
        <f t="shared" si="1"/>
        <v>0</v>
      </c>
      <c r="AC6" s="87">
        <f t="shared" si="1"/>
        <v>0</v>
      </c>
      <c r="AD6" s="87">
        <f t="shared" si="1"/>
        <v>0</v>
      </c>
      <c r="AE6" s="87">
        <f t="shared" si="1"/>
        <v>0</v>
      </c>
      <c r="AF6" s="87">
        <f t="shared" si="1"/>
        <v>0</v>
      </c>
      <c r="AG6" s="87">
        <f t="shared" si="1"/>
        <v>0</v>
      </c>
      <c r="AH6" s="87">
        <f t="shared" si="1"/>
        <v>0</v>
      </c>
      <c r="AI6" s="87">
        <f t="shared" si="1"/>
        <v>0</v>
      </c>
      <c r="AJ6" s="87">
        <f t="shared" si="1"/>
        <v>0</v>
      </c>
      <c r="AK6" s="87">
        <f t="shared" si="1"/>
        <v>0</v>
      </c>
      <c r="AL6" s="87">
        <f t="shared" si="1"/>
        <v>0</v>
      </c>
      <c r="AM6" s="87">
        <f t="shared" si="1"/>
        <v>0</v>
      </c>
      <c r="AN6" s="87">
        <f t="shared" si="1"/>
        <v>0</v>
      </c>
      <c r="AO6" s="87">
        <f t="shared" si="1"/>
        <v>0</v>
      </c>
      <c r="AP6" s="87">
        <f t="shared" si="1"/>
        <v>0</v>
      </c>
      <c r="AQ6" s="87"/>
    </row>
    <row r="7" spans="2:43" s="88" customFormat="1" x14ac:dyDescent="0.25">
      <c r="E7" s="178">
        <f>SUM(E8:E37)</f>
        <v>0</v>
      </c>
      <c r="F7" s="178">
        <f>SUM(F8:F37)</f>
        <v>0</v>
      </c>
      <c r="G7" s="178">
        <f>SUM(G8:G37)</f>
        <v>0</v>
      </c>
      <c r="H7" s="178">
        <f>SUM(H8:H37)</f>
        <v>0</v>
      </c>
      <c r="I7" s="89"/>
      <c r="J7" s="89"/>
      <c r="K7" s="58" t="s">
        <v>7</v>
      </c>
      <c r="L7" s="89"/>
      <c r="M7" s="180">
        <f>SUMMARY!$E$6</f>
        <v>0</v>
      </c>
      <c r="N7" s="180">
        <f>SUMMARY!$E$7</f>
        <v>0</v>
      </c>
      <c r="O7" s="180">
        <f>SUMMARY!$E$8</f>
        <v>0</v>
      </c>
      <c r="P7" s="180">
        <f>SUMMARY!$E$9</f>
        <v>0</v>
      </c>
      <c r="Q7" s="180">
        <f>SUMMARY!$E$10</f>
        <v>0</v>
      </c>
      <c r="R7" s="180">
        <f>SUMMARY!$E$11</f>
        <v>0</v>
      </c>
      <c r="S7" s="180">
        <f>SUMMARY!$E$12</f>
        <v>0</v>
      </c>
      <c r="T7" s="180">
        <f>SUMMARY!$E$13</f>
        <v>0</v>
      </c>
      <c r="U7" s="180">
        <f>SUMMARY!$E$14</f>
        <v>0</v>
      </c>
      <c r="V7" s="180">
        <f>SUMMARY!$E$15</f>
        <v>0</v>
      </c>
      <c r="W7" s="180">
        <f>SUMMARY!$E$16</f>
        <v>0</v>
      </c>
      <c r="X7" s="180">
        <f>SUMMARY!$E$17</f>
        <v>0</v>
      </c>
      <c r="Y7" s="180">
        <f>SUMMARY!$E$18</f>
        <v>0</v>
      </c>
      <c r="Z7" s="180">
        <f>SUMMARY!$E$19</f>
        <v>0</v>
      </c>
      <c r="AA7" s="180">
        <f>SUMMARY!$E$20</f>
        <v>0</v>
      </c>
      <c r="AB7" s="180">
        <f>SUMMARY!$E$21</f>
        <v>0</v>
      </c>
      <c r="AC7" s="180">
        <f>SUMMARY!$E$22</f>
        <v>0</v>
      </c>
      <c r="AD7" s="180">
        <f>SUMMARY!$E$23</f>
        <v>0</v>
      </c>
      <c r="AE7" s="180">
        <f>SUMMARY!$E$24</f>
        <v>0</v>
      </c>
      <c r="AF7" s="180">
        <f>SUMMARY!$E$25</f>
        <v>0</v>
      </c>
      <c r="AG7" s="180">
        <f>SUMMARY!$E$26</f>
        <v>0</v>
      </c>
      <c r="AH7" s="180">
        <f>SUMMARY!$E$27</f>
        <v>0</v>
      </c>
      <c r="AI7" s="180">
        <f>SUMMARY!$E$28</f>
        <v>0</v>
      </c>
      <c r="AJ7" s="180">
        <f>SUMMARY!$E$29</f>
        <v>0</v>
      </c>
      <c r="AK7" s="180">
        <f>SUMMARY!$E$30</f>
        <v>0</v>
      </c>
      <c r="AL7" s="180">
        <f>SUMMARY!$E$31</f>
        <v>0</v>
      </c>
      <c r="AM7" s="180">
        <f>SUMMARY!$E$32</f>
        <v>0</v>
      </c>
      <c r="AN7" s="180">
        <f>SUMMARY!$E$33</f>
        <v>0</v>
      </c>
      <c r="AO7" s="180">
        <f>SUMMARY!$E$34</f>
        <v>0</v>
      </c>
      <c r="AP7" s="180">
        <f>SUMMARY!$E$35</f>
        <v>0</v>
      </c>
      <c r="AQ7" s="90"/>
    </row>
    <row r="8" spans="2:43" x14ac:dyDescent="0.25">
      <c r="B8" s="54">
        <v>0.29166666666424135</v>
      </c>
      <c r="C8" s="54">
        <v>0.645833333372138</v>
      </c>
      <c r="D8" s="60"/>
      <c r="E8" s="91">
        <f>SUMMARY!W47</f>
        <v>0</v>
      </c>
      <c r="F8" s="91">
        <f>SUMMARY!AO47</f>
        <v>0</v>
      </c>
      <c r="G8" s="91">
        <f>SUMMARY!AH47</f>
        <v>0</v>
      </c>
      <c r="H8" s="92">
        <f t="shared" ref="H8:H37" si="2">SUM(E8:G8)</f>
        <v>0</v>
      </c>
      <c r="I8" s="180">
        <f>M$6-M$7</f>
        <v>0</v>
      </c>
      <c r="M8" s="61">
        <f t="shared" ref="M8:AB23" si="3">IF(AND(M$2&gt;=$B8,M$2&lt;$C8),$E8,0)</f>
        <v>0</v>
      </c>
      <c r="N8" s="61">
        <f t="shared" si="3"/>
        <v>0</v>
      </c>
      <c r="O8" s="61">
        <f>IF(AND(O$2&gt;=$B8,O$2&lt;$C8),$E8,0)</f>
        <v>0</v>
      </c>
      <c r="P8" s="61">
        <f t="shared" si="3"/>
        <v>0</v>
      </c>
      <c r="Q8" s="61">
        <f t="shared" si="3"/>
        <v>0</v>
      </c>
      <c r="R8" s="61">
        <f t="shared" si="3"/>
        <v>0</v>
      </c>
      <c r="S8" s="61">
        <f t="shared" si="3"/>
        <v>0</v>
      </c>
      <c r="T8" s="61">
        <f t="shared" si="3"/>
        <v>0</v>
      </c>
      <c r="U8" s="93">
        <f t="shared" si="3"/>
        <v>0</v>
      </c>
      <c r="V8" s="93">
        <f t="shared" si="3"/>
        <v>0</v>
      </c>
      <c r="W8" s="93">
        <f t="shared" si="3"/>
        <v>0</v>
      </c>
      <c r="X8" s="93">
        <f t="shared" si="3"/>
        <v>0</v>
      </c>
      <c r="Y8" s="93">
        <f t="shared" si="3"/>
        <v>0</v>
      </c>
      <c r="Z8" s="93">
        <f t="shared" si="3"/>
        <v>0</v>
      </c>
      <c r="AA8" s="93">
        <f t="shared" si="3"/>
        <v>0</v>
      </c>
      <c r="AB8" s="93">
        <f t="shared" si="3"/>
        <v>0</v>
      </c>
      <c r="AC8" s="93">
        <f t="shared" ref="W8:AL23" si="4">IF(AND(AC$2&gt;=$B8,AC$2&lt;$C8),$E8,0)</f>
        <v>0</v>
      </c>
      <c r="AD8" s="93">
        <f>IF(AND(AD$2&gt;=$B8,AD$2&lt;$C8),#REF!,0)</f>
        <v>0</v>
      </c>
      <c r="AE8" s="93">
        <f>IF(AND(AE$2&gt;=$B8,AE$2&lt;$C8),#REF!,0)</f>
        <v>0</v>
      </c>
      <c r="AF8" s="93">
        <f>IF(AND(AF$2&gt;=$B8,AF$2&lt;$C8),#REF!,0)</f>
        <v>0</v>
      </c>
      <c r="AG8" s="93">
        <f>IF(AND(AG$2&gt;=$B8,AG$2&lt;$C8),#REF!,0)</f>
        <v>0</v>
      </c>
      <c r="AH8" s="93">
        <f>IF(AND(AH$2&gt;=$B8,AH$2&lt;$C8),#REF!,0)</f>
        <v>0</v>
      </c>
      <c r="AI8" s="93">
        <f>IF(AND(AI$2&gt;=$B8,AI$2&lt;$C8),#REF!,0)</f>
        <v>0</v>
      </c>
      <c r="AJ8" s="93">
        <f>IF(AND(AJ$2&gt;=$B8,AJ$2&lt;$C8),#REF!,0)</f>
        <v>0</v>
      </c>
      <c r="AK8" s="93">
        <f>IF(AND(AK$2&gt;=$B8,AK$2&lt;$C8),#REF!,0)</f>
        <v>0</v>
      </c>
      <c r="AL8" s="93">
        <f>IF(AND(AL$2&gt;=$B8,AL$2&lt;$C8),#REF!,0)</f>
        <v>0</v>
      </c>
      <c r="AM8" s="93">
        <f>IF(AND(AM$2&gt;=$B8,AM$2&lt;$C8),#REF!,0)</f>
        <v>0</v>
      </c>
      <c r="AN8" s="93">
        <f>IF(AND(AN$2&gt;=$B8,AN$2&lt;$C8),#REF!,0)</f>
        <v>0</v>
      </c>
      <c r="AO8" s="93">
        <f>IF(AND(AO$2&gt;=$B8,AO$2&lt;$C8),#REF!,0)</f>
        <v>0</v>
      </c>
      <c r="AP8" s="93">
        <f>IF(AND(AP$2&gt;=$B8,AP$2&lt;$C8),#REF!,0)</f>
        <v>0</v>
      </c>
      <c r="AQ8" s="93"/>
    </row>
    <row r="9" spans="2:43" x14ac:dyDescent="0.25">
      <c r="B9" s="54">
        <v>0.3125</v>
      </c>
      <c r="C9" s="54">
        <v>0.66666666670789698</v>
      </c>
      <c r="D9" s="60"/>
      <c r="E9" s="91">
        <f>SUMMARY!W48</f>
        <v>0</v>
      </c>
      <c r="F9" s="91">
        <f>SUMMARY!AO48</f>
        <v>0</v>
      </c>
      <c r="G9" s="91">
        <f>SUMMARY!AH48</f>
        <v>0</v>
      </c>
      <c r="H9" s="92">
        <f t="shared" si="2"/>
        <v>0</v>
      </c>
      <c r="I9" s="180">
        <f>N$6-N$7</f>
        <v>0</v>
      </c>
      <c r="M9" s="61">
        <f t="shared" si="3"/>
        <v>0</v>
      </c>
      <c r="N9" s="61">
        <f t="shared" si="3"/>
        <v>0</v>
      </c>
      <c r="O9" s="61">
        <f t="shared" si="3"/>
        <v>0</v>
      </c>
      <c r="P9" s="61">
        <f t="shared" si="3"/>
        <v>0</v>
      </c>
      <c r="Q9" s="61">
        <f t="shared" si="3"/>
        <v>0</v>
      </c>
      <c r="R9" s="61">
        <f t="shared" si="3"/>
        <v>0</v>
      </c>
      <c r="S9" s="61">
        <f t="shared" si="3"/>
        <v>0</v>
      </c>
      <c r="T9" s="61">
        <f t="shared" si="3"/>
        <v>0</v>
      </c>
      <c r="U9" s="61">
        <f t="shared" si="3"/>
        <v>0</v>
      </c>
      <c r="V9" s="61">
        <f t="shared" si="3"/>
        <v>0</v>
      </c>
      <c r="W9" s="61">
        <f t="shared" si="4"/>
        <v>0</v>
      </c>
      <c r="X9" s="61">
        <f t="shared" si="4"/>
        <v>0</v>
      </c>
      <c r="Y9" s="61">
        <f t="shared" si="4"/>
        <v>0</v>
      </c>
      <c r="Z9" s="61">
        <f t="shared" si="4"/>
        <v>0</v>
      </c>
      <c r="AA9" s="61">
        <f t="shared" si="4"/>
        <v>0</v>
      </c>
      <c r="AB9" s="61">
        <f t="shared" si="4"/>
        <v>0</v>
      </c>
      <c r="AC9" s="61">
        <f t="shared" si="4"/>
        <v>0</v>
      </c>
      <c r="AD9" s="61">
        <f t="shared" si="4"/>
        <v>0</v>
      </c>
      <c r="AE9" s="61">
        <f t="shared" si="4"/>
        <v>0</v>
      </c>
      <c r="AF9" s="61">
        <f t="shared" si="4"/>
        <v>0</v>
      </c>
      <c r="AG9" s="61">
        <f t="shared" si="4"/>
        <v>0</v>
      </c>
      <c r="AH9" s="61">
        <f t="shared" si="4"/>
        <v>0</v>
      </c>
      <c r="AI9" s="61">
        <f t="shared" si="4"/>
        <v>0</v>
      </c>
      <c r="AJ9" s="61">
        <f t="shared" si="4"/>
        <v>0</v>
      </c>
      <c r="AK9" s="61">
        <f t="shared" si="4"/>
        <v>0</v>
      </c>
      <c r="AL9" s="61">
        <f t="shared" si="4"/>
        <v>0</v>
      </c>
      <c r="AM9" s="61">
        <f t="shared" ref="AM9:AP16" si="5">IF(AND(AM$2&gt;=$B9,AM$2&lt;$C9),$E9,0)</f>
        <v>0</v>
      </c>
      <c r="AN9" s="61">
        <f t="shared" si="5"/>
        <v>0</v>
      </c>
      <c r="AO9" s="61">
        <f t="shared" si="5"/>
        <v>0</v>
      </c>
      <c r="AP9" s="61">
        <f t="shared" si="5"/>
        <v>0</v>
      </c>
      <c r="AQ9" s="61"/>
    </row>
    <row r="10" spans="2:43" x14ac:dyDescent="0.25">
      <c r="B10" s="54">
        <v>0.33333333333575865</v>
      </c>
      <c r="C10" s="54">
        <v>0.68750000004365597</v>
      </c>
      <c r="D10" s="60"/>
      <c r="E10" s="91">
        <f>SUMMARY!W49</f>
        <v>0</v>
      </c>
      <c r="F10" s="91">
        <f>SUMMARY!AO49</f>
        <v>0</v>
      </c>
      <c r="G10" s="91">
        <f>SUMMARY!AH49</f>
        <v>0</v>
      </c>
      <c r="H10" s="92">
        <f t="shared" si="2"/>
        <v>0</v>
      </c>
      <c r="I10" s="180">
        <f>O$6-O$7</f>
        <v>0</v>
      </c>
      <c r="M10" s="61">
        <f t="shared" si="3"/>
        <v>0</v>
      </c>
      <c r="N10" s="61">
        <f t="shared" si="3"/>
        <v>0</v>
      </c>
      <c r="O10" s="61">
        <f t="shared" si="3"/>
        <v>0</v>
      </c>
      <c r="P10" s="61">
        <f t="shared" si="3"/>
        <v>0</v>
      </c>
      <c r="Q10" s="61">
        <f t="shared" si="3"/>
        <v>0</v>
      </c>
      <c r="R10" s="61">
        <f t="shared" si="3"/>
        <v>0</v>
      </c>
      <c r="S10" s="61">
        <f t="shared" si="3"/>
        <v>0</v>
      </c>
      <c r="T10" s="61">
        <f t="shared" si="3"/>
        <v>0</v>
      </c>
      <c r="U10" s="61">
        <f t="shared" si="3"/>
        <v>0</v>
      </c>
      <c r="V10" s="61">
        <f t="shared" si="3"/>
        <v>0</v>
      </c>
      <c r="W10" s="61">
        <f t="shared" si="4"/>
        <v>0</v>
      </c>
      <c r="X10" s="61">
        <f t="shared" si="4"/>
        <v>0</v>
      </c>
      <c r="Y10" s="61">
        <f t="shared" si="4"/>
        <v>0</v>
      </c>
      <c r="Z10" s="61">
        <f t="shared" si="4"/>
        <v>0</v>
      </c>
      <c r="AA10" s="61">
        <f t="shared" si="4"/>
        <v>0</v>
      </c>
      <c r="AB10" s="61">
        <f t="shared" si="4"/>
        <v>0</v>
      </c>
      <c r="AC10" s="61">
        <f t="shared" si="4"/>
        <v>0</v>
      </c>
      <c r="AD10" s="61">
        <f t="shared" si="4"/>
        <v>0</v>
      </c>
      <c r="AE10" s="61">
        <f t="shared" si="4"/>
        <v>0</v>
      </c>
      <c r="AF10" s="61"/>
      <c r="AG10" s="61">
        <f t="shared" si="4"/>
        <v>0</v>
      </c>
      <c r="AH10" s="61">
        <f t="shared" si="4"/>
        <v>0</v>
      </c>
      <c r="AI10" s="61">
        <f t="shared" si="4"/>
        <v>0</v>
      </c>
      <c r="AJ10" s="61">
        <f t="shared" si="4"/>
        <v>0</v>
      </c>
      <c r="AK10" s="61">
        <f t="shared" si="4"/>
        <v>0</v>
      </c>
      <c r="AL10" s="61">
        <f t="shared" si="4"/>
        <v>0</v>
      </c>
      <c r="AM10" s="61">
        <f t="shared" si="5"/>
        <v>0</v>
      </c>
      <c r="AN10" s="61">
        <f t="shared" si="5"/>
        <v>0</v>
      </c>
      <c r="AO10" s="61">
        <f t="shared" si="5"/>
        <v>0</v>
      </c>
      <c r="AP10" s="61">
        <f t="shared" si="5"/>
        <v>0</v>
      </c>
      <c r="AQ10" s="61"/>
    </row>
    <row r="11" spans="2:43" x14ac:dyDescent="0.25">
      <c r="B11" s="54">
        <v>0.35416666666424135</v>
      </c>
      <c r="C11" s="54">
        <v>0.70833333337941495</v>
      </c>
      <c r="D11" s="60"/>
      <c r="E11" s="91">
        <f>SUMMARY!W50</f>
        <v>0</v>
      </c>
      <c r="F11" s="91">
        <f>SUMMARY!AO50</f>
        <v>0</v>
      </c>
      <c r="G11" s="91">
        <f>SUMMARY!AH50</f>
        <v>0</v>
      </c>
      <c r="H11" s="92">
        <f t="shared" si="2"/>
        <v>0</v>
      </c>
      <c r="I11" s="180">
        <f>P$6-P$7</f>
        <v>0</v>
      </c>
      <c r="M11" s="61">
        <f t="shared" si="3"/>
        <v>0</v>
      </c>
      <c r="N11" s="61">
        <f t="shared" si="3"/>
        <v>0</v>
      </c>
      <c r="O11" s="61">
        <f t="shared" si="3"/>
        <v>0</v>
      </c>
      <c r="P11" s="61">
        <f t="shared" si="3"/>
        <v>0</v>
      </c>
      <c r="Q11" s="61">
        <f t="shared" si="3"/>
        <v>0</v>
      </c>
      <c r="R11" s="61">
        <f t="shared" si="3"/>
        <v>0</v>
      </c>
      <c r="S11" s="61">
        <f t="shared" si="3"/>
        <v>0</v>
      </c>
      <c r="T11" s="61">
        <f t="shared" si="3"/>
        <v>0</v>
      </c>
      <c r="U11" s="61">
        <f t="shared" si="3"/>
        <v>0</v>
      </c>
      <c r="V11" s="61">
        <f t="shared" si="3"/>
        <v>0</v>
      </c>
      <c r="W11" s="61">
        <f t="shared" si="4"/>
        <v>0</v>
      </c>
      <c r="X11" s="61">
        <f t="shared" si="4"/>
        <v>0</v>
      </c>
      <c r="Y11" s="61">
        <f t="shared" si="4"/>
        <v>0</v>
      </c>
      <c r="Z11" s="61">
        <f t="shared" si="4"/>
        <v>0</v>
      </c>
      <c r="AA11" s="61">
        <f t="shared" si="4"/>
        <v>0</v>
      </c>
      <c r="AB11" s="61">
        <f t="shared" si="4"/>
        <v>0</v>
      </c>
      <c r="AC11" s="61">
        <f t="shared" si="4"/>
        <v>0</v>
      </c>
      <c r="AD11" s="61">
        <f t="shared" si="4"/>
        <v>0</v>
      </c>
      <c r="AE11" s="61">
        <f t="shared" si="4"/>
        <v>0</v>
      </c>
      <c r="AF11" s="61">
        <f t="shared" si="4"/>
        <v>0</v>
      </c>
      <c r="AG11" s="61"/>
      <c r="AH11" s="61">
        <f t="shared" si="4"/>
        <v>0</v>
      </c>
      <c r="AI11" s="61">
        <f t="shared" si="4"/>
        <v>0</v>
      </c>
      <c r="AJ11" s="61">
        <f t="shared" si="4"/>
        <v>0</v>
      </c>
      <c r="AK11" s="61">
        <f t="shared" si="4"/>
        <v>0</v>
      </c>
      <c r="AL11" s="61">
        <f t="shared" si="4"/>
        <v>0</v>
      </c>
      <c r="AM11" s="61">
        <f t="shared" si="5"/>
        <v>0</v>
      </c>
      <c r="AN11" s="61">
        <f t="shared" si="5"/>
        <v>0</v>
      </c>
      <c r="AO11" s="61">
        <f t="shared" si="5"/>
        <v>0</v>
      </c>
      <c r="AP11" s="61">
        <f t="shared" si="5"/>
        <v>0</v>
      </c>
      <c r="AQ11" s="61"/>
    </row>
    <row r="12" spans="2:43" x14ac:dyDescent="0.25">
      <c r="B12" s="54">
        <v>0.375</v>
      </c>
      <c r="C12" s="54">
        <v>0.72916666671517405</v>
      </c>
      <c r="D12" s="60"/>
      <c r="E12" s="91">
        <f>SUMMARY!W51</f>
        <v>0</v>
      </c>
      <c r="F12" s="91">
        <f>SUMMARY!AO51</f>
        <v>0</v>
      </c>
      <c r="G12" s="91">
        <f>SUMMARY!AH51</f>
        <v>0</v>
      </c>
      <c r="H12" s="92">
        <f>SUM(E12:G12)</f>
        <v>0</v>
      </c>
      <c r="I12" s="180">
        <f>Q$6-Q$7</f>
        <v>0</v>
      </c>
      <c r="M12" s="61">
        <f t="shared" si="3"/>
        <v>0</v>
      </c>
      <c r="N12" s="61">
        <f t="shared" si="3"/>
        <v>0</v>
      </c>
      <c r="O12" s="61">
        <f t="shared" si="3"/>
        <v>0</v>
      </c>
      <c r="P12" s="61">
        <f t="shared" si="3"/>
        <v>0</v>
      </c>
      <c r="Q12" s="61">
        <f t="shared" si="3"/>
        <v>0</v>
      </c>
      <c r="R12" s="61">
        <f t="shared" si="3"/>
        <v>0</v>
      </c>
      <c r="S12" s="61">
        <f t="shared" si="3"/>
        <v>0</v>
      </c>
      <c r="T12" s="61">
        <f t="shared" si="3"/>
        <v>0</v>
      </c>
      <c r="U12" s="61">
        <f t="shared" si="3"/>
        <v>0</v>
      </c>
      <c r="V12" s="61">
        <f t="shared" si="3"/>
        <v>0</v>
      </c>
      <c r="W12" s="61">
        <f t="shared" si="4"/>
        <v>0</v>
      </c>
      <c r="X12" s="61">
        <f t="shared" si="4"/>
        <v>0</v>
      </c>
      <c r="Y12" s="61">
        <f t="shared" si="4"/>
        <v>0</v>
      </c>
      <c r="Z12" s="61">
        <f t="shared" si="4"/>
        <v>0</v>
      </c>
      <c r="AA12" s="61">
        <f t="shared" si="4"/>
        <v>0</v>
      </c>
      <c r="AB12" s="61">
        <f t="shared" si="4"/>
        <v>0</v>
      </c>
      <c r="AC12" s="61">
        <f t="shared" si="4"/>
        <v>0</v>
      </c>
      <c r="AD12" s="61">
        <f t="shared" si="4"/>
        <v>0</v>
      </c>
      <c r="AE12" s="61">
        <f t="shared" si="4"/>
        <v>0</v>
      </c>
      <c r="AF12" s="61">
        <f t="shared" si="4"/>
        <v>0</v>
      </c>
      <c r="AG12" s="61">
        <f t="shared" si="4"/>
        <v>0</v>
      </c>
      <c r="AH12" s="61"/>
      <c r="AI12" s="61">
        <f t="shared" si="4"/>
        <v>0</v>
      </c>
      <c r="AJ12" s="61">
        <f t="shared" si="4"/>
        <v>0</v>
      </c>
      <c r="AK12" s="61">
        <f t="shared" si="4"/>
        <v>0</v>
      </c>
      <c r="AL12" s="61">
        <f t="shared" si="4"/>
        <v>0</v>
      </c>
      <c r="AM12" s="61">
        <f t="shared" si="5"/>
        <v>0</v>
      </c>
      <c r="AN12" s="61">
        <f t="shared" si="5"/>
        <v>0</v>
      </c>
      <c r="AO12" s="61">
        <f t="shared" si="5"/>
        <v>0</v>
      </c>
      <c r="AP12" s="61">
        <f t="shared" si="5"/>
        <v>0</v>
      </c>
      <c r="AQ12" s="61"/>
    </row>
    <row r="13" spans="2:43" x14ac:dyDescent="0.25">
      <c r="B13" s="54">
        <v>0.39583333333575865</v>
      </c>
      <c r="C13" s="54">
        <v>0.75000000005093304</v>
      </c>
      <c r="D13" s="60"/>
      <c r="E13" s="91">
        <f>SUMMARY!W52</f>
        <v>0</v>
      </c>
      <c r="F13" s="91">
        <f>SUMMARY!AO52</f>
        <v>0</v>
      </c>
      <c r="G13" s="91">
        <f>SUMMARY!AH52</f>
        <v>0</v>
      </c>
      <c r="H13" s="92">
        <f t="shared" si="2"/>
        <v>0</v>
      </c>
      <c r="I13" s="180">
        <f>R$6-R$7</f>
        <v>0</v>
      </c>
      <c r="M13" s="61">
        <f t="shared" si="3"/>
        <v>0</v>
      </c>
      <c r="N13" s="61">
        <f t="shared" si="3"/>
        <v>0</v>
      </c>
      <c r="O13" s="61">
        <f t="shared" si="3"/>
        <v>0</v>
      </c>
      <c r="P13" s="61">
        <f t="shared" si="3"/>
        <v>0</v>
      </c>
      <c r="Q13" s="61">
        <f t="shared" si="3"/>
        <v>0</v>
      </c>
      <c r="R13" s="61">
        <f t="shared" si="3"/>
        <v>0</v>
      </c>
      <c r="S13" s="61">
        <f t="shared" si="3"/>
        <v>0</v>
      </c>
      <c r="T13" s="61">
        <f t="shared" si="3"/>
        <v>0</v>
      </c>
      <c r="U13" s="61">
        <f t="shared" si="3"/>
        <v>0</v>
      </c>
      <c r="V13" s="61">
        <f t="shared" si="3"/>
        <v>0</v>
      </c>
      <c r="W13" s="61">
        <f t="shared" si="4"/>
        <v>0</v>
      </c>
      <c r="X13" s="61">
        <f t="shared" si="4"/>
        <v>0</v>
      </c>
      <c r="Y13" s="61">
        <f t="shared" si="4"/>
        <v>0</v>
      </c>
      <c r="Z13" s="61">
        <f t="shared" si="4"/>
        <v>0</v>
      </c>
      <c r="AA13" s="61">
        <f t="shared" si="4"/>
        <v>0</v>
      </c>
      <c r="AB13" s="61">
        <f t="shared" si="4"/>
        <v>0</v>
      </c>
      <c r="AC13" s="61">
        <f t="shared" si="4"/>
        <v>0</v>
      </c>
      <c r="AD13" s="61">
        <f t="shared" si="4"/>
        <v>0</v>
      </c>
      <c r="AE13" s="61">
        <f t="shared" si="4"/>
        <v>0</v>
      </c>
      <c r="AF13" s="61">
        <f t="shared" si="4"/>
        <v>0</v>
      </c>
      <c r="AG13" s="61">
        <f t="shared" si="4"/>
        <v>0</v>
      </c>
      <c r="AH13" s="61">
        <f t="shared" si="4"/>
        <v>0</v>
      </c>
      <c r="AI13" s="61"/>
      <c r="AJ13" s="61">
        <f t="shared" si="4"/>
        <v>0</v>
      </c>
      <c r="AK13" s="61">
        <f t="shared" si="4"/>
        <v>0</v>
      </c>
      <c r="AL13" s="61">
        <f t="shared" si="4"/>
        <v>0</v>
      </c>
      <c r="AM13" s="61">
        <f t="shared" si="5"/>
        <v>0</v>
      </c>
      <c r="AN13" s="61">
        <f t="shared" si="5"/>
        <v>0</v>
      </c>
      <c r="AO13" s="61">
        <f t="shared" si="5"/>
        <v>0</v>
      </c>
      <c r="AP13" s="61">
        <f t="shared" si="5"/>
        <v>0</v>
      </c>
      <c r="AQ13" s="61"/>
    </row>
    <row r="14" spans="2:43" x14ac:dyDescent="0.25">
      <c r="B14" s="54">
        <v>0.41666666666424135</v>
      </c>
      <c r="C14" s="54">
        <v>0.77083333338669202</v>
      </c>
      <c r="D14" s="60"/>
      <c r="E14" s="91">
        <f>SUMMARY!W53</f>
        <v>0</v>
      </c>
      <c r="F14" s="91">
        <f>SUMMARY!AO53</f>
        <v>0</v>
      </c>
      <c r="G14" s="91">
        <f>SUMMARY!AH53</f>
        <v>0</v>
      </c>
      <c r="H14" s="92">
        <f t="shared" si="2"/>
        <v>0</v>
      </c>
      <c r="I14" s="180">
        <f>S$6-S$7</f>
        <v>0</v>
      </c>
      <c r="M14" s="61">
        <f t="shared" si="3"/>
        <v>0</v>
      </c>
      <c r="N14" s="61">
        <f t="shared" si="3"/>
        <v>0</v>
      </c>
      <c r="O14" s="61">
        <f t="shared" si="3"/>
        <v>0</v>
      </c>
      <c r="P14" s="61">
        <f t="shared" si="3"/>
        <v>0</v>
      </c>
      <c r="Q14" s="61">
        <f t="shared" si="3"/>
        <v>0</v>
      </c>
      <c r="R14" s="61">
        <f t="shared" si="3"/>
        <v>0</v>
      </c>
      <c r="S14" s="61">
        <f t="shared" si="3"/>
        <v>0</v>
      </c>
      <c r="T14" s="61">
        <f t="shared" si="3"/>
        <v>0</v>
      </c>
      <c r="U14" s="61">
        <f t="shared" si="3"/>
        <v>0</v>
      </c>
      <c r="V14" s="61">
        <f t="shared" si="3"/>
        <v>0</v>
      </c>
      <c r="W14" s="61">
        <f t="shared" si="4"/>
        <v>0</v>
      </c>
      <c r="X14" s="61">
        <f t="shared" si="4"/>
        <v>0</v>
      </c>
      <c r="Y14" s="61">
        <f t="shared" si="4"/>
        <v>0</v>
      </c>
      <c r="Z14" s="61">
        <f t="shared" si="4"/>
        <v>0</v>
      </c>
      <c r="AA14" s="61">
        <f t="shared" si="4"/>
        <v>0</v>
      </c>
      <c r="AB14" s="61">
        <f t="shared" si="4"/>
        <v>0</v>
      </c>
      <c r="AC14" s="61">
        <f t="shared" si="4"/>
        <v>0</v>
      </c>
      <c r="AD14" s="61">
        <f t="shared" si="4"/>
        <v>0</v>
      </c>
      <c r="AE14" s="61">
        <f t="shared" si="4"/>
        <v>0</v>
      </c>
      <c r="AF14" s="61">
        <f t="shared" si="4"/>
        <v>0</v>
      </c>
      <c r="AG14" s="61">
        <f t="shared" si="4"/>
        <v>0</v>
      </c>
      <c r="AH14" s="61">
        <f t="shared" si="4"/>
        <v>0</v>
      </c>
      <c r="AI14" s="61">
        <f t="shared" si="4"/>
        <v>0</v>
      </c>
      <c r="AJ14" s="61"/>
      <c r="AK14" s="61">
        <f t="shared" si="4"/>
        <v>0</v>
      </c>
      <c r="AL14" s="61">
        <f t="shared" si="4"/>
        <v>0</v>
      </c>
      <c r="AM14" s="61">
        <f t="shared" si="5"/>
        <v>0</v>
      </c>
      <c r="AN14" s="61">
        <f t="shared" si="5"/>
        <v>0</v>
      </c>
      <c r="AO14" s="61">
        <f t="shared" si="5"/>
        <v>0</v>
      </c>
      <c r="AP14" s="61">
        <f t="shared" si="5"/>
        <v>0</v>
      </c>
      <c r="AQ14" s="61"/>
    </row>
    <row r="15" spans="2:43" x14ac:dyDescent="0.25">
      <c r="B15" s="54">
        <v>0.4375</v>
      </c>
      <c r="C15" s="54">
        <v>0.79166666672245101</v>
      </c>
      <c r="D15" s="60"/>
      <c r="E15" s="91">
        <f>SUMMARY!W54</f>
        <v>0</v>
      </c>
      <c r="F15" s="91">
        <f>SUMMARY!AO54</f>
        <v>0</v>
      </c>
      <c r="G15" s="91">
        <f>SUMMARY!AH54</f>
        <v>0</v>
      </c>
      <c r="H15" s="92">
        <f t="shared" si="2"/>
        <v>0</v>
      </c>
      <c r="I15" s="180">
        <f>T$6-T$7</f>
        <v>0</v>
      </c>
      <c r="M15" s="61">
        <f t="shared" si="3"/>
        <v>0</v>
      </c>
      <c r="N15" s="61">
        <f t="shared" si="3"/>
        <v>0</v>
      </c>
      <c r="O15" s="61">
        <f t="shared" si="3"/>
        <v>0</v>
      </c>
      <c r="P15" s="61">
        <f t="shared" si="3"/>
        <v>0</v>
      </c>
      <c r="Q15" s="61">
        <f t="shared" si="3"/>
        <v>0</v>
      </c>
      <c r="R15" s="61">
        <f t="shared" si="3"/>
        <v>0</v>
      </c>
      <c r="S15" s="61">
        <f t="shared" si="3"/>
        <v>0</v>
      </c>
      <c r="T15" s="61">
        <f t="shared" si="3"/>
        <v>0</v>
      </c>
      <c r="U15" s="61">
        <f t="shared" si="3"/>
        <v>0</v>
      </c>
      <c r="V15" s="61">
        <f t="shared" si="3"/>
        <v>0</v>
      </c>
      <c r="W15" s="61">
        <f t="shared" si="4"/>
        <v>0</v>
      </c>
      <c r="X15" s="61">
        <f t="shared" si="4"/>
        <v>0</v>
      </c>
      <c r="Y15" s="61">
        <f t="shared" si="4"/>
        <v>0</v>
      </c>
      <c r="Z15" s="61">
        <f t="shared" si="4"/>
        <v>0</v>
      </c>
      <c r="AA15" s="61">
        <f t="shared" si="4"/>
        <v>0</v>
      </c>
      <c r="AB15" s="61">
        <f t="shared" si="4"/>
        <v>0</v>
      </c>
      <c r="AC15" s="61">
        <f t="shared" si="4"/>
        <v>0</v>
      </c>
      <c r="AD15" s="61">
        <f t="shared" si="4"/>
        <v>0</v>
      </c>
      <c r="AE15" s="61">
        <f t="shared" si="4"/>
        <v>0</v>
      </c>
      <c r="AF15" s="61">
        <f t="shared" si="4"/>
        <v>0</v>
      </c>
      <c r="AG15" s="61">
        <f t="shared" si="4"/>
        <v>0</v>
      </c>
      <c r="AH15" s="61">
        <f t="shared" si="4"/>
        <v>0</v>
      </c>
      <c r="AI15" s="61">
        <f t="shared" si="4"/>
        <v>0</v>
      </c>
      <c r="AJ15" s="61">
        <f t="shared" si="4"/>
        <v>0</v>
      </c>
      <c r="AK15" s="61"/>
      <c r="AL15" s="61">
        <f>IF(AND(AL$2&gt;=$B15,AL$2&lt;$C15),$E15,0)</f>
        <v>0</v>
      </c>
      <c r="AM15" s="61">
        <f t="shared" si="5"/>
        <v>0</v>
      </c>
      <c r="AN15" s="61">
        <f t="shared" si="5"/>
        <v>0</v>
      </c>
      <c r="AO15" s="61">
        <f t="shared" si="5"/>
        <v>0</v>
      </c>
      <c r="AP15" s="61">
        <f t="shared" si="5"/>
        <v>0</v>
      </c>
      <c r="AQ15" s="61"/>
    </row>
    <row r="16" spans="2:43" x14ac:dyDescent="0.25">
      <c r="B16" s="54">
        <v>0.45833333333575865</v>
      </c>
      <c r="C16" s="54">
        <v>0.81250000005820999</v>
      </c>
      <c r="D16" s="60"/>
      <c r="E16" s="91">
        <f>SUMMARY!W55</f>
        <v>0</v>
      </c>
      <c r="F16" s="91">
        <f>SUMMARY!AO55</f>
        <v>0</v>
      </c>
      <c r="G16" s="91">
        <f>SUMMARY!AH55</f>
        <v>0</v>
      </c>
      <c r="H16" s="92">
        <f t="shared" si="2"/>
        <v>0</v>
      </c>
      <c r="I16" s="180">
        <f>U$6-U$7</f>
        <v>0</v>
      </c>
      <c r="M16" s="61">
        <f t="shared" si="3"/>
        <v>0</v>
      </c>
      <c r="N16" s="61">
        <f t="shared" si="3"/>
        <v>0</v>
      </c>
      <c r="O16" s="61">
        <f t="shared" si="3"/>
        <v>0</v>
      </c>
      <c r="P16" s="61">
        <f t="shared" si="3"/>
        <v>0</v>
      </c>
      <c r="Q16" s="61">
        <f t="shared" si="3"/>
        <v>0</v>
      </c>
      <c r="R16" s="61">
        <f t="shared" si="3"/>
        <v>0</v>
      </c>
      <c r="S16" s="61">
        <f t="shared" si="3"/>
        <v>0</v>
      </c>
      <c r="T16" s="61">
        <f t="shared" si="3"/>
        <v>0</v>
      </c>
      <c r="U16" s="61">
        <f t="shared" si="3"/>
        <v>0</v>
      </c>
      <c r="V16" s="61">
        <f t="shared" si="3"/>
        <v>0</v>
      </c>
      <c r="W16" s="61">
        <f t="shared" si="4"/>
        <v>0</v>
      </c>
      <c r="X16" s="61">
        <f t="shared" si="4"/>
        <v>0</v>
      </c>
      <c r="Y16" s="61">
        <f t="shared" si="4"/>
        <v>0</v>
      </c>
      <c r="Z16" s="61">
        <f t="shared" si="4"/>
        <v>0</v>
      </c>
      <c r="AA16" s="61">
        <f t="shared" si="4"/>
        <v>0</v>
      </c>
      <c r="AB16" s="61">
        <f t="shared" si="4"/>
        <v>0</v>
      </c>
      <c r="AC16" s="61">
        <f t="shared" si="4"/>
        <v>0</v>
      </c>
      <c r="AD16" s="61">
        <f t="shared" si="4"/>
        <v>0</v>
      </c>
      <c r="AE16" s="61">
        <f t="shared" si="4"/>
        <v>0</v>
      </c>
      <c r="AF16" s="61">
        <f t="shared" si="4"/>
        <v>0</v>
      </c>
      <c r="AG16" s="61">
        <f t="shared" si="4"/>
        <v>0</v>
      </c>
      <c r="AH16" s="61">
        <f t="shared" si="4"/>
        <v>0</v>
      </c>
      <c r="AI16" s="61">
        <f t="shared" si="4"/>
        <v>0</v>
      </c>
      <c r="AJ16" s="61">
        <f t="shared" si="4"/>
        <v>0</v>
      </c>
      <c r="AK16" s="61">
        <f t="shared" si="4"/>
        <v>0</v>
      </c>
      <c r="AL16" s="61"/>
      <c r="AM16" s="61">
        <f t="shared" si="5"/>
        <v>0</v>
      </c>
      <c r="AN16" s="61">
        <f t="shared" si="5"/>
        <v>0</v>
      </c>
      <c r="AO16" s="61">
        <f t="shared" si="5"/>
        <v>0</v>
      </c>
      <c r="AP16" s="61">
        <f t="shared" si="5"/>
        <v>0</v>
      </c>
      <c r="AQ16" s="61"/>
    </row>
    <row r="17" spans="2:43" x14ac:dyDescent="0.25">
      <c r="B17" s="54">
        <v>0.47916666666424135</v>
      </c>
      <c r="C17" s="54">
        <v>0.83333333339396898</v>
      </c>
      <c r="D17" s="60"/>
      <c r="E17" s="91">
        <f>SUMMARY!W56</f>
        <v>0</v>
      </c>
      <c r="G17" s="91">
        <f>SUMMARY!AH56</f>
        <v>0</v>
      </c>
      <c r="H17" s="92">
        <f t="shared" si="2"/>
        <v>0</v>
      </c>
      <c r="I17" s="180">
        <f>V$6-V$7</f>
        <v>0</v>
      </c>
      <c r="M17" s="61">
        <f t="shared" si="3"/>
        <v>0</v>
      </c>
      <c r="N17" s="61">
        <f t="shared" si="3"/>
        <v>0</v>
      </c>
      <c r="O17" s="61">
        <f t="shared" si="3"/>
        <v>0</v>
      </c>
      <c r="P17" s="61">
        <f t="shared" si="3"/>
        <v>0</v>
      </c>
      <c r="Q17" s="61">
        <f t="shared" si="3"/>
        <v>0</v>
      </c>
      <c r="R17" s="61">
        <f t="shared" si="3"/>
        <v>0</v>
      </c>
      <c r="S17" s="61">
        <f t="shared" si="3"/>
        <v>0</v>
      </c>
      <c r="T17" s="61">
        <f t="shared" si="3"/>
        <v>0</v>
      </c>
      <c r="U17" s="61">
        <f t="shared" si="3"/>
        <v>0</v>
      </c>
      <c r="V17" s="61">
        <f t="shared" si="3"/>
        <v>0</v>
      </c>
      <c r="W17" s="61">
        <f t="shared" si="4"/>
        <v>0</v>
      </c>
      <c r="X17" s="61">
        <f t="shared" si="4"/>
        <v>0</v>
      </c>
      <c r="Y17" s="61">
        <f t="shared" si="4"/>
        <v>0</v>
      </c>
      <c r="Z17" s="61">
        <f t="shared" si="4"/>
        <v>0</v>
      </c>
      <c r="AA17" s="61">
        <f t="shared" si="4"/>
        <v>0</v>
      </c>
      <c r="AB17" s="61">
        <f t="shared" si="4"/>
        <v>0</v>
      </c>
      <c r="AC17" s="61">
        <f t="shared" si="4"/>
        <v>0</v>
      </c>
      <c r="AD17" s="61">
        <f t="shared" si="4"/>
        <v>0</v>
      </c>
      <c r="AE17" s="61">
        <f t="shared" si="4"/>
        <v>0</v>
      </c>
      <c r="AF17" s="61">
        <f t="shared" si="4"/>
        <v>0</v>
      </c>
      <c r="AG17" s="61">
        <f t="shared" si="4"/>
        <v>0</v>
      </c>
      <c r="AH17" s="61">
        <f t="shared" si="4"/>
        <v>0</v>
      </c>
      <c r="AI17" s="61">
        <f t="shared" si="4"/>
        <v>0</v>
      </c>
      <c r="AJ17" s="61">
        <f t="shared" si="4"/>
        <v>0</v>
      </c>
      <c r="AK17" s="61">
        <f t="shared" si="4"/>
        <v>0</v>
      </c>
      <c r="AL17" s="61">
        <f t="shared" si="4"/>
        <v>0</v>
      </c>
      <c r="AM17" s="61"/>
      <c r="AN17" s="61">
        <f>IF(AND(AN$2&gt;=$B17,AN$2&lt;$C17),$E17,0)</f>
        <v>0</v>
      </c>
      <c r="AO17" s="61">
        <f>IF(AND(AO$2&gt;=$B17,AO$2&lt;$C17),$E17,0)</f>
        <v>0</v>
      </c>
      <c r="AP17" s="61">
        <f>IF(AND(AP$2&gt;=$B17,AP$2&lt;$C17),$E17,0)</f>
        <v>0</v>
      </c>
      <c r="AQ17" s="61"/>
    </row>
    <row r="18" spans="2:43" x14ac:dyDescent="0.25">
      <c r="B18" s="54">
        <v>0.5</v>
      </c>
      <c r="C18" s="54">
        <v>0.85416666672972796</v>
      </c>
      <c r="D18" s="60"/>
      <c r="E18" s="91">
        <f>SUMMARY!W57</f>
        <v>0</v>
      </c>
      <c r="G18" s="91">
        <f>SUMMARY!AH57</f>
        <v>0</v>
      </c>
      <c r="H18" s="92">
        <f t="shared" si="2"/>
        <v>0</v>
      </c>
      <c r="I18" s="180">
        <f>W$6-W$7</f>
        <v>0</v>
      </c>
      <c r="M18" s="61">
        <f t="shared" si="3"/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61">
        <f t="shared" si="3"/>
        <v>0</v>
      </c>
      <c r="U18" s="61">
        <f t="shared" si="3"/>
        <v>0</v>
      </c>
      <c r="V18" s="61">
        <f t="shared" si="3"/>
        <v>0</v>
      </c>
      <c r="W18" s="61">
        <f t="shared" si="4"/>
        <v>0</v>
      </c>
      <c r="X18" s="61">
        <f t="shared" si="4"/>
        <v>0</v>
      </c>
      <c r="Y18" s="61">
        <f t="shared" si="4"/>
        <v>0</v>
      </c>
      <c r="Z18" s="61">
        <f t="shared" si="4"/>
        <v>0</v>
      </c>
      <c r="AA18" s="61">
        <f t="shared" si="4"/>
        <v>0</v>
      </c>
      <c r="AB18" s="61">
        <f t="shared" si="4"/>
        <v>0</v>
      </c>
      <c r="AC18" s="61">
        <f t="shared" si="4"/>
        <v>0</v>
      </c>
      <c r="AD18" s="61">
        <f t="shared" si="4"/>
        <v>0</v>
      </c>
      <c r="AE18" s="61">
        <f t="shared" si="4"/>
        <v>0</v>
      </c>
      <c r="AF18" s="61">
        <f t="shared" si="4"/>
        <v>0</v>
      </c>
      <c r="AG18" s="61">
        <f t="shared" si="4"/>
        <v>0</v>
      </c>
      <c r="AH18" s="61">
        <f t="shared" si="4"/>
        <v>0</v>
      </c>
      <c r="AI18" s="61">
        <f t="shared" si="4"/>
        <v>0</v>
      </c>
      <c r="AJ18" s="61">
        <f t="shared" si="4"/>
        <v>0</v>
      </c>
      <c r="AK18" s="61">
        <f t="shared" si="4"/>
        <v>0</v>
      </c>
      <c r="AL18" s="61">
        <f t="shared" si="4"/>
        <v>0</v>
      </c>
      <c r="AM18" s="61">
        <f t="shared" ref="AM18:AP37" si="6">IF(AND(AM$2&gt;=$B18,AM$2&lt;$C18),$E18,0)</f>
        <v>0</v>
      </c>
      <c r="AN18" s="61"/>
      <c r="AO18" s="61">
        <f>IF(AND(AO$2&gt;=$B18,AO$2&lt;$C18),$E18,0)</f>
        <v>0</v>
      </c>
      <c r="AP18" s="61">
        <f>IF(AND(AP$2&gt;=$B18,AP$2&lt;$C18),$E18,0)</f>
        <v>0</v>
      </c>
      <c r="AQ18" s="61"/>
    </row>
    <row r="19" spans="2:43" x14ac:dyDescent="0.25">
      <c r="B19" s="54">
        <v>0.52083333333575865</v>
      </c>
      <c r="C19" s="54">
        <v>0.87500000006548695</v>
      </c>
      <c r="D19" s="60"/>
      <c r="E19" s="91">
        <f>SUMMARY!W58</f>
        <v>0</v>
      </c>
      <c r="G19" s="91">
        <f>SUMMARY!AH58</f>
        <v>0</v>
      </c>
      <c r="H19" s="92">
        <f t="shared" si="2"/>
        <v>0</v>
      </c>
      <c r="I19" s="180">
        <f>X$6-X$7</f>
        <v>0</v>
      </c>
      <c r="M19" s="61">
        <f t="shared" si="3"/>
        <v>0</v>
      </c>
      <c r="N19" s="61">
        <f t="shared" si="3"/>
        <v>0</v>
      </c>
      <c r="O19" s="61">
        <f t="shared" si="3"/>
        <v>0</v>
      </c>
      <c r="P19" s="61">
        <f t="shared" si="3"/>
        <v>0</v>
      </c>
      <c r="Q19" s="61">
        <f t="shared" si="3"/>
        <v>0</v>
      </c>
      <c r="R19" s="61">
        <f t="shared" si="3"/>
        <v>0</v>
      </c>
      <c r="S19" s="61">
        <f t="shared" si="3"/>
        <v>0</v>
      </c>
      <c r="T19" s="61">
        <f t="shared" si="3"/>
        <v>0</v>
      </c>
      <c r="U19" s="61">
        <f t="shared" si="3"/>
        <v>0</v>
      </c>
      <c r="V19" s="61">
        <f t="shared" si="3"/>
        <v>0</v>
      </c>
      <c r="W19" s="61">
        <f t="shared" si="4"/>
        <v>0</v>
      </c>
      <c r="X19" s="61">
        <f t="shared" si="4"/>
        <v>0</v>
      </c>
      <c r="Y19" s="61">
        <f t="shared" si="4"/>
        <v>0</v>
      </c>
      <c r="Z19" s="61">
        <f t="shared" si="4"/>
        <v>0</v>
      </c>
      <c r="AA19" s="61">
        <f t="shared" si="4"/>
        <v>0</v>
      </c>
      <c r="AB19" s="61">
        <f t="shared" si="4"/>
        <v>0</v>
      </c>
      <c r="AC19" s="61">
        <f t="shared" si="4"/>
        <v>0</v>
      </c>
      <c r="AD19" s="61">
        <f t="shared" si="4"/>
        <v>0</v>
      </c>
      <c r="AE19" s="61">
        <f t="shared" si="4"/>
        <v>0</v>
      </c>
      <c r="AF19" s="61">
        <f t="shared" si="4"/>
        <v>0</v>
      </c>
      <c r="AG19" s="61">
        <f t="shared" si="4"/>
        <v>0</v>
      </c>
      <c r="AH19" s="61">
        <f t="shared" si="4"/>
        <v>0</v>
      </c>
      <c r="AI19" s="61">
        <f t="shared" si="4"/>
        <v>0</v>
      </c>
      <c r="AJ19" s="61">
        <f t="shared" si="4"/>
        <v>0</v>
      </c>
      <c r="AK19" s="61">
        <f t="shared" si="4"/>
        <v>0</v>
      </c>
      <c r="AL19" s="61">
        <f t="shared" si="4"/>
        <v>0</v>
      </c>
      <c r="AM19" s="61">
        <f t="shared" si="6"/>
        <v>0</v>
      </c>
      <c r="AN19" s="61">
        <f t="shared" si="6"/>
        <v>0</v>
      </c>
      <c r="AO19" s="61"/>
      <c r="AP19" s="61">
        <f>IF(AND(AP$2&gt;=$B19,AP$2&lt;$C19),$E19,0)</f>
        <v>0</v>
      </c>
      <c r="AQ19" s="61"/>
    </row>
    <row r="20" spans="2:43" x14ac:dyDescent="0.25">
      <c r="B20" s="54">
        <v>0.54166666666424135</v>
      </c>
      <c r="C20" s="54">
        <v>0.89583333340124605</v>
      </c>
      <c r="D20" s="60"/>
      <c r="E20" s="91">
        <f>SUMMARY!W59</f>
        <v>0</v>
      </c>
      <c r="G20" s="91">
        <f>SUMMARY!AH59</f>
        <v>0</v>
      </c>
      <c r="H20" s="92">
        <f t="shared" si="2"/>
        <v>0</v>
      </c>
      <c r="I20" s="180">
        <f>Y$6-Y$7</f>
        <v>0</v>
      </c>
      <c r="M20" s="61">
        <f t="shared" si="3"/>
        <v>0</v>
      </c>
      <c r="N20" s="61">
        <f t="shared" si="3"/>
        <v>0</v>
      </c>
      <c r="O20" s="61">
        <f t="shared" si="3"/>
        <v>0</v>
      </c>
      <c r="P20" s="61">
        <f t="shared" si="3"/>
        <v>0</v>
      </c>
      <c r="Q20" s="61">
        <f t="shared" si="3"/>
        <v>0</v>
      </c>
      <c r="R20" s="61">
        <f t="shared" si="3"/>
        <v>0</v>
      </c>
      <c r="S20" s="61">
        <f t="shared" si="3"/>
        <v>0</v>
      </c>
      <c r="T20" s="61">
        <f t="shared" si="3"/>
        <v>0</v>
      </c>
      <c r="U20" s="61">
        <f t="shared" si="3"/>
        <v>0</v>
      </c>
      <c r="V20" s="61">
        <f t="shared" si="3"/>
        <v>0</v>
      </c>
      <c r="W20" s="61">
        <f t="shared" si="4"/>
        <v>0</v>
      </c>
      <c r="X20" s="61">
        <f t="shared" si="4"/>
        <v>0</v>
      </c>
      <c r="Y20" s="61">
        <f t="shared" si="4"/>
        <v>0</v>
      </c>
      <c r="Z20" s="61">
        <f t="shared" si="4"/>
        <v>0</v>
      </c>
      <c r="AA20" s="61">
        <f t="shared" si="4"/>
        <v>0</v>
      </c>
      <c r="AB20" s="61">
        <f t="shared" si="4"/>
        <v>0</v>
      </c>
      <c r="AC20" s="61">
        <f t="shared" si="4"/>
        <v>0</v>
      </c>
      <c r="AD20" s="61">
        <f t="shared" si="4"/>
        <v>0</v>
      </c>
      <c r="AE20" s="61">
        <f t="shared" si="4"/>
        <v>0</v>
      </c>
      <c r="AF20" s="61">
        <f t="shared" si="4"/>
        <v>0</v>
      </c>
      <c r="AG20" s="61">
        <f t="shared" si="4"/>
        <v>0</v>
      </c>
      <c r="AH20" s="61">
        <f t="shared" si="4"/>
        <v>0</v>
      </c>
      <c r="AI20" s="61">
        <f t="shared" si="4"/>
        <v>0</v>
      </c>
      <c r="AJ20" s="61">
        <f t="shared" si="4"/>
        <v>0</v>
      </c>
      <c r="AK20" s="61">
        <f t="shared" si="4"/>
        <v>0</v>
      </c>
      <c r="AL20" s="61">
        <f t="shared" si="4"/>
        <v>0</v>
      </c>
      <c r="AM20" s="61">
        <f t="shared" si="6"/>
        <v>0</v>
      </c>
      <c r="AN20" s="61">
        <f t="shared" si="6"/>
        <v>0</v>
      </c>
      <c r="AO20" s="61">
        <f t="shared" si="6"/>
        <v>0</v>
      </c>
      <c r="AP20" s="61"/>
      <c r="AQ20" s="61"/>
    </row>
    <row r="21" spans="2:43" x14ac:dyDescent="0.25">
      <c r="B21" s="54">
        <v>0.5625</v>
      </c>
      <c r="C21" s="54">
        <v>0.91666666673700503</v>
      </c>
      <c r="D21" s="60"/>
      <c r="E21" s="91">
        <f>SUMMARY!W60</f>
        <v>0</v>
      </c>
      <c r="G21" s="91">
        <f>SUMMARY!AH60</f>
        <v>0</v>
      </c>
      <c r="H21" s="92">
        <f t="shared" si="2"/>
        <v>0</v>
      </c>
      <c r="I21" s="180">
        <f>Z$6-Z$7</f>
        <v>0</v>
      </c>
      <c r="M21" s="61">
        <f t="shared" si="3"/>
        <v>0</v>
      </c>
      <c r="N21" s="61">
        <f t="shared" si="3"/>
        <v>0</v>
      </c>
      <c r="O21" s="61">
        <f t="shared" si="3"/>
        <v>0</v>
      </c>
      <c r="P21" s="61">
        <f t="shared" si="3"/>
        <v>0</v>
      </c>
      <c r="Q21" s="61">
        <f t="shared" si="3"/>
        <v>0</v>
      </c>
      <c r="R21" s="61">
        <f t="shared" si="3"/>
        <v>0</v>
      </c>
      <c r="S21" s="61">
        <f t="shared" si="3"/>
        <v>0</v>
      </c>
      <c r="T21" s="61">
        <f t="shared" si="3"/>
        <v>0</v>
      </c>
      <c r="U21" s="61">
        <f t="shared" si="3"/>
        <v>0</v>
      </c>
      <c r="V21" s="61">
        <f t="shared" si="3"/>
        <v>0</v>
      </c>
      <c r="W21" s="61">
        <f t="shared" si="4"/>
        <v>0</v>
      </c>
      <c r="X21" s="61">
        <f t="shared" si="4"/>
        <v>0</v>
      </c>
      <c r="Y21" s="61">
        <f t="shared" si="4"/>
        <v>0</v>
      </c>
      <c r="Z21" s="61">
        <f t="shared" si="4"/>
        <v>0</v>
      </c>
      <c r="AA21" s="61">
        <f t="shared" si="4"/>
        <v>0</v>
      </c>
      <c r="AB21" s="61">
        <f t="shared" si="4"/>
        <v>0</v>
      </c>
      <c r="AC21" s="61">
        <f t="shared" si="4"/>
        <v>0</v>
      </c>
      <c r="AD21" s="61">
        <f t="shared" si="4"/>
        <v>0</v>
      </c>
      <c r="AE21" s="61">
        <f t="shared" si="4"/>
        <v>0</v>
      </c>
      <c r="AF21" s="61">
        <f t="shared" si="4"/>
        <v>0</v>
      </c>
      <c r="AG21" s="61">
        <f t="shared" si="4"/>
        <v>0</v>
      </c>
      <c r="AH21" s="61">
        <f t="shared" si="4"/>
        <v>0</v>
      </c>
      <c r="AI21" s="61">
        <f t="shared" si="4"/>
        <v>0</v>
      </c>
      <c r="AJ21" s="61">
        <f t="shared" si="4"/>
        <v>0</v>
      </c>
      <c r="AK21" s="61">
        <f t="shared" si="4"/>
        <v>0</v>
      </c>
      <c r="AL21" s="61">
        <f t="shared" si="4"/>
        <v>0</v>
      </c>
      <c r="AM21" s="61">
        <f t="shared" si="6"/>
        <v>0</v>
      </c>
      <c r="AN21" s="61">
        <f t="shared" si="6"/>
        <v>0</v>
      </c>
      <c r="AO21" s="61">
        <f t="shared" si="6"/>
        <v>0</v>
      </c>
      <c r="AP21" s="61">
        <f t="shared" si="6"/>
        <v>0</v>
      </c>
      <c r="AQ21" s="61"/>
    </row>
    <row r="22" spans="2:43" x14ac:dyDescent="0.25">
      <c r="B22" s="54">
        <v>0.58333333333575899</v>
      </c>
      <c r="C22" s="54">
        <v>0.93750000007276402</v>
      </c>
      <c r="D22" s="60"/>
      <c r="E22" s="91"/>
      <c r="G22" s="91">
        <f>SUMMARY!AH61</f>
        <v>0</v>
      </c>
      <c r="H22" s="92">
        <f t="shared" si="2"/>
        <v>0</v>
      </c>
      <c r="I22" s="180">
        <f>AA$6-AA$7</f>
        <v>0</v>
      </c>
      <c r="M22" s="61">
        <f t="shared" si="3"/>
        <v>0</v>
      </c>
      <c r="N22" s="61">
        <f t="shared" si="3"/>
        <v>0</v>
      </c>
      <c r="O22" s="61">
        <f t="shared" si="3"/>
        <v>0</v>
      </c>
      <c r="P22" s="61">
        <f t="shared" si="3"/>
        <v>0</v>
      </c>
      <c r="Q22" s="61">
        <f t="shared" si="3"/>
        <v>0</v>
      </c>
      <c r="R22" s="61">
        <f t="shared" si="3"/>
        <v>0</v>
      </c>
      <c r="S22" s="61">
        <f t="shared" si="3"/>
        <v>0</v>
      </c>
      <c r="T22" s="61">
        <f t="shared" si="3"/>
        <v>0</v>
      </c>
      <c r="U22" s="61">
        <f t="shared" si="3"/>
        <v>0</v>
      </c>
      <c r="V22" s="61">
        <f t="shared" si="3"/>
        <v>0</v>
      </c>
      <c r="W22" s="61">
        <f t="shared" si="4"/>
        <v>0</v>
      </c>
      <c r="X22" s="61">
        <f t="shared" si="4"/>
        <v>0</v>
      </c>
      <c r="Y22" s="61">
        <f t="shared" si="4"/>
        <v>0</v>
      </c>
      <c r="Z22" s="61">
        <f t="shared" si="4"/>
        <v>0</v>
      </c>
      <c r="AA22" s="61">
        <f t="shared" si="4"/>
        <v>0</v>
      </c>
      <c r="AB22" s="61">
        <f t="shared" si="4"/>
        <v>0</v>
      </c>
      <c r="AC22" s="61">
        <f t="shared" si="4"/>
        <v>0</v>
      </c>
      <c r="AD22" s="61">
        <f t="shared" si="4"/>
        <v>0</v>
      </c>
      <c r="AE22" s="61">
        <f t="shared" si="4"/>
        <v>0</v>
      </c>
      <c r="AF22" s="61">
        <f t="shared" si="4"/>
        <v>0</v>
      </c>
      <c r="AG22" s="61">
        <f t="shared" si="4"/>
        <v>0</v>
      </c>
      <c r="AH22" s="61">
        <f t="shared" si="4"/>
        <v>0</v>
      </c>
      <c r="AI22" s="61">
        <f t="shared" si="4"/>
        <v>0</v>
      </c>
      <c r="AJ22" s="61">
        <f t="shared" si="4"/>
        <v>0</v>
      </c>
      <c r="AK22" s="61">
        <f t="shared" si="4"/>
        <v>0</v>
      </c>
      <c r="AL22" s="61">
        <f t="shared" si="4"/>
        <v>0</v>
      </c>
      <c r="AM22" s="61">
        <f t="shared" si="6"/>
        <v>0</v>
      </c>
      <c r="AN22" s="61">
        <f t="shared" si="6"/>
        <v>0</v>
      </c>
      <c r="AO22" s="61">
        <f t="shared" si="6"/>
        <v>0</v>
      </c>
      <c r="AP22" s="61">
        <f t="shared" si="6"/>
        <v>0</v>
      </c>
      <c r="AQ22" s="61"/>
    </row>
    <row r="23" spans="2:43" x14ac:dyDescent="0.25">
      <c r="B23" s="54">
        <v>0.60416666667151697</v>
      </c>
      <c r="C23" s="54">
        <v>0.958333333408523</v>
      </c>
      <c r="D23" s="60"/>
      <c r="E23" s="91"/>
      <c r="G23" s="91">
        <f>SUMMARY!AH62</f>
        <v>0</v>
      </c>
      <c r="H23" s="92">
        <f t="shared" si="2"/>
        <v>0</v>
      </c>
      <c r="I23" s="180">
        <f>AB$6-AB$7</f>
        <v>0</v>
      </c>
      <c r="M23" s="61">
        <f t="shared" si="3"/>
        <v>0</v>
      </c>
      <c r="N23" s="61">
        <f t="shared" si="3"/>
        <v>0</v>
      </c>
      <c r="O23" s="61">
        <f t="shared" si="3"/>
        <v>0</v>
      </c>
      <c r="P23" s="61">
        <f t="shared" si="3"/>
        <v>0</v>
      </c>
      <c r="Q23" s="61">
        <f t="shared" si="3"/>
        <v>0</v>
      </c>
      <c r="R23" s="61">
        <f t="shared" si="3"/>
        <v>0</v>
      </c>
      <c r="S23" s="61">
        <f t="shared" si="3"/>
        <v>0</v>
      </c>
      <c r="T23" s="61">
        <f t="shared" si="3"/>
        <v>0</v>
      </c>
      <c r="U23" s="61">
        <f t="shared" si="3"/>
        <v>0</v>
      </c>
      <c r="V23" s="61">
        <f t="shared" si="3"/>
        <v>0</v>
      </c>
      <c r="W23" s="61">
        <f t="shared" si="4"/>
        <v>0</v>
      </c>
      <c r="X23" s="61">
        <f t="shared" si="4"/>
        <v>0</v>
      </c>
      <c r="Y23" s="61">
        <f t="shared" si="4"/>
        <v>0</v>
      </c>
      <c r="Z23" s="61">
        <f t="shared" si="4"/>
        <v>0</v>
      </c>
      <c r="AA23" s="61">
        <f t="shared" si="4"/>
        <v>0</v>
      </c>
      <c r="AB23" s="61">
        <f t="shared" si="4"/>
        <v>0</v>
      </c>
      <c r="AC23" s="61">
        <f t="shared" si="4"/>
        <v>0</v>
      </c>
      <c r="AD23" s="61">
        <f t="shared" si="4"/>
        <v>0</v>
      </c>
      <c r="AE23" s="61">
        <f t="shared" si="4"/>
        <v>0</v>
      </c>
      <c r="AF23" s="61">
        <f t="shared" si="4"/>
        <v>0</v>
      </c>
      <c r="AG23" s="61">
        <f t="shared" si="4"/>
        <v>0</v>
      </c>
      <c r="AH23" s="61">
        <f t="shared" si="4"/>
        <v>0</v>
      </c>
      <c r="AI23" s="61">
        <f t="shared" si="4"/>
        <v>0</v>
      </c>
      <c r="AJ23" s="61">
        <f t="shared" si="4"/>
        <v>0</v>
      </c>
      <c r="AK23" s="61">
        <f t="shared" si="4"/>
        <v>0</v>
      </c>
      <c r="AL23" s="61">
        <f t="shared" si="4"/>
        <v>0</v>
      </c>
      <c r="AM23" s="61">
        <f t="shared" si="6"/>
        <v>0</v>
      </c>
      <c r="AN23" s="61">
        <f t="shared" si="6"/>
        <v>0</v>
      </c>
      <c r="AO23" s="61">
        <f t="shared" si="6"/>
        <v>0</v>
      </c>
      <c r="AP23" s="61">
        <f t="shared" si="6"/>
        <v>0</v>
      </c>
      <c r="AQ23" s="61"/>
    </row>
    <row r="24" spans="2:43" x14ac:dyDescent="0.25">
      <c r="B24" s="54">
        <v>0.62500000000727596</v>
      </c>
      <c r="C24" s="54">
        <v>0.97916666674428199</v>
      </c>
      <c r="D24" s="60"/>
      <c r="E24" s="91"/>
      <c r="G24" s="91">
        <f>SUMMARY!AH63</f>
        <v>0</v>
      </c>
      <c r="H24" s="92">
        <f t="shared" si="2"/>
        <v>0</v>
      </c>
      <c r="I24" s="180">
        <f>AC$6-AC$7</f>
        <v>0</v>
      </c>
      <c r="M24" s="61">
        <f t="shared" ref="M24:AB37" si="7">IF(AND(M$2&gt;=$B24,M$2&lt;$C24),$E24,0)</f>
        <v>0</v>
      </c>
      <c r="N24" s="61">
        <f t="shared" si="7"/>
        <v>0</v>
      </c>
      <c r="O24" s="61">
        <f t="shared" si="7"/>
        <v>0</v>
      </c>
      <c r="P24" s="61">
        <f t="shared" si="7"/>
        <v>0</v>
      </c>
      <c r="Q24" s="61">
        <f t="shared" si="7"/>
        <v>0</v>
      </c>
      <c r="R24" s="61">
        <f t="shared" si="7"/>
        <v>0</v>
      </c>
      <c r="S24" s="61">
        <f t="shared" si="7"/>
        <v>0</v>
      </c>
      <c r="T24" s="61">
        <f t="shared" si="7"/>
        <v>0</v>
      </c>
      <c r="U24" s="61">
        <f t="shared" si="7"/>
        <v>0</v>
      </c>
      <c r="V24" s="61">
        <f t="shared" si="7"/>
        <v>0</v>
      </c>
      <c r="W24" s="61">
        <f t="shared" si="7"/>
        <v>0</v>
      </c>
      <c r="X24" s="61">
        <f t="shared" si="7"/>
        <v>0</v>
      </c>
      <c r="Y24" s="61">
        <f t="shared" si="7"/>
        <v>0</v>
      </c>
      <c r="Z24" s="61">
        <f t="shared" si="7"/>
        <v>0</v>
      </c>
      <c r="AA24" s="61">
        <f t="shared" si="7"/>
        <v>0</v>
      </c>
      <c r="AB24" s="61">
        <f t="shared" si="7"/>
        <v>0</v>
      </c>
      <c r="AC24" s="61">
        <f t="shared" ref="W24:AL37" si="8">IF(AND(AC$2&gt;=$B24,AC$2&lt;$C24),$E24,0)</f>
        <v>0</v>
      </c>
      <c r="AD24" s="61">
        <f t="shared" si="8"/>
        <v>0</v>
      </c>
      <c r="AE24" s="61">
        <f t="shared" si="8"/>
        <v>0</v>
      </c>
      <c r="AF24" s="61">
        <f t="shared" si="8"/>
        <v>0</v>
      </c>
      <c r="AG24" s="61">
        <f t="shared" si="8"/>
        <v>0</v>
      </c>
      <c r="AH24" s="61">
        <f t="shared" si="8"/>
        <v>0</v>
      </c>
      <c r="AI24" s="61">
        <f t="shared" si="8"/>
        <v>0</v>
      </c>
      <c r="AJ24" s="61">
        <f t="shared" si="8"/>
        <v>0</v>
      </c>
      <c r="AK24" s="61">
        <f t="shared" si="8"/>
        <v>0</v>
      </c>
      <c r="AL24" s="61">
        <f t="shared" si="8"/>
        <v>0</v>
      </c>
      <c r="AM24" s="61">
        <f t="shared" si="6"/>
        <v>0</v>
      </c>
      <c r="AN24" s="61">
        <f t="shared" si="6"/>
        <v>0</v>
      </c>
      <c r="AO24" s="61">
        <f t="shared" si="6"/>
        <v>0</v>
      </c>
      <c r="AP24" s="61">
        <f t="shared" si="6"/>
        <v>0</v>
      </c>
      <c r="AQ24" s="61"/>
    </row>
    <row r="25" spans="2:43" x14ac:dyDescent="0.25">
      <c r="B25" s="54">
        <v>0.64583333334303406</v>
      </c>
      <c r="C25" s="54">
        <v>1.00000000008004</v>
      </c>
      <c r="D25" s="60"/>
      <c r="E25" s="91"/>
      <c r="G25" s="91">
        <f>SUMMARY!AH64</f>
        <v>0</v>
      </c>
      <c r="H25" s="92">
        <f t="shared" si="2"/>
        <v>0</v>
      </c>
      <c r="I25" s="180">
        <f>AD$6-AD$7</f>
        <v>0</v>
      </c>
      <c r="M25" s="61">
        <f t="shared" si="7"/>
        <v>0</v>
      </c>
      <c r="N25" s="61">
        <f t="shared" si="7"/>
        <v>0</v>
      </c>
      <c r="O25" s="61">
        <f t="shared" si="7"/>
        <v>0</v>
      </c>
      <c r="P25" s="61">
        <f t="shared" si="7"/>
        <v>0</v>
      </c>
      <c r="Q25" s="61">
        <f t="shared" si="7"/>
        <v>0</v>
      </c>
      <c r="R25" s="61">
        <f t="shared" si="7"/>
        <v>0</v>
      </c>
      <c r="S25" s="61">
        <f t="shared" si="7"/>
        <v>0</v>
      </c>
      <c r="T25" s="61">
        <f t="shared" si="7"/>
        <v>0</v>
      </c>
      <c r="U25" s="61">
        <f t="shared" si="7"/>
        <v>0</v>
      </c>
      <c r="V25" s="61">
        <f t="shared" si="7"/>
        <v>0</v>
      </c>
      <c r="W25" s="61">
        <f t="shared" si="8"/>
        <v>0</v>
      </c>
      <c r="X25" s="61">
        <f t="shared" si="8"/>
        <v>0</v>
      </c>
      <c r="Y25" s="61">
        <f t="shared" si="8"/>
        <v>0</v>
      </c>
      <c r="Z25" s="61">
        <f t="shared" si="8"/>
        <v>0</v>
      </c>
      <c r="AA25" s="61">
        <f t="shared" si="8"/>
        <v>0</v>
      </c>
      <c r="AB25" s="61">
        <f t="shared" si="8"/>
        <v>0</v>
      </c>
      <c r="AC25" s="61">
        <f t="shared" si="8"/>
        <v>0</v>
      </c>
      <c r="AD25" s="61">
        <f t="shared" si="8"/>
        <v>0</v>
      </c>
      <c r="AE25" s="61">
        <f t="shared" si="8"/>
        <v>0</v>
      </c>
      <c r="AF25" s="61">
        <f t="shared" si="8"/>
        <v>0</v>
      </c>
      <c r="AG25" s="61">
        <f t="shared" si="8"/>
        <v>0</v>
      </c>
      <c r="AH25" s="61">
        <f t="shared" si="8"/>
        <v>0</v>
      </c>
      <c r="AI25" s="61">
        <f t="shared" si="8"/>
        <v>0</v>
      </c>
      <c r="AJ25" s="61">
        <f t="shared" si="8"/>
        <v>0</v>
      </c>
      <c r="AK25" s="61">
        <f t="shared" si="8"/>
        <v>0</v>
      </c>
      <c r="AL25" s="61">
        <f t="shared" si="8"/>
        <v>0</v>
      </c>
      <c r="AM25" s="61">
        <f t="shared" si="6"/>
        <v>0</v>
      </c>
      <c r="AN25" s="61">
        <f t="shared" si="6"/>
        <v>0</v>
      </c>
      <c r="AO25" s="61">
        <f t="shared" si="6"/>
        <v>0</v>
      </c>
      <c r="AP25" s="61">
        <f t="shared" si="6"/>
        <v>0</v>
      </c>
      <c r="AQ25" s="61"/>
    </row>
    <row r="26" spans="2:43" x14ac:dyDescent="0.25">
      <c r="B26" s="54">
        <v>0.66666666667879304</v>
      </c>
      <c r="C26" s="54">
        <v>1.0208333334158</v>
      </c>
      <c r="D26" s="60"/>
      <c r="E26" s="91"/>
      <c r="G26" s="91">
        <f>SUMMARY!AH65</f>
        <v>0</v>
      </c>
      <c r="H26" s="92">
        <f t="shared" si="2"/>
        <v>0</v>
      </c>
      <c r="I26" s="180">
        <f>AE$6-AE$7</f>
        <v>0</v>
      </c>
      <c r="M26" s="61">
        <f t="shared" si="7"/>
        <v>0</v>
      </c>
      <c r="N26" s="61">
        <f t="shared" si="7"/>
        <v>0</v>
      </c>
      <c r="O26" s="61">
        <f t="shared" si="7"/>
        <v>0</v>
      </c>
      <c r="P26" s="61">
        <f t="shared" si="7"/>
        <v>0</v>
      </c>
      <c r="Q26" s="61">
        <f t="shared" si="7"/>
        <v>0</v>
      </c>
      <c r="R26" s="61">
        <f t="shared" si="7"/>
        <v>0</v>
      </c>
      <c r="S26" s="61">
        <f t="shared" si="7"/>
        <v>0</v>
      </c>
      <c r="T26" s="61">
        <f t="shared" si="7"/>
        <v>0</v>
      </c>
      <c r="U26" s="61">
        <f t="shared" si="7"/>
        <v>0</v>
      </c>
      <c r="V26" s="61">
        <f t="shared" si="7"/>
        <v>0</v>
      </c>
      <c r="W26" s="61">
        <f t="shared" si="8"/>
        <v>0</v>
      </c>
      <c r="X26" s="61">
        <f t="shared" si="8"/>
        <v>0</v>
      </c>
      <c r="Y26" s="61">
        <f t="shared" si="8"/>
        <v>0</v>
      </c>
      <c r="Z26" s="61">
        <f t="shared" si="8"/>
        <v>0</v>
      </c>
      <c r="AA26" s="61">
        <f t="shared" si="8"/>
        <v>0</v>
      </c>
      <c r="AB26" s="61">
        <f t="shared" si="8"/>
        <v>0</v>
      </c>
      <c r="AC26" s="61">
        <f t="shared" si="8"/>
        <v>0</v>
      </c>
      <c r="AD26" s="61">
        <f t="shared" si="8"/>
        <v>0</v>
      </c>
      <c r="AE26" s="61">
        <f t="shared" si="8"/>
        <v>0</v>
      </c>
      <c r="AF26" s="61">
        <f t="shared" si="8"/>
        <v>0</v>
      </c>
      <c r="AG26" s="61">
        <f t="shared" si="8"/>
        <v>0</v>
      </c>
      <c r="AH26" s="61">
        <f t="shared" si="8"/>
        <v>0</v>
      </c>
      <c r="AI26" s="61">
        <f t="shared" si="8"/>
        <v>0</v>
      </c>
      <c r="AJ26" s="61">
        <f t="shared" si="8"/>
        <v>0</v>
      </c>
      <c r="AK26" s="61">
        <f t="shared" si="8"/>
        <v>0</v>
      </c>
      <c r="AL26" s="61">
        <f t="shared" si="8"/>
        <v>0</v>
      </c>
      <c r="AM26" s="61">
        <f t="shared" si="6"/>
        <v>0</v>
      </c>
      <c r="AN26" s="61">
        <f t="shared" si="6"/>
        <v>0</v>
      </c>
      <c r="AO26" s="61">
        <f t="shared" si="6"/>
        <v>0</v>
      </c>
      <c r="AP26" s="61">
        <f t="shared" si="6"/>
        <v>0</v>
      </c>
      <c r="AQ26" s="61"/>
    </row>
    <row r="27" spans="2:43" x14ac:dyDescent="0.25">
      <c r="B27" s="54">
        <v>0.68750000001455203</v>
      </c>
      <c r="C27" s="54">
        <v>1.0416666667515599</v>
      </c>
      <c r="D27" s="60"/>
      <c r="E27" s="91"/>
      <c r="G27" s="91">
        <f>SUMMARY!AH66</f>
        <v>0</v>
      </c>
      <c r="H27" s="92">
        <f t="shared" si="2"/>
        <v>0</v>
      </c>
      <c r="I27" s="180">
        <f>AF$6-AF$7</f>
        <v>0</v>
      </c>
      <c r="M27" s="61">
        <f t="shared" si="7"/>
        <v>0</v>
      </c>
      <c r="N27" s="61">
        <f t="shared" si="7"/>
        <v>0</v>
      </c>
      <c r="O27" s="61">
        <f t="shared" si="7"/>
        <v>0</v>
      </c>
      <c r="P27" s="61">
        <f t="shared" si="7"/>
        <v>0</v>
      </c>
      <c r="Q27" s="61">
        <f t="shared" si="7"/>
        <v>0</v>
      </c>
      <c r="R27" s="61">
        <f t="shared" si="7"/>
        <v>0</v>
      </c>
      <c r="S27" s="61">
        <f t="shared" si="7"/>
        <v>0</v>
      </c>
      <c r="T27" s="61">
        <f t="shared" si="7"/>
        <v>0</v>
      </c>
      <c r="U27" s="61">
        <f t="shared" si="7"/>
        <v>0</v>
      </c>
      <c r="V27" s="61">
        <f t="shared" si="7"/>
        <v>0</v>
      </c>
      <c r="W27" s="61">
        <f t="shared" si="8"/>
        <v>0</v>
      </c>
      <c r="X27" s="61">
        <f t="shared" si="8"/>
        <v>0</v>
      </c>
      <c r="Y27" s="61">
        <f t="shared" si="8"/>
        <v>0</v>
      </c>
      <c r="Z27" s="61">
        <f t="shared" si="8"/>
        <v>0</v>
      </c>
      <c r="AA27" s="61">
        <f t="shared" si="8"/>
        <v>0</v>
      </c>
      <c r="AB27" s="61">
        <f t="shared" si="8"/>
        <v>0</v>
      </c>
      <c r="AC27" s="61">
        <f t="shared" si="8"/>
        <v>0</v>
      </c>
      <c r="AD27" s="61">
        <f t="shared" si="8"/>
        <v>0</v>
      </c>
      <c r="AE27" s="61">
        <f t="shared" si="8"/>
        <v>0</v>
      </c>
      <c r="AF27" s="61">
        <f t="shared" si="8"/>
        <v>0</v>
      </c>
      <c r="AG27" s="61">
        <f t="shared" si="8"/>
        <v>0</v>
      </c>
      <c r="AH27" s="61">
        <f t="shared" si="8"/>
        <v>0</v>
      </c>
      <c r="AI27" s="61">
        <f t="shared" si="8"/>
        <v>0</v>
      </c>
      <c r="AJ27" s="61">
        <f t="shared" si="8"/>
        <v>0</v>
      </c>
      <c r="AK27" s="61">
        <f t="shared" si="8"/>
        <v>0</v>
      </c>
      <c r="AL27" s="61">
        <f t="shared" si="8"/>
        <v>0</v>
      </c>
      <c r="AM27" s="61">
        <f t="shared" si="6"/>
        <v>0</v>
      </c>
      <c r="AN27" s="61">
        <f t="shared" si="6"/>
        <v>0</v>
      </c>
      <c r="AO27" s="61">
        <f t="shared" si="6"/>
        <v>0</v>
      </c>
      <c r="AP27" s="61">
        <f t="shared" si="6"/>
        <v>0</v>
      </c>
      <c r="AQ27" s="61"/>
    </row>
    <row r="28" spans="2:43" x14ac:dyDescent="0.25">
      <c r="B28" s="54">
        <v>0.70833333335031001</v>
      </c>
      <c r="C28" s="54">
        <v>1.0625000000873199</v>
      </c>
      <c r="D28" s="60"/>
      <c r="E28" s="91"/>
      <c r="G28" s="91">
        <f>SUMMARY!AH67</f>
        <v>0</v>
      </c>
      <c r="H28" s="92">
        <f t="shared" si="2"/>
        <v>0</v>
      </c>
      <c r="I28" s="180">
        <f>AG$6-AG$7</f>
        <v>0</v>
      </c>
      <c r="M28" s="61">
        <f t="shared" si="7"/>
        <v>0</v>
      </c>
      <c r="N28" s="61">
        <f t="shared" si="7"/>
        <v>0</v>
      </c>
      <c r="O28" s="61">
        <f t="shared" si="7"/>
        <v>0</v>
      </c>
      <c r="P28" s="61">
        <f t="shared" si="7"/>
        <v>0</v>
      </c>
      <c r="Q28" s="61">
        <f t="shared" si="7"/>
        <v>0</v>
      </c>
      <c r="R28" s="61">
        <f t="shared" si="7"/>
        <v>0</v>
      </c>
      <c r="S28" s="61">
        <f t="shared" si="7"/>
        <v>0</v>
      </c>
      <c r="T28" s="61">
        <f t="shared" si="7"/>
        <v>0</v>
      </c>
      <c r="U28" s="61">
        <f t="shared" si="7"/>
        <v>0</v>
      </c>
      <c r="V28" s="61">
        <f t="shared" si="7"/>
        <v>0</v>
      </c>
      <c r="W28" s="61">
        <f t="shared" si="8"/>
        <v>0</v>
      </c>
      <c r="X28" s="61">
        <f t="shared" si="8"/>
        <v>0</v>
      </c>
      <c r="Y28" s="61">
        <f t="shared" si="8"/>
        <v>0</v>
      </c>
      <c r="Z28" s="61">
        <f t="shared" si="8"/>
        <v>0</v>
      </c>
      <c r="AA28" s="61">
        <f t="shared" si="8"/>
        <v>0</v>
      </c>
      <c r="AB28" s="61">
        <f t="shared" si="8"/>
        <v>0</v>
      </c>
      <c r="AC28" s="61">
        <f t="shared" si="8"/>
        <v>0</v>
      </c>
      <c r="AD28" s="61">
        <f t="shared" si="8"/>
        <v>0</v>
      </c>
      <c r="AE28" s="61">
        <f t="shared" si="8"/>
        <v>0</v>
      </c>
      <c r="AF28" s="61">
        <f t="shared" si="8"/>
        <v>0</v>
      </c>
      <c r="AG28" s="61">
        <f t="shared" si="8"/>
        <v>0</v>
      </c>
      <c r="AH28" s="61">
        <f t="shared" si="8"/>
        <v>0</v>
      </c>
      <c r="AI28" s="61">
        <f t="shared" si="8"/>
        <v>0</v>
      </c>
      <c r="AJ28" s="61">
        <f t="shared" si="8"/>
        <v>0</v>
      </c>
      <c r="AK28" s="61">
        <f t="shared" si="8"/>
        <v>0</v>
      </c>
      <c r="AL28" s="61">
        <f t="shared" si="8"/>
        <v>0</v>
      </c>
      <c r="AM28" s="61">
        <f t="shared" si="6"/>
        <v>0</v>
      </c>
      <c r="AN28" s="61">
        <f t="shared" si="6"/>
        <v>0</v>
      </c>
      <c r="AO28" s="61">
        <f t="shared" si="6"/>
        <v>0</v>
      </c>
      <c r="AP28" s="61">
        <f t="shared" si="6"/>
        <v>0</v>
      </c>
      <c r="AQ28" s="61"/>
    </row>
    <row r="29" spans="2:43" x14ac:dyDescent="0.25">
      <c r="B29" s="54">
        <v>0.729166666686069</v>
      </c>
      <c r="C29" s="54">
        <v>1.0833333334230799</v>
      </c>
      <c r="D29" s="60"/>
      <c r="E29" s="91"/>
      <c r="G29" s="91">
        <f>SUMMARY!AH68</f>
        <v>0</v>
      </c>
      <c r="H29" s="92">
        <f t="shared" si="2"/>
        <v>0</v>
      </c>
      <c r="I29" s="180">
        <f>AH$6-AH$7</f>
        <v>0</v>
      </c>
      <c r="M29" s="61">
        <f t="shared" si="7"/>
        <v>0</v>
      </c>
      <c r="N29" s="61">
        <f t="shared" si="7"/>
        <v>0</v>
      </c>
      <c r="O29" s="61">
        <f t="shared" si="7"/>
        <v>0</v>
      </c>
      <c r="P29" s="61">
        <f t="shared" si="7"/>
        <v>0</v>
      </c>
      <c r="Q29" s="61">
        <f t="shared" si="7"/>
        <v>0</v>
      </c>
      <c r="R29" s="61">
        <f t="shared" si="7"/>
        <v>0</v>
      </c>
      <c r="S29" s="61">
        <f t="shared" si="7"/>
        <v>0</v>
      </c>
      <c r="T29" s="61">
        <f t="shared" si="7"/>
        <v>0</v>
      </c>
      <c r="U29" s="61">
        <f t="shared" si="7"/>
        <v>0</v>
      </c>
      <c r="V29" s="61">
        <f t="shared" si="7"/>
        <v>0</v>
      </c>
      <c r="W29" s="61">
        <f t="shared" si="8"/>
        <v>0</v>
      </c>
      <c r="X29" s="61">
        <f t="shared" si="8"/>
        <v>0</v>
      </c>
      <c r="Y29" s="61">
        <f t="shared" si="8"/>
        <v>0</v>
      </c>
      <c r="Z29" s="61">
        <f t="shared" si="8"/>
        <v>0</v>
      </c>
      <c r="AA29" s="61">
        <f t="shared" si="8"/>
        <v>0</v>
      </c>
      <c r="AB29" s="61">
        <f t="shared" si="8"/>
        <v>0</v>
      </c>
      <c r="AC29" s="61">
        <f t="shared" si="8"/>
        <v>0</v>
      </c>
      <c r="AD29" s="61">
        <f t="shared" si="8"/>
        <v>0</v>
      </c>
      <c r="AE29" s="61">
        <f t="shared" si="8"/>
        <v>0</v>
      </c>
      <c r="AF29" s="61">
        <f t="shared" si="8"/>
        <v>0</v>
      </c>
      <c r="AG29" s="61">
        <f t="shared" si="8"/>
        <v>0</v>
      </c>
      <c r="AH29" s="61">
        <f t="shared" si="8"/>
        <v>0</v>
      </c>
      <c r="AI29" s="61">
        <f t="shared" si="8"/>
        <v>0</v>
      </c>
      <c r="AJ29" s="61">
        <f t="shared" si="8"/>
        <v>0</v>
      </c>
      <c r="AK29" s="61">
        <f t="shared" si="8"/>
        <v>0</v>
      </c>
      <c r="AL29" s="61">
        <f t="shared" si="8"/>
        <v>0</v>
      </c>
      <c r="AM29" s="61">
        <f t="shared" si="6"/>
        <v>0</v>
      </c>
      <c r="AN29" s="61">
        <f t="shared" si="6"/>
        <v>0</v>
      </c>
      <c r="AO29" s="61">
        <f t="shared" si="6"/>
        <v>0</v>
      </c>
      <c r="AP29" s="61">
        <f t="shared" si="6"/>
        <v>0</v>
      </c>
      <c r="AQ29" s="61"/>
    </row>
    <row r="30" spans="2:43" x14ac:dyDescent="0.25">
      <c r="B30" s="54">
        <v>0.75000000002182798</v>
      </c>
      <c r="C30" s="54">
        <v>1.1041666667588399</v>
      </c>
      <c r="D30" s="60"/>
      <c r="E30" s="91"/>
      <c r="G30" s="91">
        <f>SUMMARY!AH69</f>
        <v>0</v>
      </c>
      <c r="H30" s="92">
        <f t="shared" si="2"/>
        <v>0</v>
      </c>
      <c r="I30" s="180">
        <f>AI$6-AI$7</f>
        <v>0</v>
      </c>
      <c r="M30" s="61">
        <f t="shared" si="7"/>
        <v>0</v>
      </c>
      <c r="N30" s="61">
        <f t="shared" si="7"/>
        <v>0</v>
      </c>
      <c r="O30" s="61">
        <f t="shared" si="7"/>
        <v>0</v>
      </c>
      <c r="P30" s="61">
        <f t="shared" si="7"/>
        <v>0</v>
      </c>
      <c r="Q30" s="61">
        <f t="shared" si="7"/>
        <v>0</v>
      </c>
      <c r="R30" s="61">
        <f t="shared" si="7"/>
        <v>0</v>
      </c>
      <c r="S30" s="61">
        <f t="shared" si="7"/>
        <v>0</v>
      </c>
      <c r="T30" s="61">
        <f t="shared" si="7"/>
        <v>0</v>
      </c>
      <c r="U30" s="61">
        <f t="shared" si="7"/>
        <v>0</v>
      </c>
      <c r="V30" s="61">
        <f t="shared" si="7"/>
        <v>0</v>
      </c>
      <c r="W30" s="61">
        <f t="shared" si="8"/>
        <v>0</v>
      </c>
      <c r="X30" s="61">
        <f t="shared" si="8"/>
        <v>0</v>
      </c>
      <c r="Y30" s="61">
        <f t="shared" si="8"/>
        <v>0</v>
      </c>
      <c r="Z30" s="61">
        <f t="shared" si="8"/>
        <v>0</v>
      </c>
      <c r="AA30" s="61">
        <f t="shared" si="8"/>
        <v>0</v>
      </c>
      <c r="AB30" s="61">
        <f t="shared" si="8"/>
        <v>0</v>
      </c>
      <c r="AC30" s="61">
        <f t="shared" si="8"/>
        <v>0</v>
      </c>
      <c r="AD30" s="61">
        <f t="shared" si="8"/>
        <v>0</v>
      </c>
      <c r="AE30" s="61">
        <f t="shared" si="8"/>
        <v>0</v>
      </c>
      <c r="AF30" s="61">
        <f t="shared" si="8"/>
        <v>0</v>
      </c>
      <c r="AG30" s="61">
        <f t="shared" si="8"/>
        <v>0</v>
      </c>
      <c r="AH30" s="61">
        <f t="shared" si="8"/>
        <v>0</v>
      </c>
      <c r="AI30" s="61">
        <f t="shared" si="8"/>
        <v>0</v>
      </c>
      <c r="AJ30" s="61">
        <f t="shared" si="8"/>
        <v>0</v>
      </c>
      <c r="AK30" s="61">
        <f t="shared" si="8"/>
        <v>0</v>
      </c>
      <c r="AL30" s="61">
        <f t="shared" si="8"/>
        <v>0</v>
      </c>
      <c r="AM30" s="61">
        <f t="shared" si="6"/>
        <v>0</v>
      </c>
      <c r="AN30" s="61">
        <f t="shared" si="6"/>
        <v>0</v>
      </c>
      <c r="AO30" s="61">
        <f t="shared" si="6"/>
        <v>0</v>
      </c>
      <c r="AP30" s="61">
        <f t="shared" si="6"/>
        <v>0</v>
      </c>
      <c r="AQ30" s="61"/>
    </row>
    <row r="31" spans="2:43" x14ac:dyDescent="0.25">
      <c r="B31" s="54">
        <v>0.77083333335758597</v>
      </c>
      <c r="C31" s="54">
        <v>1.1250000000945899</v>
      </c>
      <c r="D31" s="60"/>
      <c r="E31" s="91"/>
      <c r="G31" s="91">
        <f>SUMMARY!AH70</f>
        <v>0</v>
      </c>
      <c r="H31" s="92">
        <f t="shared" si="2"/>
        <v>0</v>
      </c>
      <c r="I31" s="180">
        <f>AJ$6-AJ$7</f>
        <v>0</v>
      </c>
      <c r="M31" s="61">
        <f t="shared" si="7"/>
        <v>0</v>
      </c>
      <c r="N31" s="61">
        <f t="shared" si="7"/>
        <v>0</v>
      </c>
      <c r="O31" s="61">
        <f t="shared" si="7"/>
        <v>0</v>
      </c>
      <c r="P31" s="61">
        <f t="shared" si="7"/>
        <v>0</v>
      </c>
      <c r="Q31" s="61">
        <f t="shared" si="7"/>
        <v>0</v>
      </c>
      <c r="R31" s="61">
        <f t="shared" si="7"/>
        <v>0</v>
      </c>
      <c r="S31" s="61">
        <f t="shared" si="7"/>
        <v>0</v>
      </c>
      <c r="T31" s="61">
        <f t="shared" si="7"/>
        <v>0</v>
      </c>
      <c r="U31" s="61">
        <f t="shared" si="7"/>
        <v>0</v>
      </c>
      <c r="V31" s="61">
        <f t="shared" si="7"/>
        <v>0</v>
      </c>
      <c r="W31" s="61">
        <f t="shared" si="8"/>
        <v>0</v>
      </c>
      <c r="X31" s="61">
        <f t="shared" si="8"/>
        <v>0</v>
      </c>
      <c r="Y31" s="61">
        <f t="shared" si="8"/>
        <v>0</v>
      </c>
      <c r="Z31" s="61">
        <f t="shared" si="8"/>
        <v>0</v>
      </c>
      <c r="AA31" s="61">
        <f t="shared" si="8"/>
        <v>0</v>
      </c>
      <c r="AB31" s="61">
        <f t="shared" si="8"/>
        <v>0</v>
      </c>
      <c r="AC31" s="61">
        <f t="shared" si="8"/>
        <v>0</v>
      </c>
      <c r="AD31" s="61">
        <f t="shared" si="8"/>
        <v>0</v>
      </c>
      <c r="AE31" s="61">
        <f t="shared" si="8"/>
        <v>0</v>
      </c>
      <c r="AF31" s="61">
        <f t="shared" si="8"/>
        <v>0</v>
      </c>
      <c r="AG31" s="61">
        <f t="shared" si="8"/>
        <v>0</v>
      </c>
      <c r="AH31" s="61">
        <f t="shared" si="8"/>
        <v>0</v>
      </c>
      <c r="AI31" s="61">
        <f t="shared" si="8"/>
        <v>0</v>
      </c>
      <c r="AJ31" s="61">
        <f t="shared" si="8"/>
        <v>0</v>
      </c>
      <c r="AK31" s="61">
        <f t="shared" si="8"/>
        <v>0</v>
      </c>
      <c r="AL31" s="61">
        <f t="shared" si="8"/>
        <v>0</v>
      </c>
      <c r="AM31" s="61">
        <f t="shared" si="6"/>
        <v>0</v>
      </c>
      <c r="AN31" s="61">
        <f t="shared" si="6"/>
        <v>0</v>
      </c>
      <c r="AO31" s="61">
        <f t="shared" si="6"/>
        <v>0</v>
      </c>
      <c r="AP31" s="61">
        <f t="shared" si="6"/>
        <v>0</v>
      </c>
      <c r="AQ31" s="61"/>
    </row>
    <row r="32" spans="2:43" x14ac:dyDescent="0.25">
      <c r="B32" s="54">
        <v>0.79166666669334496</v>
      </c>
      <c r="C32" s="54">
        <v>1.1458333334303501</v>
      </c>
      <c r="D32" s="60"/>
      <c r="E32" s="91"/>
      <c r="G32" s="91">
        <f>SUMMARY!AH71</f>
        <v>0</v>
      </c>
      <c r="H32" s="92">
        <f t="shared" si="2"/>
        <v>0</v>
      </c>
      <c r="I32" s="180">
        <f>AK$6-AK$7</f>
        <v>0</v>
      </c>
      <c r="M32" s="61">
        <f t="shared" si="7"/>
        <v>0</v>
      </c>
      <c r="N32" s="61">
        <f t="shared" si="7"/>
        <v>0</v>
      </c>
      <c r="O32" s="61">
        <f t="shared" si="7"/>
        <v>0</v>
      </c>
      <c r="P32" s="61">
        <f t="shared" si="7"/>
        <v>0</v>
      </c>
      <c r="Q32" s="61">
        <f t="shared" si="7"/>
        <v>0</v>
      </c>
      <c r="R32" s="61">
        <f t="shared" si="7"/>
        <v>0</v>
      </c>
      <c r="S32" s="61">
        <f t="shared" si="7"/>
        <v>0</v>
      </c>
      <c r="T32" s="61">
        <f t="shared" si="7"/>
        <v>0</v>
      </c>
      <c r="U32" s="61">
        <f t="shared" si="7"/>
        <v>0</v>
      </c>
      <c r="V32" s="61">
        <f t="shared" si="7"/>
        <v>0</v>
      </c>
      <c r="W32" s="61">
        <f t="shared" si="8"/>
        <v>0</v>
      </c>
      <c r="X32" s="61">
        <f t="shared" si="8"/>
        <v>0</v>
      </c>
      <c r="Y32" s="61">
        <f t="shared" si="8"/>
        <v>0</v>
      </c>
      <c r="Z32" s="61">
        <f t="shared" si="8"/>
        <v>0</v>
      </c>
      <c r="AA32" s="61">
        <f t="shared" si="8"/>
        <v>0</v>
      </c>
      <c r="AB32" s="61">
        <f t="shared" si="8"/>
        <v>0</v>
      </c>
      <c r="AC32" s="61">
        <f t="shared" si="8"/>
        <v>0</v>
      </c>
      <c r="AD32" s="61">
        <f t="shared" si="8"/>
        <v>0</v>
      </c>
      <c r="AE32" s="61">
        <f t="shared" si="8"/>
        <v>0</v>
      </c>
      <c r="AF32" s="61">
        <f t="shared" si="8"/>
        <v>0</v>
      </c>
      <c r="AG32" s="61">
        <f t="shared" si="8"/>
        <v>0</v>
      </c>
      <c r="AH32" s="61">
        <f t="shared" si="8"/>
        <v>0</v>
      </c>
      <c r="AI32" s="61">
        <f t="shared" si="8"/>
        <v>0</v>
      </c>
      <c r="AJ32" s="61">
        <f t="shared" si="8"/>
        <v>0</v>
      </c>
      <c r="AK32" s="61">
        <f t="shared" si="8"/>
        <v>0</v>
      </c>
      <c r="AL32" s="61">
        <f t="shared" si="8"/>
        <v>0</v>
      </c>
      <c r="AM32" s="61">
        <f t="shared" si="6"/>
        <v>0</v>
      </c>
      <c r="AN32" s="61">
        <f t="shared" si="6"/>
        <v>0</v>
      </c>
      <c r="AO32" s="61">
        <f t="shared" si="6"/>
        <v>0</v>
      </c>
      <c r="AP32" s="61">
        <f t="shared" si="6"/>
        <v>0</v>
      </c>
      <c r="AQ32" s="61"/>
    </row>
    <row r="33" spans="2:43" x14ac:dyDescent="0.25">
      <c r="B33" s="54">
        <v>0.81250000002910305</v>
      </c>
      <c r="C33" s="54">
        <v>1.1666666667661101</v>
      </c>
      <c r="D33" s="60"/>
      <c r="E33" s="91"/>
      <c r="G33" s="91">
        <f>SUMMARY!AH72</f>
        <v>0</v>
      </c>
      <c r="H33" s="92">
        <f t="shared" si="2"/>
        <v>0</v>
      </c>
      <c r="I33" s="180">
        <f>AL$6-AL$7</f>
        <v>0</v>
      </c>
      <c r="M33" s="61">
        <f t="shared" si="7"/>
        <v>0</v>
      </c>
      <c r="N33" s="61">
        <f t="shared" si="7"/>
        <v>0</v>
      </c>
      <c r="O33" s="61">
        <f t="shared" si="7"/>
        <v>0</v>
      </c>
      <c r="P33" s="61">
        <f t="shared" si="7"/>
        <v>0</v>
      </c>
      <c r="Q33" s="61">
        <f t="shared" si="7"/>
        <v>0</v>
      </c>
      <c r="R33" s="61">
        <f t="shared" si="7"/>
        <v>0</v>
      </c>
      <c r="S33" s="61">
        <f t="shared" si="7"/>
        <v>0</v>
      </c>
      <c r="T33" s="61">
        <f t="shared" si="7"/>
        <v>0</v>
      </c>
      <c r="U33" s="61">
        <f t="shared" si="7"/>
        <v>0</v>
      </c>
      <c r="V33" s="61">
        <f t="shared" si="7"/>
        <v>0</v>
      </c>
      <c r="W33" s="61">
        <f t="shared" si="8"/>
        <v>0</v>
      </c>
      <c r="X33" s="61">
        <f t="shared" si="8"/>
        <v>0</v>
      </c>
      <c r="Y33" s="61">
        <f t="shared" si="8"/>
        <v>0</v>
      </c>
      <c r="Z33" s="61">
        <f t="shared" si="8"/>
        <v>0</v>
      </c>
      <c r="AA33" s="61">
        <f t="shared" si="8"/>
        <v>0</v>
      </c>
      <c r="AB33" s="61">
        <f t="shared" si="8"/>
        <v>0</v>
      </c>
      <c r="AC33" s="61">
        <f t="shared" si="8"/>
        <v>0</v>
      </c>
      <c r="AD33" s="61">
        <f t="shared" si="8"/>
        <v>0</v>
      </c>
      <c r="AE33" s="61">
        <f t="shared" si="8"/>
        <v>0</v>
      </c>
      <c r="AF33" s="61">
        <f t="shared" si="8"/>
        <v>0</v>
      </c>
      <c r="AG33" s="61">
        <f t="shared" si="8"/>
        <v>0</v>
      </c>
      <c r="AH33" s="61">
        <f t="shared" si="8"/>
        <v>0</v>
      </c>
      <c r="AI33" s="61">
        <f t="shared" si="8"/>
        <v>0</v>
      </c>
      <c r="AJ33" s="61">
        <f t="shared" si="8"/>
        <v>0</v>
      </c>
      <c r="AK33" s="61">
        <f t="shared" si="8"/>
        <v>0</v>
      </c>
      <c r="AL33" s="61">
        <f t="shared" si="8"/>
        <v>0</v>
      </c>
      <c r="AM33" s="61">
        <f t="shared" si="6"/>
        <v>0</v>
      </c>
      <c r="AN33" s="61">
        <f t="shared" si="6"/>
        <v>0</v>
      </c>
      <c r="AO33" s="61">
        <f t="shared" si="6"/>
        <v>0</v>
      </c>
      <c r="AP33" s="61">
        <f t="shared" si="6"/>
        <v>0</v>
      </c>
      <c r="AQ33" s="61"/>
    </row>
    <row r="34" spans="2:43" x14ac:dyDescent="0.25">
      <c r="B34" s="54">
        <v>0.83333333336486204</v>
      </c>
      <c r="C34" s="54">
        <v>1.1875000001018701</v>
      </c>
      <c r="D34" s="60"/>
      <c r="E34" s="91"/>
      <c r="G34" s="91">
        <f>SUMMARY!AH73</f>
        <v>0</v>
      </c>
      <c r="H34" s="92">
        <f t="shared" si="2"/>
        <v>0</v>
      </c>
      <c r="I34" s="180">
        <f>AM$6-AM$7</f>
        <v>0</v>
      </c>
      <c r="M34" s="61">
        <f t="shared" si="7"/>
        <v>0</v>
      </c>
      <c r="N34" s="61">
        <f t="shared" si="7"/>
        <v>0</v>
      </c>
      <c r="O34" s="61">
        <f t="shared" si="7"/>
        <v>0</v>
      </c>
      <c r="P34" s="61">
        <f t="shared" si="7"/>
        <v>0</v>
      </c>
      <c r="Q34" s="61">
        <f t="shared" si="7"/>
        <v>0</v>
      </c>
      <c r="R34" s="61">
        <f t="shared" si="7"/>
        <v>0</v>
      </c>
      <c r="S34" s="61">
        <f t="shared" si="7"/>
        <v>0</v>
      </c>
      <c r="T34" s="61">
        <f t="shared" si="7"/>
        <v>0</v>
      </c>
      <c r="U34" s="61">
        <f t="shared" si="7"/>
        <v>0</v>
      </c>
      <c r="V34" s="61">
        <f t="shared" si="7"/>
        <v>0</v>
      </c>
      <c r="W34" s="61">
        <f t="shared" si="8"/>
        <v>0</v>
      </c>
      <c r="X34" s="61">
        <f t="shared" si="8"/>
        <v>0</v>
      </c>
      <c r="Y34" s="61">
        <f t="shared" si="8"/>
        <v>0</v>
      </c>
      <c r="Z34" s="61">
        <f t="shared" si="8"/>
        <v>0</v>
      </c>
      <c r="AA34" s="61">
        <f t="shared" si="8"/>
        <v>0</v>
      </c>
      <c r="AB34" s="61">
        <f t="shared" si="8"/>
        <v>0</v>
      </c>
      <c r="AC34" s="61">
        <f t="shared" si="8"/>
        <v>0</v>
      </c>
      <c r="AD34" s="61">
        <f t="shared" si="8"/>
        <v>0</v>
      </c>
      <c r="AE34" s="61">
        <f t="shared" si="8"/>
        <v>0</v>
      </c>
      <c r="AF34" s="61">
        <f t="shared" si="8"/>
        <v>0</v>
      </c>
      <c r="AG34" s="61">
        <f t="shared" si="8"/>
        <v>0</v>
      </c>
      <c r="AH34" s="61">
        <f t="shared" si="8"/>
        <v>0</v>
      </c>
      <c r="AI34" s="61">
        <f t="shared" si="8"/>
        <v>0</v>
      </c>
      <c r="AJ34" s="61">
        <f t="shared" si="8"/>
        <v>0</v>
      </c>
      <c r="AK34" s="61">
        <f t="shared" si="8"/>
        <v>0</v>
      </c>
      <c r="AL34" s="61">
        <f t="shared" si="8"/>
        <v>0</v>
      </c>
      <c r="AM34" s="61">
        <f t="shared" si="6"/>
        <v>0</v>
      </c>
      <c r="AN34" s="61">
        <f t="shared" si="6"/>
        <v>0</v>
      </c>
      <c r="AO34" s="61">
        <f t="shared" si="6"/>
        <v>0</v>
      </c>
      <c r="AP34" s="61">
        <f t="shared" si="6"/>
        <v>0</v>
      </c>
      <c r="AQ34" s="61"/>
    </row>
    <row r="35" spans="2:43" x14ac:dyDescent="0.25">
      <c r="B35" s="54">
        <v>0.85416666670062102</v>
      </c>
      <c r="C35" s="54">
        <v>1.2083333334376301</v>
      </c>
      <c r="D35" s="60"/>
      <c r="E35" s="91"/>
      <c r="G35" s="91">
        <f>SUMMARY!AH74</f>
        <v>0</v>
      </c>
      <c r="H35" s="92">
        <f t="shared" si="2"/>
        <v>0</v>
      </c>
      <c r="I35" s="180">
        <f>AN$6-AN$7</f>
        <v>0</v>
      </c>
      <c r="M35" s="61">
        <f t="shared" si="7"/>
        <v>0</v>
      </c>
      <c r="N35" s="61">
        <f t="shared" si="7"/>
        <v>0</v>
      </c>
      <c r="O35" s="61">
        <f t="shared" si="7"/>
        <v>0</v>
      </c>
      <c r="P35" s="61">
        <f t="shared" si="7"/>
        <v>0</v>
      </c>
      <c r="Q35" s="61">
        <f t="shared" si="7"/>
        <v>0</v>
      </c>
      <c r="R35" s="61">
        <f t="shared" si="7"/>
        <v>0</v>
      </c>
      <c r="S35" s="61">
        <f t="shared" si="7"/>
        <v>0</v>
      </c>
      <c r="T35" s="61">
        <f t="shared" si="7"/>
        <v>0</v>
      </c>
      <c r="U35" s="61">
        <f t="shared" si="7"/>
        <v>0</v>
      </c>
      <c r="V35" s="61">
        <f t="shared" si="7"/>
        <v>0</v>
      </c>
      <c r="W35" s="61">
        <f t="shared" si="8"/>
        <v>0</v>
      </c>
      <c r="X35" s="61">
        <f t="shared" si="8"/>
        <v>0</v>
      </c>
      <c r="Y35" s="61">
        <f t="shared" si="8"/>
        <v>0</v>
      </c>
      <c r="Z35" s="61">
        <f t="shared" si="8"/>
        <v>0</v>
      </c>
      <c r="AA35" s="61">
        <f t="shared" si="8"/>
        <v>0</v>
      </c>
      <c r="AB35" s="61">
        <f t="shared" si="8"/>
        <v>0</v>
      </c>
      <c r="AC35" s="61">
        <f t="shared" si="8"/>
        <v>0</v>
      </c>
      <c r="AD35" s="61">
        <f t="shared" si="8"/>
        <v>0</v>
      </c>
      <c r="AE35" s="61">
        <f t="shared" si="8"/>
        <v>0</v>
      </c>
      <c r="AF35" s="61">
        <f t="shared" si="8"/>
        <v>0</v>
      </c>
      <c r="AG35" s="61">
        <f t="shared" si="8"/>
        <v>0</v>
      </c>
      <c r="AH35" s="61">
        <f t="shared" si="8"/>
        <v>0</v>
      </c>
      <c r="AI35" s="61">
        <f t="shared" si="8"/>
        <v>0</v>
      </c>
      <c r="AJ35" s="61">
        <f t="shared" si="8"/>
        <v>0</v>
      </c>
      <c r="AK35" s="61">
        <f t="shared" si="8"/>
        <v>0</v>
      </c>
      <c r="AL35" s="61">
        <f t="shared" si="8"/>
        <v>0</v>
      </c>
      <c r="AM35" s="61">
        <f t="shared" si="6"/>
        <v>0</v>
      </c>
      <c r="AN35" s="61">
        <f t="shared" si="6"/>
        <v>0</v>
      </c>
      <c r="AO35" s="61">
        <f t="shared" si="6"/>
        <v>0</v>
      </c>
      <c r="AP35" s="61">
        <f t="shared" si="6"/>
        <v>0</v>
      </c>
      <c r="AQ35" s="61"/>
    </row>
    <row r="36" spans="2:43" x14ac:dyDescent="0.25">
      <c r="B36" s="54">
        <v>0.87500000003637901</v>
      </c>
      <c r="C36" s="54">
        <v>1.22916666677339</v>
      </c>
      <c r="D36" s="60"/>
      <c r="E36" s="91"/>
      <c r="G36" s="91">
        <f>SUMMARY!AH75</f>
        <v>0</v>
      </c>
      <c r="H36" s="92">
        <f t="shared" si="2"/>
        <v>0</v>
      </c>
      <c r="I36" s="180">
        <f>AO$6-AO$7</f>
        <v>0</v>
      </c>
      <c r="M36" s="61">
        <f t="shared" si="7"/>
        <v>0</v>
      </c>
      <c r="N36" s="61">
        <f t="shared" si="7"/>
        <v>0</v>
      </c>
      <c r="O36" s="61">
        <f t="shared" si="7"/>
        <v>0</v>
      </c>
      <c r="P36" s="61">
        <f t="shared" si="7"/>
        <v>0</v>
      </c>
      <c r="Q36" s="61">
        <f t="shared" si="7"/>
        <v>0</v>
      </c>
      <c r="R36" s="61">
        <f t="shared" si="7"/>
        <v>0</v>
      </c>
      <c r="S36" s="61">
        <f t="shared" si="7"/>
        <v>0</v>
      </c>
      <c r="T36" s="61">
        <f t="shared" si="7"/>
        <v>0</v>
      </c>
      <c r="U36" s="61">
        <f t="shared" si="7"/>
        <v>0</v>
      </c>
      <c r="V36" s="61">
        <f t="shared" si="7"/>
        <v>0</v>
      </c>
      <c r="W36" s="61">
        <f t="shared" si="8"/>
        <v>0</v>
      </c>
      <c r="X36" s="61">
        <f t="shared" si="8"/>
        <v>0</v>
      </c>
      <c r="Y36" s="61">
        <f t="shared" si="8"/>
        <v>0</v>
      </c>
      <c r="Z36" s="61">
        <f t="shared" si="8"/>
        <v>0</v>
      </c>
      <c r="AA36" s="61">
        <f t="shared" si="8"/>
        <v>0</v>
      </c>
      <c r="AB36" s="61">
        <f t="shared" si="8"/>
        <v>0</v>
      </c>
      <c r="AC36" s="61">
        <f t="shared" si="8"/>
        <v>0</v>
      </c>
      <c r="AD36" s="61">
        <f t="shared" si="8"/>
        <v>0</v>
      </c>
      <c r="AE36" s="61">
        <f t="shared" si="8"/>
        <v>0</v>
      </c>
      <c r="AF36" s="61">
        <f t="shared" si="8"/>
        <v>0</v>
      </c>
      <c r="AG36" s="61">
        <f t="shared" si="8"/>
        <v>0</v>
      </c>
      <c r="AH36" s="61">
        <f t="shared" si="8"/>
        <v>0</v>
      </c>
      <c r="AI36" s="61">
        <f t="shared" si="8"/>
        <v>0</v>
      </c>
      <c r="AJ36" s="61">
        <f t="shared" si="8"/>
        <v>0</v>
      </c>
      <c r="AK36" s="61">
        <f t="shared" si="8"/>
        <v>0</v>
      </c>
      <c r="AL36" s="61">
        <f t="shared" si="8"/>
        <v>0</v>
      </c>
      <c r="AM36" s="61">
        <f t="shared" si="6"/>
        <v>0</v>
      </c>
      <c r="AN36" s="61">
        <f t="shared" si="6"/>
        <v>0</v>
      </c>
      <c r="AO36" s="61">
        <f t="shared" si="6"/>
        <v>0</v>
      </c>
      <c r="AP36" s="61">
        <f t="shared" si="6"/>
        <v>0</v>
      </c>
      <c r="AQ36" s="61"/>
    </row>
    <row r="37" spans="2:43" x14ac:dyDescent="0.25">
      <c r="B37" s="54">
        <v>0.895833333372138</v>
      </c>
      <c r="C37" s="54">
        <v>1.25000000010915</v>
      </c>
      <c r="D37" s="60"/>
      <c r="E37" s="91"/>
      <c r="G37" s="91">
        <f>SUMMARY!AH76</f>
        <v>0</v>
      </c>
      <c r="H37" s="92">
        <f t="shared" si="2"/>
        <v>0</v>
      </c>
      <c r="I37" s="180">
        <f>AP$6-AP$7</f>
        <v>0</v>
      </c>
      <c r="M37" s="61">
        <f t="shared" si="7"/>
        <v>0</v>
      </c>
      <c r="N37" s="61">
        <f t="shared" si="7"/>
        <v>0</v>
      </c>
      <c r="O37" s="61">
        <f t="shared" si="7"/>
        <v>0</v>
      </c>
      <c r="P37" s="61">
        <f t="shared" si="7"/>
        <v>0</v>
      </c>
      <c r="Q37" s="61">
        <f t="shared" si="7"/>
        <v>0</v>
      </c>
      <c r="R37" s="61">
        <f t="shared" si="7"/>
        <v>0</v>
      </c>
      <c r="S37" s="61">
        <f t="shared" si="7"/>
        <v>0</v>
      </c>
      <c r="T37" s="61">
        <f t="shared" si="7"/>
        <v>0</v>
      </c>
      <c r="U37" s="61">
        <f t="shared" si="7"/>
        <v>0</v>
      </c>
      <c r="V37" s="61">
        <f t="shared" si="7"/>
        <v>0</v>
      </c>
      <c r="W37" s="61">
        <f t="shared" si="8"/>
        <v>0</v>
      </c>
      <c r="X37" s="61">
        <f t="shared" si="8"/>
        <v>0</v>
      </c>
      <c r="Y37" s="61">
        <f t="shared" si="8"/>
        <v>0</v>
      </c>
      <c r="Z37" s="61">
        <f t="shared" si="8"/>
        <v>0</v>
      </c>
      <c r="AA37" s="61">
        <f t="shared" si="8"/>
        <v>0</v>
      </c>
      <c r="AB37" s="61">
        <f t="shared" si="8"/>
        <v>0</v>
      </c>
      <c r="AC37" s="61">
        <f t="shared" si="8"/>
        <v>0</v>
      </c>
      <c r="AD37" s="61">
        <f t="shared" si="8"/>
        <v>0</v>
      </c>
      <c r="AE37" s="61">
        <f t="shared" si="8"/>
        <v>0</v>
      </c>
      <c r="AF37" s="61">
        <f t="shared" si="8"/>
        <v>0</v>
      </c>
      <c r="AG37" s="61">
        <f t="shared" si="8"/>
        <v>0</v>
      </c>
      <c r="AH37" s="61">
        <f t="shared" si="8"/>
        <v>0</v>
      </c>
      <c r="AI37" s="61">
        <f t="shared" si="8"/>
        <v>0</v>
      </c>
      <c r="AJ37" s="61">
        <f t="shared" si="8"/>
        <v>0</v>
      </c>
      <c r="AK37" s="61">
        <f t="shared" si="8"/>
        <v>0</v>
      </c>
      <c r="AL37" s="61">
        <f t="shared" si="8"/>
        <v>0</v>
      </c>
      <c r="AM37" s="61">
        <f t="shared" si="6"/>
        <v>0</v>
      </c>
      <c r="AN37" s="61">
        <f t="shared" si="6"/>
        <v>0</v>
      </c>
      <c r="AO37" s="61">
        <f t="shared" si="6"/>
        <v>0</v>
      </c>
      <c r="AP37" s="61">
        <f t="shared" si="6"/>
        <v>0</v>
      </c>
      <c r="AQ37" s="61"/>
    </row>
    <row r="38" spans="2:43" x14ac:dyDescent="0.25">
      <c r="E38" s="91"/>
      <c r="G38" s="91"/>
      <c r="I38" s="180"/>
    </row>
    <row r="39" spans="2:43" x14ac:dyDescent="0.25">
      <c r="B39" s="52"/>
      <c r="C39" s="52"/>
    </row>
    <row r="40" spans="2:43" x14ac:dyDescent="0.25">
      <c r="B40" s="52"/>
      <c r="C40" s="52"/>
      <c r="M40" s="180">
        <f t="shared" ref="M40:AP40" si="9">M$6-M$7</f>
        <v>0</v>
      </c>
      <c r="N40" s="180">
        <f t="shared" si="9"/>
        <v>0</v>
      </c>
      <c r="O40" s="180">
        <f t="shared" si="9"/>
        <v>0</v>
      </c>
      <c r="P40" s="180">
        <f t="shared" si="9"/>
        <v>0</v>
      </c>
      <c r="Q40" s="180">
        <f t="shared" si="9"/>
        <v>0</v>
      </c>
      <c r="R40" s="180">
        <f t="shared" si="9"/>
        <v>0</v>
      </c>
      <c r="S40" s="180">
        <f t="shared" si="9"/>
        <v>0</v>
      </c>
      <c r="T40" s="180">
        <f t="shared" si="9"/>
        <v>0</v>
      </c>
      <c r="U40" s="180">
        <f t="shared" si="9"/>
        <v>0</v>
      </c>
      <c r="V40" s="180">
        <f t="shared" si="9"/>
        <v>0</v>
      </c>
      <c r="W40" s="180">
        <f t="shared" si="9"/>
        <v>0</v>
      </c>
      <c r="X40" s="180">
        <f t="shared" si="9"/>
        <v>0</v>
      </c>
      <c r="Y40" s="180">
        <f t="shared" si="9"/>
        <v>0</v>
      </c>
      <c r="Z40" s="180">
        <f t="shared" si="9"/>
        <v>0</v>
      </c>
      <c r="AA40" s="180">
        <f t="shared" si="9"/>
        <v>0</v>
      </c>
      <c r="AB40" s="180">
        <f t="shared" si="9"/>
        <v>0</v>
      </c>
      <c r="AC40" s="180">
        <f t="shared" si="9"/>
        <v>0</v>
      </c>
      <c r="AD40" s="180">
        <f t="shared" si="9"/>
        <v>0</v>
      </c>
      <c r="AE40" s="180">
        <f t="shared" si="9"/>
        <v>0</v>
      </c>
      <c r="AF40" s="180">
        <f t="shared" si="9"/>
        <v>0</v>
      </c>
      <c r="AG40" s="180">
        <f t="shared" si="9"/>
        <v>0</v>
      </c>
      <c r="AH40" s="180">
        <f t="shared" si="9"/>
        <v>0</v>
      </c>
      <c r="AI40" s="180">
        <f t="shared" si="9"/>
        <v>0</v>
      </c>
      <c r="AJ40" s="180">
        <f t="shared" si="9"/>
        <v>0</v>
      </c>
      <c r="AK40" s="180">
        <f t="shared" si="9"/>
        <v>0</v>
      </c>
      <c r="AL40" s="180">
        <f t="shared" si="9"/>
        <v>0</v>
      </c>
      <c r="AM40" s="180">
        <f t="shared" si="9"/>
        <v>0</v>
      </c>
      <c r="AN40" s="180">
        <f t="shared" si="9"/>
        <v>0</v>
      </c>
      <c r="AO40" s="180">
        <f t="shared" si="9"/>
        <v>0</v>
      </c>
      <c r="AP40" s="180">
        <f t="shared" si="9"/>
        <v>0</v>
      </c>
    </row>
    <row r="41" spans="2:43" x14ac:dyDescent="0.25">
      <c r="B41" s="52"/>
      <c r="C41" s="52"/>
    </row>
    <row r="42" spans="2:43" x14ac:dyDescent="0.25">
      <c r="B42" s="52"/>
      <c r="C42" s="52"/>
    </row>
    <row r="43" spans="2:43" x14ac:dyDescent="0.25">
      <c r="B43" s="52"/>
      <c r="C43" s="52"/>
    </row>
    <row r="44" spans="2:43" x14ac:dyDescent="0.25">
      <c r="B44" s="52"/>
      <c r="C44" s="52"/>
    </row>
    <row r="45" spans="2:43" x14ac:dyDescent="0.25">
      <c r="B45" s="52"/>
      <c r="C45" s="52"/>
    </row>
    <row r="46" spans="2:43" s="52" customFormat="1" x14ac:dyDescent="0.25">
      <c r="E46" s="53"/>
      <c r="F46" s="53"/>
      <c r="G46" s="53"/>
      <c r="H46" s="53"/>
      <c r="I46" s="53"/>
      <c r="J46" s="53"/>
      <c r="K46" s="58" t="s">
        <v>32</v>
      </c>
      <c r="L46" s="53"/>
      <c r="M46" s="84">
        <f>G51</f>
        <v>0</v>
      </c>
      <c r="N46" s="84">
        <f>M46+G52</f>
        <v>0</v>
      </c>
      <c r="O46" s="84">
        <f>N46+G53</f>
        <v>0</v>
      </c>
      <c r="P46" s="84">
        <f>+O46+G54</f>
        <v>0</v>
      </c>
      <c r="Q46" s="84">
        <f>P46+G55</f>
        <v>0</v>
      </c>
      <c r="R46" s="84">
        <f>Q46+G56</f>
        <v>0</v>
      </c>
      <c r="S46" s="84">
        <f>R46+G57</f>
        <v>0</v>
      </c>
      <c r="T46" s="84">
        <f>S46+G58</f>
        <v>0</v>
      </c>
      <c r="U46" s="84">
        <f>T46+G59-G51</f>
        <v>0</v>
      </c>
      <c r="V46" s="84">
        <f>U46+G60-G52</f>
        <v>0</v>
      </c>
      <c r="W46" s="84">
        <f>V46+G61-G53</f>
        <v>0</v>
      </c>
      <c r="X46" s="84">
        <f>W46+G62-G54</f>
        <v>0</v>
      </c>
      <c r="Y46" s="84">
        <f>X46+G63-G55</f>
        <v>0</v>
      </c>
      <c r="Z46" s="84">
        <f>Y46+G64-G56</f>
        <v>0</v>
      </c>
      <c r="AA46" s="84">
        <f>Z46+G65-G57</f>
        <v>0</v>
      </c>
      <c r="AB46" s="84">
        <f>AA46+G66-G58</f>
        <v>0</v>
      </c>
      <c r="AC46" s="84">
        <f>AB46+G67-G59</f>
        <v>0</v>
      </c>
      <c r="AD46" s="84">
        <f>AC46+G68-G60</f>
        <v>0</v>
      </c>
      <c r="AE46" s="84">
        <f>AD46+G69-G61</f>
        <v>0</v>
      </c>
      <c r="AF46" s="84">
        <f>AE46+G70-G62</f>
        <v>0</v>
      </c>
      <c r="AG46" s="84">
        <f>AF46+G71-G63</f>
        <v>0</v>
      </c>
      <c r="AH46" s="84">
        <f>AG46+G72-G64</f>
        <v>0</v>
      </c>
      <c r="AI46" s="84">
        <f>AH46+G73-G65</f>
        <v>0</v>
      </c>
      <c r="AJ46" s="84">
        <f>AI46+G74-G66</f>
        <v>0</v>
      </c>
      <c r="AK46" s="84">
        <f>AJ46+G75-G67</f>
        <v>0</v>
      </c>
      <c r="AL46" s="84">
        <f>AK46+G76-G68</f>
        <v>0</v>
      </c>
      <c r="AM46" s="84">
        <f>AL46+G77-G69</f>
        <v>0</v>
      </c>
      <c r="AN46" s="84">
        <f>AM46+G78-G70</f>
        <v>0</v>
      </c>
      <c r="AO46" s="84">
        <f>AN46+G79-G71</f>
        <v>0</v>
      </c>
      <c r="AP46" s="84">
        <f>AO46+G80-G72</f>
        <v>0</v>
      </c>
      <c r="AQ46" s="84">
        <f>SUM(M46:AP46)/8.5</f>
        <v>0</v>
      </c>
    </row>
    <row r="47" spans="2:43" x14ac:dyDescent="0.25">
      <c r="J47" s="57"/>
      <c r="K47" s="58" t="s">
        <v>31</v>
      </c>
      <c r="M47" s="84">
        <f>F51</f>
        <v>0</v>
      </c>
      <c r="N47" s="84">
        <f>M47+F52</f>
        <v>0</v>
      </c>
      <c r="O47" s="84">
        <f>N47+F53</f>
        <v>0</v>
      </c>
      <c r="P47" s="84">
        <f>O47+F54</f>
        <v>0</v>
      </c>
      <c r="Q47" s="84">
        <f>P47+F55</f>
        <v>0</v>
      </c>
      <c r="R47" s="84">
        <f>Q47+F56</f>
        <v>0</v>
      </c>
      <c r="S47" s="84">
        <f>R47+F57</f>
        <v>0</v>
      </c>
      <c r="T47" s="84">
        <f>S47+F58</f>
        <v>0</v>
      </c>
      <c r="U47" s="84">
        <f>T47+F59</f>
        <v>0</v>
      </c>
      <c r="V47" s="84">
        <f>U47</f>
        <v>0</v>
      </c>
      <c r="W47" s="84">
        <f>V47</f>
        <v>0</v>
      </c>
      <c r="X47" s="84">
        <f>W47</f>
        <v>0</v>
      </c>
      <c r="Y47" s="96"/>
      <c r="Z47" s="96"/>
      <c r="AA47" s="96"/>
      <c r="AB47" s="96"/>
      <c r="AC47" s="84">
        <f t="shared" ref="AC47:AN47" si="10">M47</f>
        <v>0</v>
      </c>
      <c r="AD47" s="84">
        <f t="shared" si="10"/>
        <v>0</v>
      </c>
      <c r="AE47" s="84">
        <f t="shared" si="10"/>
        <v>0</v>
      </c>
      <c r="AF47" s="84">
        <f t="shared" si="10"/>
        <v>0</v>
      </c>
      <c r="AG47" s="84">
        <f t="shared" si="10"/>
        <v>0</v>
      </c>
      <c r="AH47" s="84">
        <f t="shared" si="10"/>
        <v>0</v>
      </c>
      <c r="AI47" s="84">
        <f t="shared" si="10"/>
        <v>0</v>
      </c>
      <c r="AJ47" s="84">
        <f t="shared" si="10"/>
        <v>0</v>
      </c>
      <c r="AK47" s="84">
        <f t="shared" si="10"/>
        <v>0</v>
      </c>
      <c r="AL47" s="84">
        <f t="shared" si="10"/>
        <v>0</v>
      </c>
      <c r="AM47" s="84">
        <f t="shared" si="10"/>
        <v>0</v>
      </c>
      <c r="AN47" s="84">
        <f t="shared" si="10"/>
        <v>0</v>
      </c>
      <c r="AO47" s="84"/>
      <c r="AP47" s="84"/>
      <c r="AQ47" s="182"/>
    </row>
    <row r="48" spans="2:43" s="57" customFormat="1" ht="17.25" customHeight="1" x14ac:dyDescent="0.25">
      <c r="K48" s="58" t="s">
        <v>13</v>
      </c>
      <c r="M48" s="84"/>
      <c r="N48" s="84"/>
      <c r="O48" s="84"/>
      <c r="P48" s="84"/>
      <c r="Q48" s="84"/>
      <c r="R48" s="84"/>
      <c r="S48" s="84"/>
      <c r="T48" s="84"/>
      <c r="U48" s="84">
        <f>M47</f>
        <v>0</v>
      </c>
      <c r="V48" s="84">
        <f>N47</f>
        <v>0</v>
      </c>
      <c r="W48" s="84">
        <f>O47</f>
        <v>0</v>
      </c>
      <c r="X48" s="84">
        <f>P47</f>
        <v>0</v>
      </c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>
        <f>AC47</f>
        <v>0</v>
      </c>
      <c r="AL48" s="84">
        <f>AD47</f>
        <v>0</v>
      </c>
      <c r="AM48" s="84">
        <f>AE47</f>
        <v>0</v>
      </c>
      <c r="AN48" s="84">
        <f>AF47</f>
        <v>0</v>
      </c>
      <c r="AO48" s="84"/>
      <c r="AP48" s="85"/>
      <c r="AQ48" s="86"/>
    </row>
    <row r="49" spans="2:43" s="57" customFormat="1" ht="17.25" customHeight="1" x14ac:dyDescent="0.25">
      <c r="B49" s="57" t="s">
        <v>17</v>
      </c>
      <c r="E49" s="59" t="s">
        <v>8</v>
      </c>
      <c r="F49" s="59" t="s">
        <v>15</v>
      </c>
      <c r="G49" s="59" t="s">
        <v>32</v>
      </c>
      <c r="H49" s="59" t="s">
        <v>16</v>
      </c>
      <c r="J49" s="58" t="s">
        <v>9</v>
      </c>
      <c r="K49" s="58">
        <f>SUM(M49:AP49)/16</f>
        <v>0</v>
      </c>
      <c r="M49" s="87">
        <f t="shared" ref="M49:AP49" si="11">SUM(M51:M80)+M47+M46-M48</f>
        <v>0</v>
      </c>
      <c r="N49" s="87">
        <f t="shared" si="11"/>
        <v>0</v>
      </c>
      <c r="O49" s="87">
        <f t="shared" si="11"/>
        <v>0</v>
      </c>
      <c r="P49" s="87">
        <f t="shared" si="11"/>
        <v>0</v>
      </c>
      <c r="Q49" s="87">
        <f t="shared" si="11"/>
        <v>0</v>
      </c>
      <c r="R49" s="87">
        <f t="shared" si="11"/>
        <v>0</v>
      </c>
      <c r="S49" s="87">
        <f t="shared" si="11"/>
        <v>0</v>
      </c>
      <c r="T49" s="87">
        <f t="shared" si="11"/>
        <v>0</v>
      </c>
      <c r="U49" s="87">
        <f t="shared" si="11"/>
        <v>0</v>
      </c>
      <c r="V49" s="87">
        <f t="shared" si="11"/>
        <v>0</v>
      </c>
      <c r="W49" s="87">
        <f t="shared" si="11"/>
        <v>0</v>
      </c>
      <c r="X49" s="87">
        <f t="shared" si="11"/>
        <v>0</v>
      </c>
      <c r="Y49" s="87">
        <f t="shared" si="11"/>
        <v>0</v>
      </c>
      <c r="Z49" s="87">
        <f t="shared" si="11"/>
        <v>0</v>
      </c>
      <c r="AA49" s="87">
        <f t="shared" si="11"/>
        <v>0</v>
      </c>
      <c r="AB49" s="87">
        <f t="shared" si="11"/>
        <v>0</v>
      </c>
      <c r="AC49" s="87">
        <f t="shared" si="11"/>
        <v>0</v>
      </c>
      <c r="AD49" s="87">
        <f t="shared" si="11"/>
        <v>0</v>
      </c>
      <c r="AE49" s="87">
        <f t="shared" si="11"/>
        <v>0</v>
      </c>
      <c r="AF49" s="87">
        <f t="shared" si="11"/>
        <v>0</v>
      </c>
      <c r="AG49" s="87">
        <f t="shared" si="11"/>
        <v>0</v>
      </c>
      <c r="AH49" s="87">
        <f t="shared" si="11"/>
        <v>0</v>
      </c>
      <c r="AI49" s="87">
        <f t="shared" si="11"/>
        <v>0</v>
      </c>
      <c r="AJ49" s="87">
        <f t="shared" si="11"/>
        <v>0</v>
      </c>
      <c r="AK49" s="87">
        <f t="shared" si="11"/>
        <v>0</v>
      </c>
      <c r="AL49" s="87">
        <f t="shared" si="11"/>
        <v>0</v>
      </c>
      <c r="AM49" s="87">
        <f t="shared" si="11"/>
        <v>0</v>
      </c>
      <c r="AN49" s="87">
        <f t="shared" si="11"/>
        <v>0</v>
      </c>
      <c r="AO49" s="87">
        <f t="shared" si="11"/>
        <v>0</v>
      </c>
      <c r="AP49" s="87">
        <f t="shared" si="11"/>
        <v>0</v>
      </c>
      <c r="AQ49" s="87"/>
    </row>
    <row r="50" spans="2:43" s="88" customFormat="1" x14ac:dyDescent="0.25">
      <c r="E50" s="178">
        <f>SUM(E51:E80)</f>
        <v>0</v>
      </c>
      <c r="F50" s="178">
        <f>SUM(F51:F80)</f>
        <v>0</v>
      </c>
      <c r="G50" s="178">
        <f>SUM(G51:G80)</f>
        <v>0</v>
      </c>
      <c r="H50" s="178">
        <f>SUM(H51:H80)</f>
        <v>0</v>
      </c>
      <c r="I50" s="89"/>
      <c r="J50" s="89"/>
      <c r="K50" s="58" t="s">
        <v>7</v>
      </c>
      <c r="L50" s="89"/>
      <c r="M50" s="180">
        <f>SUMMARY!$F$6</f>
        <v>0</v>
      </c>
      <c r="N50" s="180">
        <f>SUMMARY!$F$7</f>
        <v>0</v>
      </c>
      <c r="O50" s="180">
        <f>SUMMARY!$F$8</f>
        <v>0</v>
      </c>
      <c r="P50" s="180">
        <f>SUMMARY!$F$9</f>
        <v>0</v>
      </c>
      <c r="Q50" s="180">
        <f>SUMMARY!$F$10</f>
        <v>0</v>
      </c>
      <c r="R50" s="180">
        <f>SUMMARY!$F$11</f>
        <v>0</v>
      </c>
      <c r="S50" s="180">
        <f>SUMMARY!$F$12</f>
        <v>0</v>
      </c>
      <c r="T50" s="180">
        <f>SUMMARY!$F$13</f>
        <v>0</v>
      </c>
      <c r="U50" s="180">
        <f>SUMMARY!$F$14</f>
        <v>0</v>
      </c>
      <c r="V50" s="180">
        <f>SUMMARY!$F$15</f>
        <v>0</v>
      </c>
      <c r="W50" s="180">
        <f>SUMMARY!$F$16</f>
        <v>0</v>
      </c>
      <c r="X50" s="180">
        <f>SUMMARY!$F$17</f>
        <v>0</v>
      </c>
      <c r="Y50" s="180">
        <f>SUMMARY!$F$18</f>
        <v>0</v>
      </c>
      <c r="Z50" s="180">
        <f>SUMMARY!$F$19</f>
        <v>0</v>
      </c>
      <c r="AA50" s="180">
        <f>SUMMARY!$F$20</f>
        <v>0</v>
      </c>
      <c r="AB50" s="180">
        <f>SUMMARY!$F$21</f>
        <v>0</v>
      </c>
      <c r="AC50" s="180">
        <f>SUMMARY!$F$22</f>
        <v>0</v>
      </c>
      <c r="AD50" s="180">
        <f>SUMMARY!$F$23</f>
        <v>0</v>
      </c>
      <c r="AE50" s="180">
        <f>SUMMARY!$F$24</f>
        <v>0</v>
      </c>
      <c r="AF50" s="180">
        <f>SUMMARY!$F$25</f>
        <v>0</v>
      </c>
      <c r="AG50" s="180">
        <f>SUMMARY!$F$26</f>
        <v>0</v>
      </c>
      <c r="AH50" s="180">
        <f>SUMMARY!$F$27</f>
        <v>0</v>
      </c>
      <c r="AI50" s="180">
        <f>SUMMARY!$F$28</f>
        <v>0</v>
      </c>
      <c r="AJ50" s="180">
        <f>SUMMARY!$F$29</f>
        <v>0</v>
      </c>
      <c r="AK50" s="180">
        <f>SUMMARY!$F$30</f>
        <v>0</v>
      </c>
      <c r="AL50" s="180">
        <f>SUMMARY!$F$31</f>
        <v>0</v>
      </c>
      <c r="AM50" s="180">
        <f>SUMMARY!$F$32</f>
        <v>0</v>
      </c>
      <c r="AN50" s="180">
        <f>SUMMARY!$F$33</f>
        <v>0</v>
      </c>
      <c r="AO50" s="180">
        <f>SUMMARY!$F$34</f>
        <v>0</v>
      </c>
      <c r="AP50" s="180">
        <f>SUMMARY!$F$35</f>
        <v>0</v>
      </c>
      <c r="AQ50" s="180">
        <f>NCC!$O$36</f>
        <v>0</v>
      </c>
    </row>
    <row r="51" spans="2:43" x14ac:dyDescent="0.25">
      <c r="B51" s="54">
        <v>0.29166666666424135</v>
      </c>
      <c r="C51" s="54">
        <v>0.645833333372138</v>
      </c>
      <c r="D51" s="60"/>
      <c r="E51" s="91">
        <f>SUMMARY!X47</f>
        <v>0</v>
      </c>
      <c r="F51" s="91">
        <f>SUMMARY!AP47</f>
        <v>0</v>
      </c>
      <c r="G51" s="91">
        <f>SUMMARY!AI47</f>
        <v>0</v>
      </c>
      <c r="H51" s="92">
        <f t="shared" ref="H51:H80" si="12">SUM(E51:G51)</f>
        <v>0</v>
      </c>
      <c r="I51" s="180">
        <f>M$49-M$50</f>
        <v>0</v>
      </c>
      <c r="M51" s="61">
        <f t="shared" ref="M51:AB66" si="13">IF(AND(M$2&gt;=$B51,M$2&lt;$C51),$E51,0)</f>
        <v>0</v>
      </c>
      <c r="N51" s="61">
        <f t="shared" si="13"/>
        <v>0</v>
      </c>
      <c r="O51" s="61">
        <f t="shared" si="13"/>
        <v>0</v>
      </c>
      <c r="P51" s="61">
        <f t="shared" si="13"/>
        <v>0</v>
      </c>
      <c r="Q51" s="61">
        <f t="shared" si="13"/>
        <v>0</v>
      </c>
      <c r="R51" s="61">
        <f t="shared" si="13"/>
        <v>0</v>
      </c>
      <c r="S51" s="61">
        <f t="shared" si="13"/>
        <v>0</v>
      </c>
      <c r="T51" s="61">
        <f t="shared" si="13"/>
        <v>0</v>
      </c>
      <c r="U51" s="61">
        <f t="shared" si="13"/>
        <v>0</v>
      </c>
      <c r="V51" s="61">
        <f t="shared" si="13"/>
        <v>0</v>
      </c>
      <c r="W51" s="61">
        <f t="shared" si="13"/>
        <v>0</v>
      </c>
      <c r="X51" s="61">
        <f t="shared" si="13"/>
        <v>0</v>
      </c>
      <c r="Y51" s="61">
        <f t="shared" si="13"/>
        <v>0</v>
      </c>
      <c r="Z51" s="61">
        <f t="shared" si="13"/>
        <v>0</v>
      </c>
      <c r="AA51" s="61">
        <f t="shared" si="13"/>
        <v>0</v>
      </c>
      <c r="AB51" s="61">
        <f t="shared" si="13"/>
        <v>0</v>
      </c>
      <c r="AC51" s="61">
        <f t="shared" ref="AC51:AP66" si="14">IF(AND(AC$2&gt;=$B51,AC$2&lt;$C51),$E51,0)</f>
        <v>0</v>
      </c>
      <c r="AD51" s="61">
        <f t="shared" si="14"/>
        <v>0</v>
      </c>
      <c r="AE51" s="61">
        <f t="shared" si="14"/>
        <v>0</v>
      </c>
      <c r="AF51" s="61">
        <f t="shared" si="14"/>
        <v>0</v>
      </c>
      <c r="AG51" s="61">
        <f t="shared" si="14"/>
        <v>0</v>
      </c>
      <c r="AH51" s="61">
        <f t="shared" si="14"/>
        <v>0</v>
      </c>
      <c r="AI51" s="61">
        <f t="shared" si="14"/>
        <v>0</v>
      </c>
      <c r="AJ51" s="61">
        <f t="shared" si="14"/>
        <v>0</v>
      </c>
      <c r="AK51" s="61">
        <f t="shared" si="14"/>
        <v>0</v>
      </c>
      <c r="AL51" s="61">
        <f t="shared" si="14"/>
        <v>0</v>
      </c>
      <c r="AM51" s="61">
        <f t="shared" si="14"/>
        <v>0</v>
      </c>
      <c r="AN51" s="61">
        <f t="shared" si="14"/>
        <v>0</v>
      </c>
      <c r="AO51" s="61">
        <f t="shared" si="14"/>
        <v>0</v>
      </c>
      <c r="AP51" s="61">
        <f t="shared" si="14"/>
        <v>0</v>
      </c>
      <c r="AQ51" s="61"/>
    </row>
    <row r="52" spans="2:43" x14ac:dyDescent="0.25">
      <c r="B52" s="54">
        <v>0.3125</v>
      </c>
      <c r="C52" s="54">
        <v>0.66666666670789698</v>
      </c>
      <c r="D52" s="60"/>
      <c r="E52" s="91">
        <f>SUMMARY!X48</f>
        <v>0</v>
      </c>
      <c r="F52" s="91">
        <f>SUMMARY!AP48</f>
        <v>0</v>
      </c>
      <c r="G52" s="91">
        <f>SUMMARY!AI48</f>
        <v>0</v>
      </c>
      <c r="H52" s="92">
        <f t="shared" si="12"/>
        <v>0</v>
      </c>
      <c r="I52" s="180">
        <f>N$49-N$50</f>
        <v>0</v>
      </c>
      <c r="M52" s="61">
        <f t="shared" si="13"/>
        <v>0</v>
      </c>
      <c r="N52" s="61">
        <f t="shared" si="13"/>
        <v>0</v>
      </c>
      <c r="O52" s="61">
        <f t="shared" si="13"/>
        <v>0</v>
      </c>
      <c r="P52" s="61">
        <f t="shared" si="13"/>
        <v>0</v>
      </c>
      <c r="Q52" s="61">
        <f t="shared" si="13"/>
        <v>0</v>
      </c>
      <c r="R52" s="61">
        <f t="shared" si="13"/>
        <v>0</v>
      </c>
      <c r="S52" s="61">
        <f t="shared" si="13"/>
        <v>0</v>
      </c>
      <c r="T52" s="61">
        <f t="shared" si="13"/>
        <v>0</v>
      </c>
      <c r="U52" s="61">
        <f t="shared" si="13"/>
        <v>0</v>
      </c>
      <c r="V52" s="61">
        <f t="shared" si="13"/>
        <v>0</v>
      </c>
      <c r="W52" s="61">
        <f t="shared" si="13"/>
        <v>0</v>
      </c>
      <c r="X52" s="61">
        <f t="shared" si="13"/>
        <v>0</v>
      </c>
      <c r="Y52" s="61">
        <f t="shared" si="13"/>
        <v>0</v>
      </c>
      <c r="Z52" s="61">
        <f t="shared" si="13"/>
        <v>0</v>
      </c>
      <c r="AA52" s="61">
        <f t="shared" si="13"/>
        <v>0</v>
      </c>
      <c r="AB52" s="61">
        <f t="shared" si="13"/>
        <v>0</v>
      </c>
      <c r="AC52" s="61">
        <f t="shared" si="14"/>
        <v>0</v>
      </c>
      <c r="AD52" s="61">
        <f t="shared" si="14"/>
        <v>0</v>
      </c>
      <c r="AE52" s="61">
        <f t="shared" si="14"/>
        <v>0</v>
      </c>
      <c r="AF52" s="61">
        <f t="shared" si="14"/>
        <v>0</v>
      </c>
      <c r="AG52" s="61">
        <f t="shared" si="14"/>
        <v>0</v>
      </c>
      <c r="AH52" s="61">
        <f t="shared" si="14"/>
        <v>0</v>
      </c>
      <c r="AI52" s="61">
        <f t="shared" si="14"/>
        <v>0</v>
      </c>
      <c r="AJ52" s="61">
        <f t="shared" si="14"/>
        <v>0</v>
      </c>
      <c r="AK52" s="61">
        <f t="shared" si="14"/>
        <v>0</v>
      </c>
      <c r="AL52" s="61">
        <f t="shared" si="14"/>
        <v>0</v>
      </c>
      <c r="AM52" s="61">
        <f t="shared" si="14"/>
        <v>0</v>
      </c>
      <c r="AN52" s="61">
        <f t="shared" si="14"/>
        <v>0</v>
      </c>
      <c r="AO52" s="61">
        <f t="shared" si="14"/>
        <v>0</v>
      </c>
      <c r="AP52" s="61">
        <f t="shared" si="14"/>
        <v>0</v>
      </c>
      <c r="AQ52" s="61"/>
    </row>
    <row r="53" spans="2:43" x14ac:dyDescent="0.25">
      <c r="B53" s="54">
        <v>0.33333333333575865</v>
      </c>
      <c r="C53" s="54">
        <v>0.68750000004365597</v>
      </c>
      <c r="D53" s="60"/>
      <c r="E53" s="91">
        <f>SUMMARY!X49</f>
        <v>0</v>
      </c>
      <c r="F53" s="91">
        <f>SUMMARY!AP49</f>
        <v>0</v>
      </c>
      <c r="G53" s="91">
        <f>SUMMARY!AI49</f>
        <v>0</v>
      </c>
      <c r="H53" s="92">
        <f t="shared" si="12"/>
        <v>0</v>
      </c>
      <c r="I53" s="180">
        <f>O$49-O$50</f>
        <v>0</v>
      </c>
      <c r="M53" s="61">
        <f t="shared" si="13"/>
        <v>0</v>
      </c>
      <c r="N53" s="61">
        <f t="shared" si="13"/>
        <v>0</v>
      </c>
      <c r="O53" s="61">
        <f t="shared" si="13"/>
        <v>0</v>
      </c>
      <c r="P53" s="61">
        <f t="shared" si="13"/>
        <v>0</v>
      </c>
      <c r="Q53" s="61">
        <f t="shared" si="13"/>
        <v>0</v>
      </c>
      <c r="R53" s="61">
        <f t="shared" si="13"/>
        <v>0</v>
      </c>
      <c r="S53" s="61">
        <f t="shared" si="13"/>
        <v>0</v>
      </c>
      <c r="T53" s="61">
        <f t="shared" si="13"/>
        <v>0</v>
      </c>
      <c r="U53" s="61">
        <f t="shared" si="13"/>
        <v>0</v>
      </c>
      <c r="V53" s="61">
        <f t="shared" si="13"/>
        <v>0</v>
      </c>
      <c r="W53" s="61">
        <f t="shared" si="13"/>
        <v>0</v>
      </c>
      <c r="X53" s="61">
        <f t="shared" si="13"/>
        <v>0</v>
      </c>
      <c r="Y53" s="61">
        <f t="shared" si="13"/>
        <v>0</v>
      </c>
      <c r="Z53" s="61">
        <f t="shared" si="13"/>
        <v>0</v>
      </c>
      <c r="AA53" s="61">
        <f t="shared" si="13"/>
        <v>0</v>
      </c>
      <c r="AB53" s="61">
        <f t="shared" si="13"/>
        <v>0</v>
      </c>
      <c r="AC53" s="61">
        <f t="shared" si="14"/>
        <v>0</v>
      </c>
      <c r="AD53" s="61">
        <f t="shared" si="14"/>
        <v>0</v>
      </c>
      <c r="AE53" s="61">
        <f t="shared" si="14"/>
        <v>0</v>
      </c>
      <c r="AF53" s="61"/>
      <c r="AG53" s="61">
        <f t="shared" si="14"/>
        <v>0</v>
      </c>
      <c r="AH53" s="61">
        <f t="shared" si="14"/>
        <v>0</v>
      </c>
      <c r="AI53" s="61">
        <f t="shared" si="14"/>
        <v>0</v>
      </c>
      <c r="AJ53" s="61">
        <f t="shared" si="14"/>
        <v>0</v>
      </c>
      <c r="AK53" s="61">
        <f t="shared" si="14"/>
        <v>0</v>
      </c>
      <c r="AL53" s="61">
        <f t="shared" si="14"/>
        <v>0</v>
      </c>
      <c r="AM53" s="61">
        <f t="shared" si="14"/>
        <v>0</v>
      </c>
      <c r="AN53" s="61">
        <f t="shared" si="14"/>
        <v>0</v>
      </c>
      <c r="AO53" s="61">
        <f t="shared" si="14"/>
        <v>0</v>
      </c>
      <c r="AP53" s="61">
        <f t="shared" si="14"/>
        <v>0</v>
      </c>
      <c r="AQ53" s="61"/>
    </row>
    <row r="54" spans="2:43" x14ac:dyDescent="0.25">
      <c r="B54" s="54">
        <v>0.35416666666424135</v>
      </c>
      <c r="C54" s="54">
        <v>0.70833333337941495</v>
      </c>
      <c r="D54" s="60"/>
      <c r="E54" s="91">
        <f>SUMMARY!X50</f>
        <v>0</v>
      </c>
      <c r="F54" s="91">
        <f>SUMMARY!AP50</f>
        <v>0</v>
      </c>
      <c r="G54" s="91">
        <f>SUMMARY!AI50</f>
        <v>0</v>
      </c>
      <c r="H54" s="92">
        <f t="shared" si="12"/>
        <v>0</v>
      </c>
      <c r="I54" s="180">
        <f>P$49-P$50</f>
        <v>0</v>
      </c>
      <c r="M54" s="61">
        <f t="shared" si="13"/>
        <v>0</v>
      </c>
      <c r="N54" s="61">
        <f t="shared" si="13"/>
        <v>0</v>
      </c>
      <c r="O54" s="61">
        <f t="shared" si="13"/>
        <v>0</v>
      </c>
      <c r="P54" s="61">
        <f t="shared" si="13"/>
        <v>0</v>
      </c>
      <c r="Q54" s="61">
        <f t="shared" si="13"/>
        <v>0</v>
      </c>
      <c r="R54" s="61">
        <f t="shared" si="13"/>
        <v>0</v>
      </c>
      <c r="S54" s="61">
        <f t="shared" si="13"/>
        <v>0</v>
      </c>
      <c r="T54" s="61">
        <f t="shared" si="13"/>
        <v>0</v>
      </c>
      <c r="U54" s="61">
        <f t="shared" si="13"/>
        <v>0</v>
      </c>
      <c r="V54" s="61">
        <f t="shared" si="13"/>
        <v>0</v>
      </c>
      <c r="W54" s="61">
        <f t="shared" si="13"/>
        <v>0</v>
      </c>
      <c r="X54" s="61">
        <f t="shared" si="13"/>
        <v>0</v>
      </c>
      <c r="Y54" s="61">
        <f t="shared" si="13"/>
        <v>0</v>
      </c>
      <c r="Z54" s="61">
        <f t="shared" si="13"/>
        <v>0</v>
      </c>
      <c r="AA54" s="61">
        <f t="shared" si="13"/>
        <v>0</v>
      </c>
      <c r="AB54" s="61">
        <f t="shared" si="13"/>
        <v>0</v>
      </c>
      <c r="AC54" s="61">
        <f t="shared" si="14"/>
        <v>0</v>
      </c>
      <c r="AD54" s="61">
        <f t="shared" si="14"/>
        <v>0</v>
      </c>
      <c r="AE54" s="61">
        <f t="shared" si="14"/>
        <v>0</v>
      </c>
      <c r="AF54" s="61">
        <f t="shared" si="14"/>
        <v>0</v>
      </c>
      <c r="AG54" s="61"/>
      <c r="AH54" s="61">
        <f t="shared" si="14"/>
        <v>0</v>
      </c>
      <c r="AI54" s="61">
        <f t="shared" si="14"/>
        <v>0</v>
      </c>
      <c r="AJ54" s="61">
        <f t="shared" si="14"/>
        <v>0</v>
      </c>
      <c r="AK54" s="61">
        <f t="shared" si="14"/>
        <v>0</v>
      </c>
      <c r="AL54" s="61">
        <f t="shared" si="14"/>
        <v>0</v>
      </c>
      <c r="AM54" s="61">
        <f t="shared" si="14"/>
        <v>0</v>
      </c>
      <c r="AN54" s="61">
        <f t="shared" si="14"/>
        <v>0</v>
      </c>
      <c r="AO54" s="61">
        <f t="shared" si="14"/>
        <v>0</v>
      </c>
      <c r="AP54" s="61">
        <f t="shared" si="14"/>
        <v>0</v>
      </c>
      <c r="AQ54" s="61"/>
    </row>
    <row r="55" spans="2:43" x14ac:dyDescent="0.25">
      <c r="B55" s="54">
        <v>0.375</v>
      </c>
      <c r="C55" s="54">
        <v>0.72916666671517405</v>
      </c>
      <c r="D55" s="60"/>
      <c r="E55" s="91">
        <f>SUMMARY!X51</f>
        <v>0</v>
      </c>
      <c r="F55" s="91">
        <f>SUMMARY!AP51</f>
        <v>0</v>
      </c>
      <c r="G55" s="91">
        <f>SUMMARY!AI51</f>
        <v>0</v>
      </c>
      <c r="H55" s="92">
        <f>SUM(E55:G55)</f>
        <v>0</v>
      </c>
      <c r="I55" s="180">
        <f>Q$49-Q$50</f>
        <v>0</v>
      </c>
      <c r="M55" s="61">
        <f t="shared" si="13"/>
        <v>0</v>
      </c>
      <c r="N55" s="61">
        <f t="shared" si="13"/>
        <v>0</v>
      </c>
      <c r="O55" s="61">
        <f t="shared" si="13"/>
        <v>0</v>
      </c>
      <c r="P55" s="61">
        <f t="shared" si="13"/>
        <v>0</v>
      </c>
      <c r="Q55" s="61">
        <f t="shared" si="13"/>
        <v>0</v>
      </c>
      <c r="R55" s="61">
        <f t="shared" si="13"/>
        <v>0</v>
      </c>
      <c r="S55" s="61">
        <f t="shared" si="13"/>
        <v>0</v>
      </c>
      <c r="T55" s="61">
        <f t="shared" si="13"/>
        <v>0</v>
      </c>
      <c r="U55" s="61">
        <f t="shared" si="13"/>
        <v>0</v>
      </c>
      <c r="V55" s="61">
        <f t="shared" si="13"/>
        <v>0</v>
      </c>
      <c r="W55" s="61">
        <f t="shared" si="13"/>
        <v>0</v>
      </c>
      <c r="X55" s="61">
        <f t="shared" si="13"/>
        <v>0</v>
      </c>
      <c r="Y55" s="61">
        <f t="shared" si="13"/>
        <v>0</v>
      </c>
      <c r="Z55" s="61">
        <f t="shared" si="13"/>
        <v>0</v>
      </c>
      <c r="AA55" s="61">
        <f t="shared" si="13"/>
        <v>0</v>
      </c>
      <c r="AB55" s="61">
        <f t="shared" si="13"/>
        <v>0</v>
      </c>
      <c r="AC55" s="61">
        <f t="shared" si="14"/>
        <v>0</v>
      </c>
      <c r="AD55" s="61">
        <f t="shared" si="14"/>
        <v>0</v>
      </c>
      <c r="AE55" s="61">
        <f t="shared" si="14"/>
        <v>0</v>
      </c>
      <c r="AF55" s="61">
        <f t="shared" si="14"/>
        <v>0</v>
      </c>
      <c r="AG55" s="61">
        <f t="shared" si="14"/>
        <v>0</v>
      </c>
      <c r="AH55" s="61"/>
      <c r="AI55" s="61">
        <f t="shared" si="14"/>
        <v>0</v>
      </c>
      <c r="AJ55" s="61">
        <f t="shared" si="14"/>
        <v>0</v>
      </c>
      <c r="AK55" s="61">
        <f t="shared" si="14"/>
        <v>0</v>
      </c>
      <c r="AL55" s="61">
        <f t="shared" si="14"/>
        <v>0</v>
      </c>
      <c r="AM55" s="61">
        <f t="shared" si="14"/>
        <v>0</v>
      </c>
      <c r="AN55" s="61">
        <f t="shared" si="14"/>
        <v>0</v>
      </c>
      <c r="AO55" s="61">
        <f t="shared" si="14"/>
        <v>0</v>
      </c>
      <c r="AP55" s="61">
        <f t="shared" si="14"/>
        <v>0</v>
      </c>
      <c r="AQ55" s="61"/>
    </row>
    <row r="56" spans="2:43" x14ac:dyDescent="0.25">
      <c r="B56" s="54">
        <v>0.39583333333575865</v>
      </c>
      <c r="C56" s="54">
        <v>0.75000000005093304</v>
      </c>
      <c r="D56" s="60"/>
      <c r="E56" s="91">
        <f>SUMMARY!X52</f>
        <v>0</v>
      </c>
      <c r="F56" s="91">
        <f>SUMMARY!AP52</f>
        <v>0</v>
      </c>
      <c r="G56" s="91">
        <f>SUMMARY!AI52</f>
        <v>0</v>
      </c>
      <c r="H56" s="92">
        <f t="shared" si="12"/>
        <v>0</v>
      </c>
      <c r="I56" s="180">
        <f>R$49-R$50</f>
        <v>0</v>
      </c>
      <c r="M56" s="61">
        <f t="shared" si="13"/>
        <v>0</v>
      </c>
      <c r="N56" s="61">
        <f t="shared" si="13"/>
        <v>0</v>
      </c>
      <c r="O56" s="61">
        <f t="shared" si="13"/>
        <v>0</v>
      </c>
      <c r="P56" s="61">
        <f t="shared" si="13"/>
        <v>0</v>
      </c>
      <c r="Q56" s="61">
        <f t="shared" si="13"/>
        <v>0</v>
      </c>
      <c r="R56" s="61">
        <f t="shared" si="13"/>
        <v>0</v>
      </c>
      <c r="S56" s="61">
        <f t="shared" si="13"/>
        <v>0</v>
      </c>
      <c r="T56" s="61">
        <f t="shared" si="13"/>
        <v>0</v>
      </c>
      <c r="U56" s="61">
        <f t="shared" si="13"/>
        <v>0</v>
      </c>
      <c r="V56" s="61">
        <f t="shared" si="13"/>
        <v>0</v>
      </c>
      <c r="W56" s="61">
        <f t="shared" si="13"/>
        <v>0</v>
      </c>
      <c r="X56" s="61">
        <f t="shared" si="13"/>
        <v>0</v>
      </c>
      <c r="Y56" s="61">
        <f t="shared" si="13"/>
        <v>0</v>
      </c>
      <c r="Z56" s="61">
        <f t="shared" si="13"/>
        <v>0</v>
      </c>
      <c r="AA56" s="61">
        <f t="shared" si="13"/>
        <v>0</v>
      </c>
      <c r="AB56" s="61">
        <f t="shared" si="13"/>
        <v>0</v>
      </c>
      <c r="AC56" s="61">
        <f t="shared" si="14"/>
        <v>0</v>
      </c>
      <c r="AD56" s="61">
        <f t="shared" si="14"/>
        <v>0</v>
      </c>
      <c r="AE56" s="61">
        <f t="shared" si="14"/>
        <v>0</v>
      </c>
      <c r="AF56" s="61">
        <f t="shared" si="14"/>
        <v>0</v>
      </c>
      <c r="AG56" s="61">
        <f t="shared" si="14"/>
        <v>0</v>
      </c>
      <c r="AH56" s="61">
        <f t="shared" si="14"/>
        <v>0</v>
      </c>
      <c r="AI56" s="61"/>
      <c r="AJ56" s="61">
        <f t="shared" si="14"/>
        <v>0</v>
      </c>
      <c r="AK56" s="61">
        <f t="shared" si="14"/>
        <v>0</v>
      </c>
      <c r="AL56" s="61">
        <f t="shared" si="14"/>
        <v>0</v>
      </c>
      <c r="AM56" s="61">
        <f t="shared" si="14"/>
        <v>0</v>
      </c>
      <c r="AN56" s="61">
        <f t="shared" si="14"/>
        <v>0</v>
      </c>
      <c r="AO56" s="61">
        <f t="shared" si="14"/>
        <v>0</v>
      </c>
      <c r="AP56" s="61">
        <f t="shared" si="14"/>
        <v>0</v>
      </c>
      <c r="AQ56" s="61"/>
    </row>
    <row r="57" spans="2:43" x14ac:dyDescent="0.25">
      <c r="B57" s="54">
        <v>0.41666666666424135</v>
      </c>
      <c r="C57" s="54">
        <v>0.77083333338669202</v>
      </c>
      <c r="D57" s="60"/>
      <c r="E57" s="91">
        <f>SUMMARY!X53</f>
        <v>0</v>
      </c>
      <c r="F57" s="91">
        <f>SUMMARY!AP53</f>
        <v>0</v>
      </c>
      <c r="G57" s="91">
        <f>SUMMARY!AI53</f>
        <v>0</v>
      </c>
      <c r="H57" s="92">
        <f t="shared" si="12"/>
        <v>0</v>
      </c>
      <c r="I57" s="180">
        <f>S$49-S$50</f>
        <v>0</v>
      </c>
      <c r="M57" s="61">
        <f t="shared" si="13"/>
        <v>0</v>
      </c>
      <c r="N57" s="61">
        <f t="shared" si="13"/>
        <v>0</v>
      </c>
      <c r="O57" s="61">
        <f t="shared" si="13"/>
        <v>0</v>
      </c>
      <c r="P57" s="61">
        <f t="shared" si="13"/>
        <v>0</v>
      </c>
      <c r="Q57" s="61">
        <f t="shared" si="13"/>
        <v>0</v>
      </c>
      <c r="R57" s="61">
        <f t="shared" si="13"/>
        <v>0</v>
      </c>
      <c r="S57" s="61">
        <f t="shared" si="13"/>
        <v>0</v>
      </c>
      <c r="T57" s="61">
        <f t="shared" si="13"/>
        <v>0</v>
      </c>
      <c r="U57" s="61">
        <f t="shared" si="13"/>
        <v>0</v>
      </c>
      <c r="V57" s="61">
        <f t="shared" si="13"/>
        <v>0</v>
      </c>
      <c r="W57" s="61">
        <f t="shared" si="13"/>
        <v>0</v>
      </c>
      <c r="X57" s="61">
        <f t="shared" si="13"/>
        <v>0</v>
      </c>
      <c r="Y57" s="61">
        <f t="shared" si="13"/>
        <v>0</v>
      </c>
      <c r="Z57" s="61">
        <f t="shared" si="13"/>
        <v>0</v>
      </c>
      <c r="AA57" s="61">
        <f t="shared" si="13"/>
        <v>0</v>
      </c>
      <c r="AB57" s="61">
        <f t="shared" si="13"/>
        <v>0</v>
      </c>
      <c r="AC57" s="61">
        <f t="shared" si="14"/>
        <v>0</v>
      </c>
      <c r="AD57" s="61">
        <f t="shared" si="14"/>
        <v>0</v>
      </c>
      <c r="AE57" s="61">
        <f t="shared" si="14"/>
        <v>0</v>
      </c>
      <c r="AF57" s="61">
        <f t="shared" si="14"/>
        <v>0</v>
      </c>
      <c r="AG57" s="61">
        <f t="shared" si="14"/>
        <v>0</v>
      </c>
      <c r="AH57" s="61">
        <f t="shared" si="14"/>
        <v>0</v>
      </c>
      <c r="AI57" s="61">
        <f t="shared" si="14"/>
        <v>0</v>
      </c>
      <c r="AJ57" s="61"/>
      <c r="AK57" s="61">
        <f t="shared" si="14"/>
        <v>0</v>
      </c>
      <c r="AL57" s="61">
        <f t="shared" si="14"/>
        <v>0</v>
      </c>
      <c r="AM57" s="61">
        <f t="shared" si="14"/>
        <v>0</v>
      </c>
      <c r="AN57" s="61">
        <f t="shared" si="14"/>
        <v>0</v>
      </c>
      <c r="AO57" s="61">
        <f t="shared" si="14"/>
        <v>0</v>
      </c>
      <c r="AP57" s="61">
        <f t="shared" si="14"/>
        <v>0</v>
      </c>
      <c r="AQ57" s="61"/>
    </row>
    <row r="58" spans="2:43" x14ac:dyDescent="0.25">
      <c r="B58" s="54">
        <v>0.4375</v>
      </c>
      <c r="C58" s="54">
        <v>0.79166666672245101</v>
      </c>
      <c r="D58" s="60"/>
      <c r="E58" s="91">
        <f>SUMMARY!X54</f>
        <v>0</v>
      </c>
      <c r="F58" s="91">
        <f>SUMMARY!AP54</f>
        <v>0</v>
      </c>
      <c r="G58" s="91">
        <f>SUMMARY!AI54</f>
        <v>0</v>
      </c>
      <c r="H58" s="92">
        <f t="shared" si="12"/>
        <v>0</v>
      </c>
      <c r="I58" s="180">
        <f>T$49-T$50</f>
        <v>0</v>
      </c>
      <c r="M58" s="61">
        <f t="shared" si="13"/>
        <v>0</v>
      </c>
      <c r="N58" s="61">
        <f t="shared" si="13"/>
        <v>0</v>
      </c>
      <c r="O58" s="61">
        <f t="shared" si="13"/>
        <v>0</v>
      </c>
      <c r="P58" s="61">
        <f t="shared" si="13"/>
        <v>0</v>
      </c>
      <c r="Q58" s="61">
        <f t="shared" si="13"/>
        <v>0</v>
      </c>
      <c r="R58" s="61">
        <f t="shared" si="13"/>
        <v>0</v>
      </c>
      <c r="S58" s="61">
        <f t="shared" si="13"/>
        <v>0</v>
      </c>
      <c r="T58" s="61">
        <f t="shared" si="13"/>
        <v>0</v>
      </c>
      <c r="U58" s="61">
        <f t="shared" si="13"/>
        <v>0</v>
      </c>
      <c r="V58" s="61">
        <f t="shared" si="13"/>
        <v>0</v>
      </c>
      <c r="W58" s="61">
        <f t="shared" si="13"/>
        <v>0</v>
      </c>
      <c r="X58" s="61">
        <f t="shared" si="13"/>
        <v>0</v>
      </c>
      <c r="Y58" s="61">
        <f t="shared" si="13"/>
        <v>0</v>
      </c>
      <c r="Z58" s="61">
        <f t="shared" si="13"/>
        <v>0</v>
      </c>
      <c r="AA58" s="61">
        <f t="shared" si="13"/>
        <v>0</v>
      </c>
      <c r="AB58" s="61">
        <f t="shared" si="13"/>
        <v>0</v>
      </c>
      <c r="AC58" s="61">
        <f t="shared" si="14"/>
        <v>0</v>
      </c>
      <c r="AD58" s="61">
        <f t="shared" si="14"/>
        <v>0</v>
      </c>
      <c r="AE58" s="61">
        <f t="shared" si="14"/>
        <v>0</v>
      </c>
      <c r="AF58" s="61">
        <f t="shared" si="14"/>
        <v>0</v>
      </c>
      <c r="AG58" s="61">
        <f t="shared" si="14"/>
        <v>0</v>
      </c>
      <c r="AH58" s="61">
        <f t="shared" si="14"/>
        <v>0</v>
      </c>
      <c r="AI58" s="61">
        <f t="shared" si="14"/>
        <v>0</v>
      </c>
      <c r="AJ58" s="61">
        <f t="shared" si="14"/>
        <v>0</v>
      </c>
      <c r="AK58" s="61"/>
      <c r="AL58" s="61">
        <f>IF(AND(AL$2&gt;=$B58,AL$2&lt;$C58),$E58,0)</f>
        <v>0</v>
      </c>
      <c r="AM58" s="61">
        <f>IF(AND(AM$2&gt;=$B58,AM$2&lt;$C58),$E58,0)</f>
        <v>0</v>
      </c>
      <c r="AN58" s="61">
        <f>IF(AND(AN$2&gt;=$B58,AN$2&lt;$C58),$E58,0)</f>
        <v>0</v>
      </c>
      <c r="AO58" s="61">
        <f>IF(AND(AO$2&gt;=$B58,AO$2&lt;$C58),$E58,0)</f>
        <v>0</v>
      </c>
      <c r="AP58" s="61">
        <f>IF(AND(AP$2&gt;=$B58,AP$2&lt;$C58),$E58,0)</f>
        <v>0</v>
      </c>
      <c r="AQ58" s="61"/>
    </row>
    <row r="59" spans="2:43" x14ac:dyDescent="0.25">
      <c r="B59" s="54">
        <v>0.45833333333575865</v>
      </c>
      <c r="C59" s="54">
        <v>0.81250000005820999</v>
      </c>
      <c r="D59" s="60"/>
      <c r="E59" s="91">
        <f>SUMMARY!X55</f>
        <v>0</v>
      </c>
      <c r="F59" s="91">
        <f>SUMMARY!AP55</f>
        <v>0</v>
      </c>
      <c r="G59" s="91">
        <f>SUMMARY!AI55</f>
        <v>0</v>
      </c>
      <c r="H59" s="92">
        <f t="shared" si="12"/>
        <v>0</v>
      </c>
      <c r="I59" s="180">
        <f>U$49-U$50</f>
        <v>0</v>
      </c>
      <c r="M59" s="61">
        <f t="shared" si="13"/>
        <v>0</v>
      </c>
      <c r="N59" s="61">
        <f t="shared" si="13"/>
        <v>0</v>
      </c>
      <c r="O59" s="61">
        <f t="shared" si="13"/>
        <v>0</v>
      </c>
      <c r="P59" s="61">
        <f t="shared" si="13"/>
        <v>0</v>
      </c>
      <c r="Q59" s="61">
        <f t="shared" si="13"/>
        <v>0</v>
      </c>
      <c r="R59" s="61">
        <f t="shared" si="13"/>
        <v>0</v>
      </c>
      <c r="S59" s="61">
        <f t="shared" si="13"/>
        <v>0</v>
      </c>
      <c r="T59" s="61">
        <f t="shared" si="13"/>
        <v>0</v>
      </c>
      <c r="U59" s="61">
        <f t="shared" si="13"/>
        <v>0</v>
      </c>
      <c r="V59" s="61">
        <f t="shared" si="13"/>
        <v>0</v>
      </c>
      <c r="W59" s="61">
        <f t="shared" si="13"/>
        <v>0</v>
      </c>
      <c r="X59" s="61">
        <f t="shared" si="13"/>
        <v>0</v>
      </c>
      <c r="Y59" s="61">
        <f t="shared" si="13"/>
        <v>0</v>
      </c>
      <c r="Z59" s="61">
        <f t="shared" si="13"/>
        <v>0</v>
      </c>
      <c r="AA59" s="61">
        <f t="shared" si="13"/>
        <v>0</v>
      </c>
      <c r="AB59" s="61">
        <f t="shared" si="13"/>
        <v>0</v>
      </c>
      <c r="AC59" s="61">
        <f t="shared" si="14"/>
        <v>0</v>
      </c>
      <c r="AD59" s="61">
        <f t="shared" si="14"/>
        <v>0</v>
      </c>
      <c r="AE59" s="61">
        <f t="shared" si="14"/>
        <v>0</v>
      </c>
      <c r="AF59" s="61">
        <f t="shared" si="14"/>
        <v>0</v>
      </c>
      <c r="AG59" s="61">
        <f t="shared" si="14"/>
        <v>0</v>
      </c>
      <c r="AH59" s="61">
        <f t="shared" si="14"/>
        <v>0</v>
      </c>
      <c r="AI59" s="61">
        <f t="shared" si="14"/>
        <v>0</v>
      </c>
      <c r="AJ59" s="61">
        <f t="shared" si="14"/>
        <v>0</v>
      </c>
      <c r="AK59" s="61">
        <f t="shared" si="14"/>
        <v>0</v>
      </c>
      <c r="AL59" s="61"/>
      <c r="AM59" s="61">
        <f>IF(AND(AM$2&gt;=$B59,AM$2&lt;$C59),$E59,0)</f>
        <v>0</v>
      </c>
      <c r="AN59" s="61">
        <f>IF(AND(AN$2&gt;=$B59,AN$2&lt;$C59),$E59,0)</f>
        <v>0</v>
      </c>
      <c r="AO59" s="61">
        <f>IF(AND(AO$2&gt;=$B59,AO$2&lt;$C59),$E59,0)</f>
        <v>0</v>
      </c>
      <c r="AP59" s="61">
        <f>IF(AND(AP$2&gt;=$B59,AP$2&lt;$C59),$E59,0)</f>
        <v>0</v>
      </c>
      <c r="AQ59" s="61"/>
    </row>
    <row r="60" spans="2:43" x14ac:dyDescent="0.25">
      <c r="B60" s="54">
        <v>0.47916666666424135</v>
      </c>
      <c r="C60" s="54">
        <v>0.83333333339396898</v>
      </c>
      <c r="D60" s="60"/>
      <c r="E60" s="91">
        <f>SUMMARY!X56</f>
        <v>0</v>
      </c>
      <c r="G60" s="91">
        <f>SUMMARY!AI56</f>
        <v>0</v>
      </c>
      <c r="H60" s="92">
        <f t="shared" si="12"/>
        <v>0</v>
      </c>
      <c r="I60" s="180">
        <f>V$49-V$50</f>
        <v>0</v>
      </c>
      <c r="M60" s="61">
        <f t="shared" si="13"/>
        <v>0</v>
      </c>
      <c r="N60" s="61">
        <f t="shared" si="13"/>
        <v>0</v>
      </c>
      <c r="O60" s="61">
        <f t="shared" si="13"/>
        <v>0</v>
      </c>
      <c r="P60" s="61">
        <f t="shared" si="13"/>
        <v>0</v>
      </c>
      <c r="Q60" s="61">
        <f t="shared" si="13"/>
        <v>0</v>
      </c>
      <c r="R60" s="61">
        <f t="shared" si="13"/>
        <v>0</v>
      </c>
      <c r="S60" s="61">
        <f t="shared" si="13"/>
        <v>0</v>
      </c>
      <c r="T60" s="61">
        <f t="shared" si="13"/>
        <v>0</v>
      </c>
      <c r="U60" s="61">
        <f t="shared" si="13"/>
        <v>0</v>
      </c>
      <c r="V60" s="61">
        <f t="shared" si="13"/>
        <v>0</v>
      </c>
      <c r="W60" s="61">
        <f t="shared" si="13"/>
        <v>0</v>
      </c>
      <c r="X60" s="61">
        <f t="shared" si="13"/>
        <v>0</v>
      </c>
      <c r="Y60" s="61">
        <f t="shared" si="13"/>
        <v>0</v>
      </c>
      <c r="Z60" s="61">
        <f t="shared" si="13"/>
        <v>0</v>
      </c>
      <c r="AA60" s="61">
        <f t="shared" si="13"/>
        <v>0</v>
      </c>
      <c r="AB60" s="61">
        <f t="shared" si="13"/>
        <v>0</v>
      </c>
      <c r="AC60" s="61">
        <f t="shared" si="14"/>
        <v>0</v>
      </c>
      <c r="AD60" s="61">
        <f t="shared" si="14"/>
        <v>0</v>
      </c>
      <c r="AE60" s="61">
        <f t="shared" si="14"/>
        <v>0</v>
      </c>
      <c r="AF60" s="61">
        <f t="shared" si="14"/>
        <v>0</v>
      </c>
      <c r="AG60" s="61">
        <f t="shared" si="14"/>
        <v>0</v>
      </c>
      <c r="AH60" s="61">
        <f t="shared" si="14"/>
        <v>0</v>
      </c>
      <c r="AI60" s="61">
        <f t="shared" si="14"/>
        <v>0</v>
      </c>
      <c r="AJ60" s="61">
        <f t="shared" si="14"/>
        <v>0</v>
      </c>
      <c r="AK60" s="61">
        <f t="shared" si="14"/>
        <v>0</v>
      </c>
      <c r="AL60" s="61">
        <f t="shared" si="14"/>
        <v>0</v>
      </c>
      <c r="AM60" s="61"/>
      <c r="AN60" s="61">
        <f>IF(AND(AN$2&gt;=$B60,AN$2&lt;$C60),$E60,0)</f>
        <v>0</v>
      </c>
      <c r="AO60" s="61">
        <f>IF(AND(AO$2&gt;=$B60,AO$2&lt;$C60),$E60,0)</f>
        <v>0</v>
      </c>
      <c r="AP60" s="61">
        <f>IF(AND(AP$2&gt;=$B60,AP$2&lt;$C60),$E60,0)</f>
        <v>0</v>
      </c>
      <c r="AQ60" s="61"/>
    </row>
    <row r="61" spans="2:43" x14ac:dyDescent="0.25">
      <c r="B61" s="54">
        <v>0.5</v>
      </c>
      <c r="C61" s="54">
        <v>0.85416666672972796</v>
      </c>
      <c r="D61" s="60"/>
      <c r="E61" s="91">
        <f>SUMMARY!X57</f>
        <v>0</v>
      </c>
      <c r="G61" s="91">
        <f>SUMMARY!AI57</f>
        <v>0</v>
      </c>
      <c r="H61" s="92">
        <f t="shared" si="12"/>
        <v>0</v>
      </c>
      <c r="I61" s="180">
        <f>W$49-W$50</f>
        <v>0</v>
      </c>
      <c r="M61" s="61">
        <f t="shared" si="13"/>
        <v>0</v>
      </c>
      <c r="N61" s="61">
        <f t="shared" si="13"/>
        <v>0</v>
      </c>
      <c r="O61" s="61">
        <f t="shared" si="13"/>
        <v>0</v>
      </c>
      <c r="P61" s="61">
        <f t="shared" si="13"/>
        <v>0</v>
      </c>
      <c r="Q61" s="61">
        <f t="shared" si="13"/>
        <v>0</v>
      </c>
      <c r="R61" s="61">
        <f t="shared" si="13"/>
        <v>0</v>
      </c>
      <c r="S61" s="61">
        <f t="shared" si="13"/>
        <v>0</v>
      </c>
      <c r="T61" s="61">
        <f t="shared" si="13"/>
        <v>0</v>
      </c>
      <c r="U61" s="61">
        <f t="shared" si="13"/>
        <v>0</v>
      </c>
      <c r="V61" s="61">
        <f t="shared" si="13"/>
        <v>0</v>
      </c>
      <c r="W61" s="61">
        <f t="shared" si="13"/>
        <v>0</v>
      </c>
      <c r="X61" s="61">
        <f t="shared" si="13"/>
        <v>0</v>
      </c>
      <c r="Y61" s="61">
        <f t="shared" si="13"/>
        <v>0</v>
      </c>
      <c r="Z61" s="61">
        <f t="shared" si="13"/>
        <v>0</v>
      </c>
      <c r="AA61" s="61">
        <f t="shared" si="13"/>
        <v>0</v>
      </c>
      <c r="AB61" s="61">
        <f t="shared" si="13"/>
        <v>0</v>
      </c>
      <c r="AC61" s="61">
        <f t="shared" si="14"/>
        <v>0</v>
      </c>
      <c r="AD61" s="61">
        <f t="shared" si="14"/>
        <v>0</v>
      </c>
      <c r="AE61" s="61">
        <f t="shared" si="14"/>
        <v>0</v>
      </c>
      <c r="AF61" s="61">
        <f t="shared" si="14"/>
        <v>0</v>
      </c>
      <c r="AG61" s="61">
        <f t="shared" si="14"/>
        <v>0</v>
      </c>
      <c r="AH61" s="61">
        <f t="shared" si="14"/>
        <v>0</v>
      </c>
      <c r="AI61" s="61">
        <f t="shared" si="14"/>
        <v>0</v>
      </c>
      <c r="AJ61" s="61">
        <f t="shared" si="14"/>
        <v>0</v>
      </c>
      <c r="AK61" s="61">
        <f t="shared" si="14"/>
        <v>0</v>
      </c>
      <c r="AL61" s="61">
        <f t="shared" si="14"/>
        <v>0</v>
      </c>
      <c r="AM61" s="61">
        <f t="shared" si="14"/>
        <v>0</v>
      </c>
      <c r="AN61" s="61"/>
      <c r="AO61" s="61">
        <f>IF(AND(AO$2&gt;=$B61,AO$2&lt;$C61),$E61,0)</f>
        <v>0</v>
      </c>
      <c r="AP61" s="61">
        <f>IF(AND(AP$2&gt;=$B61,AP$2&lt;$C61),$E61,0)</f>
        <v>0</v>
      </c>
      <c r="AQ61" s="61"/>
    </row>
    <row r="62" spans="2:43" x14ac:dyDescent="0.25">
      <c r="B62" s="54">
        <v>0.52083333333575865</v>
      </c>
      <c r="C62" s="54">
        <v>0.87500000006548695</v>
      </c>
      <c r="D62" s="60"/>
      <c r="E62" s="91">
        <f>SUMMARY!X58</f>
        <v>0</v>
      </c>
      <c r="G62" s="91">
        <f>SUMMARY!AI58</f>
        <v>0</v>
      </c>
      <c r="H62" s="92">
        <f t="shared" si="12"/>
        <v>0</v>
      </c>
      <c r="I62" s="180">
        <f>X$49-X$50</f>
        <v>0</v>
      </c>
      <c r="M62" s="61">
        <f t="shared" si="13"/>
        <v>0</v>
      </c>
      <c r="N62" s="61">
        <f t="shared" si="13"/>
        <v>0</v>
      </c>
      <c r="O62" s="61">
        <f t="shared" si="13"/>
        <v>0</v>
      </c>
      <c r="P62" s="61">
        <f t="shared" si="13"/>
        <v>0</v>
      </c>
      <c r="Q62" s="61">
        <f t="shared" si="13"/>
        <v>0</v>
      </c>
      <c r="R62" s="61">
        <f t="shared" si="13"/>
        <v>0</v>
      </c>
      <c r="S62" s="61">
        <f t="shared" si="13"/>
        <v>0</v>
      </c>
      <c r="T62" s="61">
        <f t="shared" si="13"/>
        <v>0</v>
      </c>
      <c r="U62" s="61">
        <f t="shared" si="13"/>
        <v>0</v>
      </c>
      <c r="V62" s="61">
        <f t="shared" si="13"/>
        <v>0</v>
      </c>
      <c r="W62" s="61">
        <f t="shared" si="13"/>
        <v>0</v>
      </c>
      <c r="X62" s="61">
        <f t="shared" si="13"/>
        <v>0</v>
      </c>
      <c r="Y62" s="61">
        <f t="shared" si="13"/>
        <v>0</v>
      </c>
      <c r="Z62" s="61">
        <f t="shared" si="13"/>
        <v>0</v>
      </c>
      <c r="AA62" s="61">
        <f t="shared" si="13"/>
        <v>0</v>
      </c>
      <c r="AB62" s="61">
        <f t="shared" si="13"/>
        <v>0</v>
      </c>
      <c r="AC62" s="61">
        <f t="shared" si="14"/>
        <v>0</v>
      </c>
      <c r="AD62" s="61">
        <f t="shared" si="14"/>
        <v>0</v>
      </c>
      <c r="AE62" s="61">
        <f t="shared" si="14"/>
        <v>0</v>
      </c>
      <c r="AF62" s="61">
        <f t="shared" si="14"/>
        <v>0</v>
      </c>
      <c r="AG62" s="61">
        <f t="shared" si="14"/>
        <v>0</v>
      </c>
      <c r="AH62" s="61">
        <f t="shared" si="14"/>
        <v>0</v>
      </c>
      <c r="AI62" s="61">
        <f t="shared" si="14"/>
        <v>0</v>
      </c>
      <c r="AJ62" s="61">
        <f t="shared" si="14"/>
        <v>0</v>
      </c>
      <c r="AK62" s="61">
        <f t="shared" si="14"/>
        <v>0</v>
      </c>
      <c r="AL62" s="61">
        <f t="shared" si="14"/>
        <v>0</v>
      </c>
      <c r="AM62" s="61">
        <f t="shared" si="14"/>
        <v>0</v>
      </c>
      <c r="AN62" s="61">
        <f t="shared" si="14"/>
        <v>0</v>
      </c>
      <c r="AO62" s="61"/>
      <c r="AP62" s="61">
        <f>IF(AND(AP$2&gt;=$B62,AP$2&lt;$C62),$E62,0)</f>
        <v>0</v>
      </c>
      <c r="AQ62" s="61"/>
    </row>
    <row r="63" spans="2:43" x14ac:dyDescent="0.25">
      <c r="B63" s="54">
        <v>0.54166666666424135</v>
      </c>
      <c r="C63" s="54">
        <v>0.89583333340124605</v>
      </c>
      <c r="D63" s="60"/>
      <c r="E63" s="91">
        <f>SUMMARY!X59</f>
        <v>0</v>
      </c>
      <c r="G63" s="91">
        <f>SUMMARY!AI59</f>
        <v>0</v>
      </c>
      <c r="H63" s="92">
        <f t="shared" si="12"/>
        <v>0</v>
      </c>
      <c r="I63" s="180">
        <f>Y$49-Y$50</f>
        <v>0</v>
      </c>
      <c r="M63" s="61">
        <f t="shared" si="13"/>
        <v>0</v>
      </c>
      <c r="N63" s="61">
        <f t="shared" si="13"/>
        <v>0</v>
      </c>
      <c r="O63" s="61">
        <f t="shared" si="13"/>
        <v>0</v>
      </c>
      <c r="P63" s="61">
        <f t="shared" si="13"/>
        <v>0</v>
      </c>
      <c r="Q63" s="61">
        <f t="shared" si="13"/>
        <v>0</v>
      </c>
      <c r="R63" s="61">
        <f t="shared" si="13"/>
        <v>0</v>
      </c>
      <c r="S63" s="61">
        <f t="shared" si="13"/>
        <v>0</v>
      </c>
      <c r="T63" s="61">
        <f t="shared" si="13"/>
        <v>0</v>
      </c>
      <c r="U63" s="61">
        <f t="shared" si="13"/>
        <v>0</v>
      </c>
      <c r="V63" s="61">
        <f t="shared" si="13"/>
        <v>0</v>
      </c>
      <c r="W63" s="61">
        <f t="shared" si="13"/>
        <v>0</v>
      </c>
      <c r="X63" s="61">
        <f t="shared" si="13"/>
        <v>0</v>
      </c>
      <c r="Y63" s="61">
        <f t="shared" si="13"/>
        <v>0</v>
      </c>
      <c r="Z63" s="61">
        <f t="shared" si="13"/>
        <v>0</v>
      </c>
      <c r="AA63" s="61">
        <f t="shared" si="13"/>
        <v>0</v>
      </c>
      <c r="AB63" s="61">
        <f t="shared" si="13"/>
        <v>0</v>
      </c>
      <c r="AC63" s="61">
        <f t="shared" si="14"/>
        <v>0</v>
      </c>
      <c r="AD63" s="61">
        <f t="shared" si="14"/>
        <v>0</v>
      </c>
      <c r="AE63" s="61">
        <f t="shared" si="14"/>
        <v>0</v>
      </c>
      <c r="AF63" s="61">
        <f t="shared" si="14"/>
        <v>0</v>
      </c>
      <c r="AG63" s="61">
        <f t="shared" si="14"/>
        <v>0</v>
      </c>
      <c r="AH63" s="61">
        <f t="shared" si="14"/>
        <v>0</v>
      </c>
      <c r="AI63" s="61">
        <f t="shared" si="14"/>
        <v>0</v>
      </c>
      <c r="AJ63" s="61">
        <f t="shared" si="14"/>
        <v>0</v>
      </c>
      <c r="AK63" s="61">
        <f t="shared" si="14"/>
        <v>0</v>
      </c>
      <c r="AL63" s="61">
        <f t="shared" si="14"/>
        <v>0</v>
      </c>
      <c r="AM63" s="61">
        <f t="shared" si="14"/>
        <v>0</v>
      </c>
      <c r="AN63" s="61">
        <f t="shared" si="14"/>
        <v>0</v>
      </c>
      <c r="AO63" s="61">
        <f t="shared" si="14"/>
        <v>0</v>
      </c>
      <c r="AP63" s="61"/>
      <c r="AQ63" s="61"/>
    </row>
    <row r="64" spans="2:43" x14ac:dyDescent="0.25">
      <c r="B64" s="54">
        <v>0.5625</v>
      </c>
      <c r="C64" s="54">
        <v>0.91666666673700503</v>
      </c>
      <c r="D64" s="60"/>
      <c r="E64" s="91">
        <f>SUMMARY!X60</f>
        <v>0</v>
      </c>
      <c r="G64" s="91">
        <f>SUMMARY!AI60</f>
        <v>0</v>
      </c>
      <c r="H64" s="92">
        <f t="shared" si="12"/>
        <v>0</v>
      </c>
      <c r="I64" s="180">
        <f>Z$49-Z$50</f>
        <v>0</v>
      </c>
      <c r="M64" s="61">
        <f t="shared" si="13"/>
        <v>0</v>
      </c>
      <c r="N64" s="61">
        <f t="shared" si="13"/>
        <v>0</v>
      </c>
      <c r="O64" s="61">
        <f t="shared" si="13"/>
        <v>0</v>
      </c>
      <c r="P64" s="61">
        <f t="shared" si="13"/>
        <v>0</v>
      </c>
      <c r="Q64" s="61">
        <f t="shared" si="13"/>
        <v>0</v>
      </c>
      <c r="R64" s="61">
        <f t="shared" si="13"/>
        <v>0</v>
      </c>
      <c r="S64" s="61">
        <f t="shared" si="13"/>
        <v>0</v>
      </c>
      <c r="T64" s="61">
        <f t="shared" si="13"/>
        <v>0</v>
      </c>
      <c r="U64" s="61">
        <f t="shared" si="13"/>
        <v>0</v>
      </c>
      <c r="V64" s="61">
        <f t="shared" si="13"/>
        <v>0</v>
      </c>
      <c r="W64" s="61">
        <f t="shared" si="13"/>
        <v>0</v>
      </c>
      <c r="X64" s="61">
        <f t="shared" si="13"/>
        <v>0</v>
      </c>
      <c r="Y64" s="61">
        <f t="shared" si="13"/>
        <v>0</v>
      </c>
      <c r="Z64" s="61">
        <f t="shared" si="13"/>
        <v>0</v>
      </c>
      <c r="AA64" s="61">
        <f t="shared" si="13"/>
        <v>0</v>
      </c>
      <c r="AB64" s="61">
        <f t="shared" si="13"/>
        <v>0</v>
      </c>
      <c r="AC64" s="61">
        <f t="shared" si="14"/>
        <v>0</v>
      </c>
      <c r="AD64" s="61">
        <f t="shared" si="14"/>
        <v>0</v>
      </c>
      <c r="AE64" s="61">
        <f t="shared" si="14"/>
        <v>0</v>
      </c>
      <c r="AF64" s="61">
        <f t="shared" si="14"/>
        <v>0</v>
      </c>
      <c r="AG64" s="61">
        <f t="shared" si="14"/>
        <v>0</v>
      </c>
      <c r="AH64" s="61">
        <f t="shared" si="14"/>
        <v>0</v>
      </c>
      <c r="AI64" s="61">
        <f t="shared" si="14"/>
        <v>0</v>
      </c>
      <c r="AJ64" s="61">
        <f t="shared" si="14"/>
        <v>0</v>
      </c>
      <c r="AK64" s="61">
        <f t="shared" si="14"/>
        <v>0</v>
      </c>
      <c r="AL64" s="61">
        <f t="shared" si="14"/>
        <v>0</v>
      </c>
      <c r="AM64" s="61">
        <f t="shared" si="14"/>
        <v>0</v>
      </c>
      <c r="AN64" s="61">
        <f t="shared" si="14"/>
        <v>0</v>
      </c>
      <c r="AO64" s="61">
        <f t="shared" si="14"/>
        <v>0</v>
      </c>
      <c r="AP64" s="61">
        <f t="shared" si="14"/>
        <v>0</v>
      </c>
      <c r="AQ64" s="61"/>
    </row>
    <row r="65" spans="2:43" x14ac:dyDescent="0.25">
      <c r="B65" s="54">
        <v>0.58333333333575899</v>
      </c>
      <c r="C65" s="54">
        <v>0.93750000007276402</v>
      </c>
      <c r="D65" s="60"/>
      <c r="E65" s="91"/>
      <c r="G65" s="91">
        <f>SUMMARY!AI61</f>
        <v>0</v>
      </c>
      <c r="H65" s="92">
        <f t="shared" si="12"/>
        <v>0</v>
      </c>
      <c r="I65" s="180">
        <f>AA$49-AA$50</f>
        <v>0</v>
      </c>
      <c r="M65" s="61">
        <f t="shared" si="13"/>
        <v>0</v>
      </c>
      <c r="N65" s="61">
        <f t="shared" si="13"/>
        <v>0</v>
      </c>
      <c r="O65" s="61">
        <f t="shared" si="13"/>
        <v>0</v>
      </c>
      <c r="P65" s="61">
        <f t="shared" si="13"/>
        <v>0</v>
      </c>
      <c r="Q65" s="61">
        <f t="shared" si="13"/>
        <v>0</v>
      </c>
      <c r="R65" s="61">
        <f t="shared" si="13"/>
        <v>0</v>
      </c>
      <c r="S65" s="61">
        <f t="shared" si="13"/>
        <v>0</v>
      </c>
      <c r="T65" s="61">
        <f t="shared" si="13"/>
        <v>0</v>
      </c>
      <c r="U65" s="61">
        <f t="shared" si="13"/>
        <v>0</v>
      </c>
      <c r="V65" s="61">
        <f t="shared" si="13"/>
        <v>0</v>
      </c>
      <c r="W65" s="61">
        <f t="shared" si="13"/>
        <v>0</v>
      </c>
      <c r="X65" s="61">
        <f t="shared" si="13"/>
        <v>0</v>
      </c>
      <c r="Y65" s="61">
        <f t="shared" si="13"/>
        <v>0</v>
      </c>
      <c r="Z65" s="61">
        <f t="shared" si="13"/>
        <v>0</v>
      </c>
      <c r="AA65" s="61">
        <f t="shared" si="13"/>
        <v>0</v>
      </c>
      <c r="AB65" s="61">
        <f t="shared" si="13"/>
        <v>0</v>
      </c>
      <c r="AC65" s="61">
        <f t="shared" si="14"/>
        <v>0</v>
      </c>
      <c r="AD65" s="61">
        <f t="shared" si="14"/>
        <v>0</v>
      </c>
      <c r="AE65" s="61">
        <f t="shared" si="14"/>
        <v>0</v>
      </c>
      <c r="AF65" s="61">
        <f t="shared" si="14"/>
        <v>0</v>
      </c>
      <c r="AG65" s="61">
        <f t="shared" si="14"/>
        <v>0</v>
      </c>
      <c r="AH65" s="61">
        <f t="shared" si="14"/>
        <v>0</v>
      </c>
      <c r="AI65" s="61">
        <f t="shared" si="14"/>
        <v>0</v>
      </c>
      <c r="AJ65" s="61">
        <f t="shared" si="14"/>
        <v>0</v>
      </c>
      <c r="AK65" s="61">
        <f t="shared" si="14"/>
        <v>0</v>
      </c>
      <c r="AL65" s="61">
        <f t="shared" si="14"/>
        <v>0</v>
      </c>
      <c r="AM65" s="61">
        <f t="shared" si="14"/>
        <v>0</v>
      </c>
      <c r="AN65" s="61">
        <f t="shared" si="14"/>
        <v>0</v>
      </c>
      <c r="AO65" s="61">
        <f t="shared" si="14"/>
        <v>0</v>
      </c>
      <c r="AP65" s="61">
        <f t="shared" si="14"/>
        <v>0</v>
      </c>
      <c r="AQ65" s="61"/>
    </row>
    <row r="66" spans="2:43" x14ac:dyDescent="0.25">
      <c r="B66" s="54">
        <v>0.60416666667151697</v>
      </c>
      <c r="C66" s="54">
        <v>0.958333333408523</v>
      </c>
      <c r="D66" s="60"/>
      <c r="E66" s="91"/>
      <c r="G66" s="91">
        <f>SUMMARY!AI62</f>
        <v>0</v>
      </c>
      <c r="H66" s="92">
        <f t="shared" si="12"/>
        <v>0</v>
      </c>
      <c r="I66" s="180">
        <f>AB$49-AB$50</f>
        <v>0</v>
      </c>
      <c r="M66" s="61">
        <f t="shared" si="13"/>
        <v>0</v>
      </c>
      <c r="N66" s="61">
        <f t="shared" si="13"/>
        <v>0</v>
      </c>
      <c r="O66" s="61">
        <f t="shared" si="13"/>
        <v>0</v>
      </c>
      <c r="P66" s="61">
        <f t="shared" si="13"/>
        <v>0</v>
      </c>
      <c r="Q66" s="61">
        <f t="shared" si="13"/>
        <v>0</v>
      </c>
      <c r="R66" s="61">
        <f t="shared" si="13"/>
        <v>0</v>
      </c>
      <c r="S66" s="61">
        <f t="shared" si="13"/>
        <v>0</v>
      </c>
      <c r="T66" s="61">
        <f t="shared" si="13"/>
        <v>0</v>
      </c>
      <c r="U66" s="61">
        <f t="shared" si="13"/>
        <v>0</v>
      </c>
      <c r="V66" s="61">
        <f t="shared" si="13"/>
        <v>0</v>
      </c>
      <c r="W66" s="61">
        <f t="shared" si="13"/>
        <v>0</v>
      </c>
      <c r="X66" s="61">
        <f t="shared" si="13"/>
        <v>0</v>
      </c>
      <c r="Y66" s="61">
        <f t="shared" si="13"/>
        <v>0</v>
      </c>
      <c r="Z66" s="61">
        <f t="shared" si="13"/>
        <v>0</v>
      </c>
      <c r="AA66" s="61">
        <f t="shared" si="13"/>
        <v>0</v>
      </c>
      <c r="AB66" s="61">
        <f t="shared" ref="W66:AL80" si="15">IF(AND(AB$2&gt;=$B66,AB$2&lt;$C66),$E66,0)</f>
        <v>0</v>
      </c>
      <c r="AC66" s="61">
        <f t="shared" si="15"/>
        <v>0</v>
      </c>
      <c r="AD66" s="61">
        <f t="shared" si="15"/>
        <v>0</v>
      </c>
      <c r="AE66" s="61">
        <f t="shared" si="15"/>
        <v>0</v>
      </c>
      <c r="AF66" s="61">
        <f t="shared" si="14"/>
        <v>0</v>
      </c>
      <c r="AG66" s="61">
        <f t="shared" si="14"/>
        <v>0</v>
      </c>
      <c r="AH66" s="61">
        <f t="shared" si="14"/>
        <v>0</v>
      </c>
      <c r="AI66" s="61">
        <f t="shared" si="14"/>
        <v>0</v>
      </c>
      <c r="AJ66" s="61">
        <f t="shared" si="14"/>
        <v>0</v>
      </c>
      <c r="AK66" s="61">
        <f t="shared" si="14"/>
        <v>0</v>
      </c>
      <c r="AL66" s="61">
        <f t="shared" si="14"/>
        <v>0</v>
      </c>
      <c r="AM66" s="61">
        <f t="shared" si="14"/>
        <v>0</v>
      </c>
      <c r="AN66" s="61">
        <f t="shared" si="14"/>
        <v>0</v>
      </c>
      <c r="AO66" s="61">
        <f t="shared" si="14"/>
        <v>0</v>
      </c>
      <c r="AP66" s="61">
        <f t="shared" si="14"/>
        <v>0</v>
      </c>
      <c r="AQ66" s="61"/>
    </row>
    <row r="67" spans="2:43" x14ac:dyDescent="0.25">
      <c r="B67" s="54">
        <v>0.62500000000727596</v>
      </c>
      <c r="C67" s="54">
        <v>0.97916666674428199</v>
      </c>
      <c r="D67" s="60"/>
      <c r="E67" s="91"/>
      <c r="G67" s="91">
        <f>SUMMARY!AI63</f>
        <v>0</v>
      </c>
      <c r="H67" s="92">
        <f t="shared" si="12"/>
        <v>0</v>
      </c>
      <c r="I67" s="180">
        <f>AC$49-AC$50</f>
        <v>0</v>
      </c>
      <c r="M67" s="61">
        <f t="shared" ref="M67:V80" si="16">IF(AND(M$2&gt;=$B67,M$2&lt;$C67),$E67,0)</f>
        <v>0</v>
      </c>
      <c r="N67" s="61">
        <f t="shared" si="16"/>
        <v>0</v>
      </c>
      <c r="O67" s="61">
        <f t="shared" si="16"/>
        <v>0</v>
      </c>
      <c r="P67" s="61">
        <f t="shared" si="16"/>
        <v>0</v>
      </c>
      <c r="Q67" s="61">
        <f t="shared" si="16"/>
        <v>0</v>
      </c>
      <c r="R67" s="61">
        <f t="shared" si="16"/>
        <v>0</v>
      </c>
      <c r="S67" s="61">
        <f t="shared" si="16"/>
        <v>0</v>
      </c>
      <c r="T67" s="61">
        <f t="shared" si="16"/>
        <v>0</v>
      </c>
      <c r="U67" s="61">
        <f t="shared" si="16"/>
        <v>0</v>
      </c>
      <c r="V67" s="61">
        <f t="shared" si="16"/>
        <v>0</v>
      </c>
      <c r="W67" s="61">
        <f t="shared" si="15"/>
        <v>0</v>
      </c>
      <c r="X67" s="61">
        <f t="shared" si="15"/>
        <v>0</v>
      </c>
      <c r="Y67" s="61">
        <f t="shared" si="15"/>
        <v>0</v>
      </c>
      <c r="Z67" s="61">
        <f t="shared" si="15"/>
        <v>0</v>
      </c>
      <c r="AA67" s="61">
        <f t="shared" si="15"/>
        <v>0</v>
      </c>
      <c r="AB67" s="61">
        <f t="shared" si="15"/>
        <v>0</v>
      </c>
      <c r="AC67" s="61">
        <f t="shared" si="15"/>
        <v>0</v>
      </c>
      <c r="AD67" s="61">
        <f t="shared" si="15"/>
        <v>0</v>
      </c>
      <c r="AE67" s="61">
        <f t="shared" si="15"/>
        <v>0</v>
      </c>
      <c r="AF67" s="61">
        <f t="shared" si="15"/>
        <v>0</v>
      </c>
      <c r="AG67" s="61">
        <f t="shared" si="15"/>
        <v>0</v>
      </c>
      <c r="AH67" s="61">
        <f t="shared" si="15"/>
        <v>0</v>
      </c>
      <c r="AI67" s="61">
        <f t="shared" si="15"/>
        <v>0</v>
      </c>
      <c r="AJ67" s="61">
        <f t="shared" si="15"/>
        <v>0</v>
      </c>
      <c r="AK67" s="61">
        <f t="shared" si="15"/>
        <v>0</v>
      </c>
      <c r="AL67" s="61">
        <f t="shared" si="15"/>
        <v>0</v>
      </c>
      <c r="AM67" s="61">
        <f t="shared" ref="AM67:AP80" si="17">IF(AND(AM$2&gt;=$B67,AM$2&lt;$C67),$E67,0)</f>
        <v>0</v>
      </c>
      <c r="AN67" s="61">
        <f t="shared" si="17"/>
        <v>0</v>
      </c>
      <c r="AO67" s="61">
        <f t="shared" si="17"/>
        <v>0</v>
      </c>
      <c r="AP67" s="61">
        <f t="shared" si="17"/>
        <v>0</v>
      </c>
      <c r="AQ67" s="61"/>
    </row>
    <row r="68" spans="2:43" x14ac:dyDescent="0.25">
      <c r="B68" s="54">
        <v>0.64583333334303406</v>
      </c>
      <c r="C68" s="54">
        <v>1.00000000008004</v>
      </c>
      <c r="D68" s="60"/>
      <c r="E68" s="91"/>
      <c r="G68" s="91">
        <f>SUMMARY!AI64</f>
        <v>0</v>
      </c>
      <c r="H68" s="92">
        <f t="shared" si="12"/>
        <v>0</v>
      </c>
      <c r="I68" s="180">
        <f>AD$49-AD$50</f>
        <v>0</v>
      </c>
      <c r="M68" s="61">
        <f t="shared" si="16"/>
        <v>0</v>
      </c>
      <c r="N68" s="61">
        <f t="shared" si="16"/>
        <v>0</v>
      </c>
      <c r="O68" s="61">
        <f t="shared" si="16"/>
        <v>0</v>
      </c>
      <c r="P68" s="61">
        <f t="shared" si="16"/>
        <v>0</v>
      </c>
      <c r="Q68" s="61">
        <f t="shared" si="16"/>
        <v>0</v>
      </c>
      <c r="R68" s="61">
        <f t="shared" si="16"/>
        <v>0</v>
      </c>
      <c r="S68" s="61">
        <f t="shared" si="16"/>
        <v>0</v>
      </c>
      <c r="T68" s="61">
        <f t="shared" si="16"/>
        <v>0</v>
      </c>
      <c r="U68" s="61">
        <f t="shared" si="16"/>
        <v>0</v>
      </c>
      <c r="V68" s="61">
        <f t="shared" si="16"/>
        <v>0</v>
      </c>
      <c r="W68" s="61">
        <f t="shared" si="15"/>
        <v>0</v>
      </c>
      <c r="X68" s="61">
        <f t="shared" si="15"/>
        <v>0</v>
      </c>
      <c r="Y68" s="61">
        <f t="shared" si="15"/>
        <v>0</v>
      </c>
      <c r="Z68" s="61">
        <f t="shared" si="15"/>
        <v>0</v>
      </c>
      <c r="AA68" s="61">
        <f t="shared" si="15"/>
        <v>0</v>
      </c>
      <c r="AB68" s="61">
        <f t="shared" si="15"/>
        <v>0</v>
      </c>
      <c r="AC68" s="61">
        <f t="shared" si="15"/>
        <v>0</v>
      </c>
      <c r="AD68" s="61">
        <f t="shared" si="15"/>
        <v>0</v>
      </c>
      <c r="AE68" s="61">
        <f t="shared" si="15"/>
        <v>0</v>
      </c>
      <c r="AF68" s="61">
        <f t="shared" si="15"/>
        <v>0</v>
      </c>
      <c r="AG68" s="61">
        <f t="shared" si="15"/>
        <v>0</v>
      </c>
      <c r="AH68" s="61">
        <f t="shared" si="15"/>
        <v>0</v>
      </c>
      <c r="AI68" s="61">
        <f t="shared" si="15"/>
        <v>0</v>
      </c>
      <c r="AJ68" s="61">
        <f t="shared" si="15"/>
        <v>0</v>
      </c>
      <c r="AK68" s="61">
        <f t="shared" si="15"/>
        <v>0</v>
      </c>
      <c r="AL68" s="61">
        <f t="shared" si="15"/>
        <v>0</v>
      </c>
      <c r="AM68" s="61">
        <f t="shared" si="17"/>
        <v>0</v>
      </c>
      <c r="AN68" s="61">
        <f t="shared" si="17"/>
        <v>0</v>
      </c>
      <c r="AO68" s="61">
        <f t="shared" si="17"/>
        <v>0</v>
      </c>
      <c r="AP68" s="61">
        <f t="shared" si="17"/>
        <v>0</v>
      </c>
      <c r="AQ68" s="61"/>
    </row>
    <row r="69" spans="2:43" x14ac:dyDescent="0.25">
      <c r="B69" s="54">
        <v>0.66666666667879304</v>
      </c>
      <c r="C69" s="54">
        <v>1.0208333334158</v>
      </c>
      <c r="D69" s="60"/>
      <c r="E69" s="91"/>
      <c r="G69" s="91">
        <f>SUMMARY!AI65</f>
        <v>0</v>
      </c>
      <c r="H69" s="92">
        <f t="shared" si="12"/>
        <v>0</v>
      </c>
      <c r="I69" s="180">
        <f>AE$49-AE$50</f>
        <v>0</v>
      </c>
      <c r="M69" s="61">
        <f t="shared" si="16"/>
        <v>0</v>
      </c>
      <c r="N69" s="61">
        <f t="shared" si="16"/>
        <v>0</v>
      </c>
      <c r="O69" s="61">
        <f t="shared" si="16"/>
        <v>0</v>
      </c>
      <c r="P69" s="61">
        <f t="shared" si="16"/>
        <v>0</v>
      </c>
      <c r="Q69" s="61">
        <f t="shared" si="16"/>
        <v>0</v>
      </c>
      <c r="R69" s="61">
        <f t="shared" si="16"/>
        <v>0</v>
      </c>
      <c r="S69" s="61">
        <f t="shared" si="16"/>
        <v>0</v>
      </c>
      <c r="T69" s="61">
        <f t="shared" si="16"/>
        <v>0</v>
      </c>
      <c r="U69" s="61">
        <f t="shared" si="16"/>
        <v>0</v>
      </c>
      <c r="V69" s="61">
        <f t="shared" si="16"/>
        <v>0</v>
      </c>
      <c r="W69" s="61">
        <f t="shared" si="15"/>
        <v>0</v>
      </c>
      <c r="X69" s="61">
        <f t="shared" si="15"/>
        <v>0</v>
      </c>
      <c r="Y69" s="61">
        <f t="shared" si="15"/>
        <v>0</v>
      </c>
      <c r="Z69" s="61">
        <f t="shared" si="15"/>
        <v>0</v>
      </c>
      <c r="AA69" s="61">
        <f t="shared" si="15"/>
        <v>0</v>
      </c>
      <c r="AB69" s="61">
        <f t="shared" si="15"/>
        <v>0</v>
      </c>
      <c r="AC69" s="61">
        <f t="shared" si="15"/>
        <v>0</v>
      </c>
      <c r="AD69" s="61">
        <f t="shared" si="15"/>
        <v>0</v>
      </c>
      <c r="AE69" s="61">
        <f t="shared" si="15"/>
        <v>0</v>
      </c>
      <c r="AF69" s="61">
        <f t="shared" si="15"/>
        <v>0</v>
      </c>
      <c r="AG69" s="61">
        <f t="shared" si="15"/>
        <v>0</v>
      </c>
      <c r="AH69" s="61">
        <f t="shared" si="15"/>
        <v>0</v>
      </c>
      <c r="AI69" s="61">
        <f t="shared" si="15"/>
        <v>0</v>
      </c>
      <c r="AJ69" s="61">
        <f t="shared" si="15"/>
        <v>0</v>
      </c>
      <c r="AK69" s="61">
        <f t="shared" si="15"/>
        <v>0</v>
      </c>
      <c r="AL69" s="61">
        <f t="shared" si="15"/>
        <v>0</v>
      </c>
      <c r="AM69" s="61">
        <f t="shared" si="17"/>
        <v>0</v>
      </c>
      <c r="AN69" s="61">
        <f t="shared" si="17"/>
        <v>0</v>
      </c>
      <c r="AO69" s="61">
        <f t="shared" si="17"/>
        <v>0</v>
      </c>
      <c r="AP69" s="61">
        <f t="shared" si="17"/>
        <v>0</v>
      </c>
      <c r="AQ69" s="61"/>
    </row>
    <row r="70" spans="2:43" x14ac:dyDescent="0.25">
      <c r="B70" s="54">
        <v>0.68750000001455203</v>
      </c>
      <c r="C70" s="54">
        <v>1.0416666667515599</v>
      </c>
      <c r="D70" s="60"/>
      <c r="E70" s="91"/>
      <c r="G70" s="91">
        <f>SUMMARY!AI66</f>
        <v>0</v>
      </c>
      <c r="H70" s="92">
        <f t="shared" si="12"/>
        <v>0</v>
      </c>
      <c r="I70" s="180">
        <f>AF$49-AF$50</f>
        <v>0</v>
      </c>
      <c r="M70" s="61">
        <f t="shared" si="16"/>
        <v>0</v>
      </c>
      <c r="N70" s="61">
        <f t="shared" si="16"/>
        <v>0</v>
      </c>
      <c r="O70" s="61">
        <f t="shared" si="16"/>
        <v>0</v>
      </c>
      <c r="P70" s="61">
        <f t="shared" si="16"/>
        <v>0</v>
      </c>
      <c r="Q70" s="61">
        <f t="shared" si="16"/>
        <v>0</v>
      </c>
      <c r="R70" s="61">
        <f t="shared" si="16"/>
        <v>0</v>
      </c>
      <c r="S70" s="61">
        <f t="shared" si="16"/>
        <v>0</v>
      </c>
      <c r="T70" s="61">
        <f t="shared" si="16"/>
        <v>0</v>
      </c>
      <c r="U70" s="61">
        <f t="shared" si="16"/>
        <v>0</v>
      </c>
      <c r="V70" s="61">
        <f t="shared" si="16"/>
        <v>0</v>
      </c>
      <c r="W70" s="61">
        <f t="shared" si="15"/>
        <v>0</v>
      </c>
      <c r="X70" s="61">
        <f t="shared" si="15"/>
        <v>0</v>
      </c>
      <c r="Y70" s="61">
        <f t="shared" si="15"/>
        <v>0</v>
      </c>
      <c r="Z70" s="61">
        <f t="shared" si="15"/>
        <v>0</v>
      </c>
      <c r="AA70" s="61">
        <f t="shared" si="15"/>
        <v>0</v>
      </c>
      <c r="AB70" s="61">
        <f t="shared" si="15"/>
        <v>0</v>
      </c>
      <c r="AC70" s="61">
        <f t="shared" si="15"/>
        <v>0</v>
      </c>
      <c r="AD70" s="61">
        <f t="shared" si="15"/>
        <v>0</v>
      </c>
      <c r="AE70" s="61">
        <f t="shared" si="15"/>
        <v>0</v>
      </c>
      <c r="AF70" s="61">
        <f t="shared" si="15"/>
        <v>0</v>
      </c>
      <c r="AG70" s="61">
        <f t="shared" si="15"/>
        <v>0</v>
      </c>
      <c r="AH70" s="61">
        <f t="shared" si="15"/>
        <v>0</v>
      </c>
      <c r="AI70" s="61">
        <f t="shared" si="15"/>
        <v>0</v>
      </c>
      <c r="AJ70" s="61">
        <f t="shared" si="15"/>
        <v>0</v>
      </c>
      <c r="AK70" s="61">
        <f t="shared" si="15"/>
        <v>0</v>
      </c>
      <c r="AL70" s="61">
        <f t="shared" si="15"/>
        <v>0</v>
      </c>
      <c r="AM70" s="61">
        <f t="shared" si="17"/>
        <v>0</v>
      </c>
      <c r="AN70" s="61">
        <f t="shared" si="17"/>
        <v>0</v>
      </c>
      <c r="AO70" s="61">
        <f t="shared" si="17"/>
        <v>0</v>
      </c>
      <c r="AP70" s="61">
        <f t="shared" si="17"/>
        <v>0</v>
      </c>
      <c r="AQ70" s="61"/>
    </row>
    <row r="71" spans="2:43" x14ac:dyDescent="0.25">
      <c r="B71" s="54">
        <v>0.70833333335031001</v>
      </c>
      <c r="C71" s="54">
        <v>1.0625000000873199</v>
      </c>
      <c r="D71" s="60"/>
      <c r="E71" s="91"/>
      <c r="G71" s="91">
        <f>SUMMARY!AI67</f>
        <v>0</v>
      </c>
      <c r="H71" s="92">
        <f t="shared" si="12"/>
        <v>0</v>
      </c>
      <c r="I71" s="180">
        <f>AG$49-AG$50</f>
        <v>0</v>
      </c>
      <c r="M71" s="61">
        <f t="shared" si="16"/>
        <v>0</v>
      </c>
      <c r="N71" s="61">
        <f t="shared" si="16"/>
        <v>0</v>
      </c>
      <c r="O71" s="61">
        <f t="shared" si="16"/>
        <v>0</v>
      </c>
      <c r="P71" s="61">
        <f t="shared" si="16"/>
        <v>0</v>
      </c>
      <c r="Q71" s="61">
        <f t="shared" si="16"/>
        <v>0</v>
      </c>
      <c r="R71" s="61">
        <f t="shared" si="16"/>
        <v>0</v>
      </c>
      <c r="S71" s="61">
        <f t="shared" si="16"/>
        <v>0</v>
      </c>
      <c r="T71" s="61">
        <f t="shared" si="16"/>
        <v>0</v>
      </c>
      <c r="U71" s="61">
        <f t="shared" si="16"/>
        <v>0</v>
      </c>
      <c r="V71" s="61">
        <f t="shared" si="16"/>
        <v>0</v>
      </c>
      <c r="W71" s="61">
        <f t="shared" si="15"/>
        <v>0</v>
      </c>
      <c r="X71" s="61">
        <f t="shared" si="15"/>
        <v>0</v>
      </c>
      <c r="Y71" s="61">
        <f t="shared" si="15"/>
        <v>0</v>
      </c>
      <c r="Z71" s="61">
        <f t="shared" si="15"/>
        <v>0</v>
      </c>
      <c r="AA71" s="61">
        <f t="shared" si="15"/>
        <v>0</v>
      </c>
      <c r="AB71" s="61">
        <f t="shared" si="15"/>
        <v>0</v>
      </c>
      <c r="AC71" s="61">
        <f t="shared" si="15"/>
        <v>0</v>
      </c>
      <c r="AD71" s="61">
        <f t="shared" si="15"/>
        <v>0</v>
      </c>
      <c r="AE71" s="61">
        <f t="shared" si="15"/>
        <v>0</v>
      </c>
      <c r="AF71" s="61">
        <f t="shared" si="15"/>
        <v>0</v>
      </c>
      <c r="AG71" s="61">
        <f t="shared" si="15"/>
        <v>0</v>
      </c>
      <c r="AH71" s="61">
        <f t="shared" si="15"/>
        <v>0</v>
      </c>
      <c r="AI71" s="61">
        <f t="shared" si="15"/>
        <v>0</v>
      </c>
      <c r="AJ71" s="61">
        <f t="shared" si="15"/>
        <v>0</v>
      </c>
      <c r="AK71" s="61">
        <f t="shared" si="15"/>
        <v>0</v>
      </c>
      <c r="AL71" s="61">
        <f t="shared" si="15"/>
        <v>0</v>
      </c>
      <c r="AM71" s="61">
        <f t="shared" si="17"/>
        <v>0</v>
      </c>
      <c r="AN71" s="61">
        <f t="shared" si="17"/>
        <v>0</v>
      </c>
      <c r="AO71" s="61">
        <f t="shared" si="17"/>
        <v>0</v>
      </c>
      <c r="AP71" s="61">
        <f t="shared" si="17"/>
        <v>0</v>
      </c>
      <c r="AQ71" s="61"/>
    </row>
    <row r="72" spans="2:43" x14ac:dyDescent="0.25">
      <c r="B72" s="54">
        <v>0.729166666686069</v>
      </c>
      <c r="C72" s="54">
        <v>1.0833333334230799</v>
      </c>
      <c r="D72" s="60"/>
      <c r="E72" s="91"/>
      <c r="G72" s="91">
        <f>SUMMARY!AI68</f>
        <v>0</v>
      </c>
      <c r="H72" s="92">
        <f t="shared" si="12"/>
        <v>0</v>
      </c>
      <c r="I72" s="180">
        <f>AH$49-AH$50</f>
        <v>0</v>
      </c>
      <c r="M72" s="61">
        <f t="shared" si="16"/>
        <v>0</v>
      </c>
      <c r="N72" s="61">
        <f t="shared" si="16"/>
        <v>0</v>
      </c>
      <c r="O72" s="61">
        <f t="shared" si="16"/>
        <v>0</v>
      </c>
      <c r="P72" s="61">
        <f t="shared" si="16"/>
        <v>0</v>
      </c>
      <c r="Q72" s="61">
        <f t="shared" si="16"/>
        <v>0</v>
      </c>
      <c r="R72" s="61">
        <f t="shared" si="16"/>
        <v>0</v>
      </c>
      <c r="S72" s="61">
        <f t="shared" si="16"/>
        <v>0</v>
      </c>
      <c r="T72" s="61">
        <f t="shared" si="16"/>
        <v>0</v>
      </c>
      <c r="U72" s="61">
        <f t="shared" si="16"/>
        <v>0</v>
      </c>
      <c r="V72" s="61">
        <f t="shared" si="16"/>
        <v>0</v>
      </c>
      <c r="W72" s="61">
        <f t="shared" si="15"/>
        <v>0</v>
      </c>
      <c r="X72" s="61">
        <f t="shared" si="15"/>
        <v>0</v>
      </c>
      <c r="Y72" s="61">
        <f t="shared" si="15"/>
        <v>0</v>
      </c>
      <c r="Z72" s="61">
        <f t="shared" si="15"/>
        <v>0</v>
      </c>
      <c r="AA72" s="61">
        <f t="shared" si="15"/>
        <v>0</v>
      </c>
      <c r="AB72" s="61">
        <f t="shared" si="15"/>
        <v>0</v>
      </c>
      <c r="AC72" s="61">
        <f t="shared" si="15"/>
        <v>0</v>
      </c>
      <c r="AD72" s="61">
        <f t="shared" si="15"/>
        <v>0</v>
      </c>
      <c r="AE72" s="61">
        <f t="shared" si="15"/>
        <v>0</v>
      </c>
      <c r="AF72" s="61">
        <f t="shared" si="15"/>
        <v>0</v>
      </c>
      <c r="AG72" s="61">
        <f t="shared" si="15"/>
        <v>0</v>
      </c>
      <c r="AH72" s="61">
        <f t="shared" si="15"/>
        <v>0</v>
      </c>
      <c r="AI72" s="61">
        <f t="shared" si="15"/>
        <v>0</v>
      </c>
      <c r="AJ72" s="61">
        <f t="shared" si="15"/>
        <v>0</v>
      </c>
      <c r="AK72" s="61">
        <f t="shared" si="15"/>
        <v>0</v>
      </c>
      <c r="AL72" s="61">
        <f t="shared" si="15"/>
        <v>0</v>
      </c>
      <c r="AM72" s="61">
        <f t="shared" si="17"/>
        <v>0</v>
      </c>
      <c r="AN72" s="61">
        <f t="shared" si="17"/>
        <v>0</v>
      </c>
      <c r="AO72" s="61">
        <f t="shared" si="17"/>
        <v>0</v>
      </c>
      <c r="AP72" s="61">
        <f t="shared" si="17"/>
        <v>0</v>
      </c>
      <c r="AQ72" s="61"/>
    </row>
    <row r="73" spans="2:43" x14ac:dyDescent="0.25">
      <c r="B73" s="54">
        <v>0.75000000002182798</v>
      </c>
      <c r="C73" s="54">
        <v>1.1041666667588399</v>
      </c>
      <c r="D73" s="60"/>
      <c r="E73" s="91"/>
      <c r="G73" s="91">
        <f>SUMMARY!AI69</f>
        <v>0</v>
      </c>
      <c r="H73" s="92">
        <f t="shared" si="12"/>
        <v>0</v>
      </c>
      <c r="I73" s="180">
        <f>AI$49-AI$50</f>
        <v>0</v>
      </c>
      <c r="M73" s="61">
        <f t="shared" si="16"/>
        <v>0</v>
      </c>
      <c r="N73" s="61">
        <f t="shared" si="16"/>
        <v>0</v>
      </c>
      <c r="O73" s="61">
        <f t="shared" si="16"/>
        <v>0</v>
      </c>
      <c r="P73" s="61">
        <f t="shared" si="16"/>
        <v>0</v>
      </c>
      <c r="Q73" s="61">
        <f t="shared" si="16"/>
        <v>0</v>
      </c>
      <c r="R73" s="61">
        <f t="shared" si="16"/>
        <v>0</v>
      </c>
      <c r="S73" s="61">
        <f t="shared" si="16"/>
        <v>0</v>
      </c>
      <c r="T73" s="61">
        <f t="shared" si="16"/>
        <v>0</v>
      </c>
      <c r="U73" s="61">
        <f t="shared" si="16"/>
        <v>0</v>
      </c>
      <c r="V73" s="61">
        <f t="shared" si="16"/>
        <v>0</v>
      </c>
      <c r="W73" s="61">
        <f t="shared" si="15"/>
        <v>0</v>
      </c>
      <c r="X73" s="61">
        <f t="shared" si="15"/>
        <v>0</v>
      </c>
      <c r="Y73" s="61">
        <f t="shared" si="15"/>
        <v>0</v>
      </c>
      <c r="Z73" s="61">
        <f t="shared" si="15"/>
        <v>0</v>
      </c>
      <c r="AA73" s="61">
        <f t="shared" si="15"/>
        <v>0</v>
      </c>
      <c r="AB73" s="61">
        <f t="shared" si="15"/>
        <v>0</v>
      </c>
      <c r="AC73" s="61">
        <f t="shared" si="15"/>
        <v>0</v>
      </c>
      <c r="AD73" s="61">
        <f t="shared" si="15"/>
        <v>0</v>
      </c>
      <c r="AE73" s="61">
        <f t="shared" si="15"/>
        <v>0</v>
      </c>
      <c r="AF73" s="61">
        <f t="shared" si="15"/>
        <v>0</v>
      </c>
      <c r="AG73" s="61">
        <f t="shared" si="15"/>
        <v>0</v>
      </c>
      <c r="AH73" s="61">
        <f t="shared" si="15"/>
        <v>0</v>
      </c>
      <c r="AI73" s="61">
        <f t="shared" si="15"/>
        <v>0</v>
      </c>
      <c r="AJ73" s="61">
        <f t="shared" si="15"/>
        <v>0</v>
      </c>
      <c r="AK73" s="61">
        <f t="shared" si="15"/>
        <v>0</v>
      </c>
      <c r="AL73" s="61">
        <f t="shared" si="15"/>
        <v>0</v>
      </c>
      <c r="AM73" s="61">
        <f t="shared" si="17"/>
        <v>0</v>
      </c>
      <c r="AN73" s="61">
        <f t="shared" si="17"/>
        <v>0</v>
      </c>
      <c r="AO73" s="61">
        <f t="shared" si="17"/>
        <v>0</v>
      </c>
      <c r="AP73" s="61">
        <f t="shared" si="17"/>
        <v>0</v>
      </c>
      <c r="AQ73" s="61"/>
    </row>
    <row r="74" spans="2:43" x14ac:dyDescent="0.25">
      <c r="B74" s="54">
        <v>0.77083333335758597</v>
      </c>
      <c r="C74" s="54">
        <v>1.1250000000945899</v>
      </c>
      <c r="D74" s="60"/>
      <c r="E74" s="91"/>
      <c r="G74" s="91">
        <f>SUMMARY!AI70</f>
        <v>0</v>
      </c>
      <c r="H74" s="92">
        <f t="shared" si="12"/>
        <v>0</v>
      </c>
      <c r="I74" s="180">
        <f>AJ$49-AJ$50</f>
        <v>0</v>
      </c>
      <c r="M74" s="61">
        <f t="shared" si="16"/>
        <v>0</v>
      </c>
      <c r="N74" s="61">
        <f t="shared" si="16"/>
        <v>0</v>
      </c>
      <c r="O74" s="61">
        <f t="shared" si="16"/>
        <v>0</v>
      </c>
      <c r="P74" s="61">
        <f t="shared" si="16"/>
        <v>0</v>
      </c>
      <c r="Q74" s="61">
        <f t="shared" si="16"/>
        <v>0</v>
      </c>
      <c r="R74" s="61">
        <f t="shared" si="16"/>
        <v>0</v>
      </c>
      <c r="S74" s="61">
        <f t="shared" si="16"/>
        <v>0</v>
      </c>
      <c r="T74" s="61">
        <f t="shared" si="16"/>
        <v>0</v>
      </c>
      <c r="U74" s="61">
        <f t="shared" si="16"/>
        <v>0</v>
      </c>
      <c r="V74" s="61">
        <f t="shared" si="16"/>
        <v>0</v>
      </c>
      <c r="W74" s="61">
        <f t="shared" si="15"/>
        <v>0</v>
      </c>
      <c r="X74" s="61">
        <f t="shared" si="15"/>
        <v>0</v>
      </c>
      <c r="Y74" s="61">
        <f t="shared" si="15"/>
        <v>0</v>
      </c>
      <c r="Z74" s="61">
        <f t="shared" si="15"/>
        <v>0</v>
      </c>
      <c r="AA74" s="61">
        <f t="shared" si="15"/>
        <v>0</v>
      </c>
      <c r="AB74" s="61">
        <f t="shared" si="15"/>
        <v>0</v>
      </c>
      <c r="AC74" s="61">
        <f t="shared" si="15"/>
        <v>0</v>
      </c>
      <c r="AD74" s="61">
        <f t="shared" si="15"/>
        <v>0</v>
      </c>
      <c r="AE74" s="61">
        <f t="shared" si="15"/>
        <v>0</v>
      </c>
      <c r="AF74" s="61">
        <f t="shared" si="15"/>
        <v>0</v>
      </c>
      <c r="AG74" s="61">
        <f t="shared" si="15"/>
        <v>0</v>
      </c>
      <c r="AH74" s="61">
        <f t="shared" si="15"/>
        <v>0</v>
      </c>
      <c r="AI74" s="61">
        <f t="shared" si="15"/>
        <v>0</v>
      </c>
      <c r="AJ74" s="61">
        <f t="shared" si="15"/>
        <v>0</v>
      </c>
      <c r="AK74" s="61">
        <f t="shared" si="15"/>
        <v>0</v>
      </c>
      <c r="AL74" s="61">
        <f t="shared" si="15"/>
        <v>0</v>
      </c>
      <c r="AM74" s="61">
        <f t="shared" si="17"/>
        <v>0</v>
      </c>
      <c r="AN74" s="61">
        <f t="shared" si="17"/>
        <v>0</v>
      </c>
      <c r="AO74" s="61">
        <f t="shared" si="17"/>
        <v>0</v>
      </c>
      <c r="AP74" s="61">
        <f t="shared" si="17"/>
        <v>0</v>
      </c>
      <c r="AQ74" s="61"/>
    </row>
    <row r="75" spans="2:43" x14ac:dyDescent="0.25">
      <c r="B75" s="54">
        <v>0.79166666669334496</v>
      </c>
      <c r="C75" s="54">
        <v>1.1458333334303501</v>
      </c>
      <c r="D75" s="60"/>
      <c r="E75" s="91"/>
      <c r="G75" s="91">
        <f>SUMMARY!AI71</f>
        <v>0</v>
      </c>
      <c r="H75" s="92">
        <f t="shared" si="12"/>
        <v>0</v>
      </c>
      <c r="I75" s="180">
        <f>AK$49-AK$50</f>
        <v>0</v>
      </c>
      <c r="M75" s="61">
        <f t="shared" si="16"/>
        <v>0</v>
      </c>
      <c r="N75" s="61">
        <f t="shared" si="16"/>
        <v>0</v>
      </c>
      <c r="O75" s="61">
        <f t="shared" si="16"/>
        <v>0</v>
      </c>
      <c r="P75" s="61">
        <f t="shared" si="16"/>
        <v>0</v>
      </c>
      <c r="Q75" s="61">
        <f t="shared" si="16"/>
        <v>0</v>
      </c>
      <c r="R75" s="61">
        <f t="shared" si="16"/>
        <v>0</v>
      </c>
      <c r="S75" s="61">
        <f t="shared" si="16"/>
        <v>0</v>
      </c>
      <c r="T75" s="61">
        <f t="shared" si="16"/>
        <v>0</v>
      </c>
      <c r="U75" s="61">
        <f t="shared" si="16"/>
        <v>0</v>
      </c>
      <c r="V75" s="61">
        <f t="shared" si="16"/>
        <v>0</v>
      </c>
      <c r="W75" s="61">
        <f t="shared" si="15"/>
        <v>0</v>
      </c>
      <c r="X75" s="61">
        <f t="shared" si="15"/>
        <v>0</v>
      </c>
      <c r="Y75" s="61">
        <f t="shared" si="15"/>
        <v>0</v>
      </c>
      <c r="Z75" s="61">
        <f t="shared" si="15"/>
        <v>0</v>
      </c>
      <c r="AA75" s="61">
        <f t="shared" si="15"/>
        <v>0</v>
      </c>
      <c r="AB75" s="61">
        <f t="shared" si="15"/>
        <v>0</v>
      </c>
      <c r="AC75" s="61">
        <f t="shared" si="15"/>
        <v>0</v>
      </c>
      <c r="AD75" s="61">
        <f t="shared" si="15"/>
        <v>0</v>
      </c>
      <c r="AE75" s="61">
        <f t="shared" si="15"/>
        <v>0</v>
      </c>
      <c r="AF75" s="61">
        <f t="shared" si="15"/>
        <v>0</v>
      </c>
      <c r="AG75" s="61">
        <f t="shared" si="15"/>
        <v>0</v>
      </c>
      <c r="AH75" s="61">
        <f t="shared" si="15"/>
        <v>0</v>
      </c>
      <c r="AI75" s="61">
        <f t="shared" si="15"/>
        <v>0</v>
      </c>
      <c r="AJ75" s="61">
        <f t="shared" si="15"/>
        <v>0</v>
      </c>
      <c r="AK75" s="61">
        <f t="shared" si="15"/>
        <v>0</v>
      </c>
      <c r="AL75" s="61">
        <f t="shared" si="15"/>
        <v>0</v>
      </c>
      <c r="AM75" s="61">
        <f t="shared" si="17"/>
        <v>0</v>
      </c>
      <c r="AN75" s="61">
        <f t="shared" si="17"/>
        <v>0</v>
      </c>
      <c r="AO75" s="61">
        <f t="shared" si="17"/>
        <v>0</v>
      </c>
      <c r="AP75" s="61">
        <f t="shared" si="17"/>
        <v>0</v>
      </c>
      <c r="AQ75" s="61"/>
    </row>
    <row r="76" spans="2:43" x14ac:dyDescent="0.25">
      <c r="B76" s="54">
        <v>0.81250000002910305</v>
      </c>
      <c r="C76" s="54">
        <v>1.1666666667661101</v>
      </c>
      <c r="D76" s="60"/>
      <c r="E76" s="91"/>
      <c r="G76" s="91">
        <f>SUMMARY!AI72</f>
        <v>0</v>
      </c>
      <c r="H76" s="92">
        <f t="shared" si="12"/>
        <v>0</v>
      </c>
      <c r="I76" s="180">
        <f>AL$49-AL$50</f>
        <v>0</v>
      </c>
      <c r="M76" s="61">
        <f t="shared" si="16"/>
        <v>0</v>
      </c>
      <c r="N76" s="61">
        <f t="shared" si="16"/>
        <v>0</v>
      </c>
      <c r="O76" s="61">
        <f t="shared" si="16"/>
        <v>0</v>
      </c>
      <c r="P76" s="61">
        <f t="shared" si="16"/>
        <v>0</v>
      </c>
      <c r="Q76" s="61">
        <f t="shared" si="16"/>
        <v>0</v>
      </c>
      <c r="R76" s="61">
        <f t="shared" si="16"/>
        <v>0</v>
      </c>
      <c r="S76" s="61">
        <f t="shared" si="16"/>
        <v>0</v>
      </c>
      <c r="T76" s="61">
        <f t="shared" si="16"/>
        <v>0</v>
      </c>
      <c r="U76" s="61">
        <f t="shared" si="16"/>
        <v>0</v>
      </c>
      <c r="V76" s="61">
        <f t="shared" si="16"/>
        <v>0</v>
      </c>
      <c r="W76" s="61">
        <f t="shared" si="15"/>
        <v>0</v>
      </c>
      <c r="X76" s="61">
        <f t="shared" si="15"/>
        <v>0</v>
      </c>
      <c r="Y76" s="61">
        <f t="shared" si="15"/>
        <v>0</v>
      </c>
      <c r="Z76" s="61">
        <f t="shared" si="15"/>
        <v>0</v>
      </c>
      <c r="AA76" s="61">
        <f t="shared" si="15"/>
        <v>0</v>
      </c>
      <c r="AB76" s="61">
        <f t="shared" si="15"/>
        <v>0</v>
      </c>
      <c r="AC76" s="61">
        <f t="shared" si="15"/>
        <v>0</v>
      </c>
      <c r="AD76" s="61">
        <f t="shared" si="15"/>
        <v>0</v>
      </c>
      <c r="AE76" s="61">
        <f t="shared" si="15"/>
        <v>0</v>
      </c>
      <c r="AF76" s="61">
        <f t="shared" si="15"/>
        <v>0</v>
      </c>
      <c r="AG76" s="61">
        <f t="shared" si="15"/>
        <v>0</v>
      </c>
      <c r="AH76" s="61">
        <f t="shared" si="15"/>
        <v>0</v>
      </c>
      <c r="AI76" s="61">
        <f t="shared" si="15"/>
        <v>0</v>
      </c>
      <c r="AJ76" s="61">
        <f t="shared" si="15"/>
        <v>0</v>
      </c>
      <c r="AK76" s="61">
        <f t="shared" si="15"/>
        <v>0</v>
      </c>
      <c r="AL76" s="61">
        <f t="shared" si="15"/>
        <v>0</v>
      </c>
      <c r="AM76" s="61">
        <f t="shared" si="17"/>
        <v>0</v>
      </c>
      <c r="AN76" s="61">
        <f t="shared" si="17"/>
        <v>0</v>
      </c>
      <c r="AO76" s="61">
        <f t="shared" si="17"/>
        <v>0</v>
      </c>
      <c r="AP76" s="61">
        <f t="shared" si="17"/>
        <v>0</v>
      </c>
      <c r="AQ76" s="61"/>
    </row>
    <row r="77" spans="2:43" x14ac:dyDescent="0.25">
      <c r="B77" s="54">
        <v>0.83333333336486204</v>
      </c>
      <c r="C77" s="54">
        <v>1.1875000001018701</v>
      </c>
      <c r="D77" s="60"/>
      <c r="E77" s="91"/>
      <c r="G77" s="91">
        <f>SUMMARY!AI73</f>
        <v>0</v>
      </c>
      <c r="H77" s="92">
        <f t="shared" si="12"/>
        <v>0</v>
      </c>
      <c r="I77" s="180">
        <f>AM$49-AM$50</f>
        <v>0</v>
      </c>
      <c r="M77" s="61">
        <f t="shared" si="16"/>
        <v>0</v>
      </c>
      <c r="N77" s="61">
        <f t="shared" si="16"/>
        <v>0</v>
      </c>
      <c r="O77" s="61">
        <f t="shared" si="16"/>
        <v>0</v>
      </c>
      <c r="P77" s="61">
        <f t="shared" si="16"/>
        <v>0</v>
      </c>
      <c r="Q77" s="61">
        <f t="shared" si="16"/>
        <v>0</v>
      </c>
      <c r="R77" s="61">
        <f t="shared" si="16"/>
        <v>0</v>
      </c>
      <c r="S77" s="61">
        <f t="shared" si="16"/>
        <v>0</v>
      </c>
      <c r="T77" s="61">
        <f t="shared" si="16"/>
        <v>0</v>
      </c>
      <c r="U77" s="61">
        <f t="shared" si="16"/>
        <v>0</v>
      </c>
      <c r="V77" s="61">
        <f t="shared" si="16"/>
        <v>0</v>
      </c>
      <c r="W77" s="61">
        <f t="shared" si="15"/>
        <v>0</v>
      </c>
      <c r="X77" s="61">
        <f t="shared" si="15"/>
        <v>0</v>
      </c>
      <c r="Y77" s="61">
        <f t="shared" si="15"/>
        <v>0</v>
      </c>
      <c r="Z77" s="61">
        <f t="shared" si="15"/>
        <v>0</v>
      </c>
      <c r="AA77" s="61">
        <f t="shared" si="15"/>
        <v>0</v>
      </c>
      <c r="AB77" s="61">
        <f t="shared" si="15"/>
        <v>0</v>
      </c>
      <c r="AC77" s="61">
        <f t="shared" si="15"/>
        <v>0</v>
      </c>
      <c r="AD77" s="61">
        <f t="shared" si="15"/>
        <v>0</v>
      </c>
      <c r="AE77" s="61">
        <f t="shared" si="15"/>
        <v>0</v>
      </c>
      <c r="AF77" s="61">
        <f t="shared" si="15"/>
        <v>0</v>
      </c>
      <c r="AG77" s="61">
        <f t="shared" si="15"/>
        <v>0</v>
      </c>
      <c r="AH77" s="61">
        <f t="shared" si="15"/>
        <v>0</v>
      </c>
      <c r="AI77" s="61">
        <f t="shared" si="15"/>
        <v>0</v>
      </c>
      <c r="AJ77" s="61">
        <f t="shared" si="15"/>
        <v>0</v>
      </c>
      <c r="AK77" s="61">
        <f t="shared" si="15"/>
        <v>0</v>
      </c>
      <c r="AL77" s="61">
        <f t="shared" si="15"/>
        <v>0</v>
      </c>
      <c r="AM77" s="61">
        <f t="shared" si="17"/>
        <v>0</v>
      </c>
      <c r="AN77" s="61">
        <f t="shared" si="17"/>
        <v>0</v>
      </c>
      <c r="AO77" s="61">
        <f t="shared" si="17"/>
        <v>0</v>
      </c>
      <c r="AP77" s="61">
        <f t="shared" si="17"/>
        <v>0</v>
      </c>
      <c r="AQ77" s="61"/>
    </row>
    <row r="78" spans="2:43" x14ac:dyDescent="0.25">
      <c r="B78" s="54">
        <v>0.85416666670062102</v>
      </c>
      <c r="C78" s="54">
        <v>1.2083333334376301</v>
      </c>
      <c r="D78" s="60"/>
      <c r="E78" s="91"/>
      <c r="G78" s="91">
        <f>SUMMARY!AI74</f>
        <v>0</v>
      </c>
      <c r="H78" s="92">
        <f t="shared" si="12"/>
        <v>0</v>
      </c>
      <c r="I78" s="180">
        <f>AN$49-AN$50</f>
        <v>0</v>
      </c>
      <c r="M78" s="61">
        <f t="shared" si="16"/>
        <v>0</v>
      </c>
      <c r="N78" s="61">
        <f t="shared" si="16"/>
        <v>0</v>
      </c>
      <c r="O78" s="61">
        <f t="shared" si="16"/>
        <v>0</v>
      </c>
      <c r="P78" s="61">
        <f t="shared" si="16"/>
        <v>0</v>
      </c>
      <c r="Q78" s="61">
        <f t="shared" si="16"/>
        <v>0</v>
      </c>
      <c r="R78" s="61">
        <f t="shared" si="16"/>
        <v>0</v>
      </c>
      <c r="S78" s="61">
        <f t="shared" si="16"/>
        <v>0</v>
      </c>
      <c r="T78" s="61">
        <f t="shared" si="16"/>
        <v>0</v>
      </c>
      <c r="U78" s="61">
        <f t="shared" si="16"/>
        <v>0</v>
      </c>
      <c r="V78" s="61">
        <f t="shared" si="16"/>
        <v>0</v>
      </c>
      <c r="W78" s="61">
        <f t="shared" si="15"/>
        <v>0</v>
      </c>
      <c r="X78" s="61">
        <f t="shared" si="15"/>
        <v>0</v>
      </c>
      <c r="Y78" s="61">
        <f t="shared" si="15"/>
        <v>0</v>
      </c>
      <c r="Z78" s="61">
        <f t="shared" si="15"/>
        <v>0</v>
      </c>
      <c r="AA78" s="61">
        <f t="shared" si="15"/>
        <v>0</v>
      </c>
      <c r="AB78" s="61">
        <f t="shared" si="15"/>
        <v>0</v>
      </c>
      <c r="AC78" s="61">
        <f t="shared" si="15"/>
        <v>0</v>
      </c>
      <c r="AD78" s="61">
        <f t="shared" si="15"/>
        <v>0</v>
      </c>
      <c r="AE78" s="61">
        <f t="shared" si="15"/>
        <v>0</v>
      </c>
      <c r="AF78" s="61">
        <f t="shared" si="15"/>
        <v>0</v>
      </c>
      <c r="AG78" s="61">
        <f t="shared" si="15"/>
        <v>0</v>
      </c>
      <c r="AH78" s="61">
        <f t="shared" si="15"/>
        <v>0</v>
      </c>
      <c r="AI78" s="61">
        <f t="shared" si="15"/>
        <v>0</v>
      </c>
      <c r="AJ78" s="61">
        <f t="shared" si="15"/>
        <v>0</v>
      </c>
      <c r="AK78" s="61">
        <f t="shared" si="15"/>
        <v>0</v>
      </c>
      <c r="AL78" s="61">
        <f t="shared" si="15"/>
        <v>0</v>
      </c>
      <c r="AM78" s="61">
        <f t="shared" si="17"/>
        <v>0</v>
      </c>
      <c r="AN78" s="61">
        <f t="shared" si="17"/>
        <v>0</v>
      </c>
      <c r="AO78" s="61">
        <f t="shared" si="17"/>
        <v>0</v>
      </c>
      <c r="AP78" s="61">
        <f t="shared" si="17"/>
        <v>0</v>
      </c>
      <c r="AQ78" s="61"/>
    </row>
    <row r="79" spans="2:43" x14ac:dyDescent="0.25">
      <c r="B79" s="54">
        <v>0.87500000003637901</v>
      </c>
      <c r="C79" s="54">
        <v>1.22916666677339</v>
      </c>
      <c r="D79" s="60"/>
      <c r="E79" s="91"/>
      <c r="G79" s="91">
        <f>SUMMARY!AI75</f>
        <v>0</v>
      </c>
      <c r="H79" s="92">
        <f t="shared" si="12"/>
        <v>0</v>
      </c>
      <c r="I79" s="180">
        <f>AO$49-AO$50</f>
        <v>0</v>
      </c>
      <c r="M79" s="61">
        <f t="shared" si="16"/>
        <v>0</v>
      </c>
      <c r="N79" s="61">
        <f t="shared" si="16"/>
        <v>0</v>
      </c>
      <c r="O79" s="61">
        <f t="shared" si="16"/>
        <v>0</v>
      </c>
      <c r="P79" s="61">
        <f t="shared" si="16"/>
        <v>0</v>
      </c>
      <c r="Q79" s="61">
        <f t="shared" si="16"/>
        <v>0</v>
      </c>
      <c r="R79" s="61">
        <f t="shared" si="16"/>
        <v>0</v>
      </c>
      <c r="S79" s="61">
        <f t="shared" si="16"/>
        <v>0</v>
      </c>
      <c r="T79" s="61">
        <f t="shared" si="16"/>
        <v>0</v>
      </c>
      <c r="U79" s="61">
        <f t="shared" si="16"/>
        <v>0</v>
      </c>
      <c r="V79" s="61">
        <f t="shared" si="16"/>
        <v>0</v>
      </c>
      <c r="W79" s="61">
        <f t="shared" si="15"/>
        <v>0</v>
      </c>
      <c r="X79" s="61">
        <f t="shared" si="15"/>
        <v>0</v>
      </c>
      <c r="Y79" s="61">
        <f t="shared" si="15"/>
        <v>0</v>
      </c>
      <c r="Z79" s="61">
        <f t="shared" si="15"/>
        <v>0</v>
      </c>
      <c r="AA79" s="61">
        <f t="shared" si="15"/>
        <v>0</v>
      </c>
      <c r="AB79" s="61">
        <f t="shared" si="15"/>
        <v>0</v>
      </c>
      <c r="AC79" s="61">
        <f t="shared" si="15"/>
        <v>0</v>
      </c>
      <c r="AD79" s="61">
        <f t="shared" si="15"/>
        <v>0</v>
      </c>
      <c r="AE79" s="61">
        <f t="shared" si="15"/>
        <v>0</v>
      </c>
      <c r="AF79" s="61">
        <f t="shared" si="15"/>
        <v>0</v>
      </c>
      <c r="AG79" s="61">
        <f t="shared" si="15"/>
        <v>0</v>
      </c>
      <c r="AH79" s="61">
        <f t="shared" si="15"/>
        <v>0</v>
      </c>
      <c r="AI79" s="61">
        <f t="shared" si="15"/>
        <v>0</v>
      </c>
      <c r="AJ79" s="61">
        <f t="shared" si="15"/>
        <v>0</v>
      </c>
      <c r="AK79" s="61">
        <f t="shared" si="15"/>
        <v>0</v>
      </c>
      <c r="AL79" s="61">
        <f t="shared" si="15"/>
        <v>0</v>
      </c>
      <c r="AM79" s="61">
        <f t="shared" si="17"/>
        <v>0</v>
      </c>
      <c r="AN79" s="61">
        <f t="shared" si="17"/>
        <v>0</v>
      </c>
      <c r="AO79" s="61">
        <f t="shared" si="17"/>
        <v>0</v>
      </c>
      <c r="AP79" s="61">
        <f t="shared" si="17"/>
        <v>0</v>
      </c>
      <c r="AQ79" s="61"/>
    </row>
    <row r="80" spans="2:43" x14ac:dyDescent="0.25">
      <c r="B80" s="54">
        <v>0.895833333372138</v>
      </c>
      <c r="C80" s="54">
        <v>1.25000000010915</v>
      </c>
      <c r="D80" s="60"/>
      <c r="E80" s="91"/>
      <c r="G80" s="91">
        <f>SUMMARY!AI76</f>
        <v>0</v>
      </c>
      <c r="H80" s="92">
        <f t="shared" si="12"/>
        <v>0</v>
      </c>
      <c r="I80" s="180">
        <f>AP$49-AP$50</f>
        <v>0</v>
      </c>
      <c r="M80" s="61">
        <f t="shared" si="16"/>
        <v>0</v>
      </c>
      <c r="N80" s="61">
        <f t="shared" si="16"/>
        <v>0</v>
      </c>
      <c r="O80" s="61">
        <f t="shared" si="16"/>
        <v>0</v>
      </c>
      <c r="P80" s="61">
        <f t="shared" si="16"/>
        <v>0</v>
      </c>
      <c r="Q80" s="61">
        <f t="shared" si="16"/>
        <v>0</v>
      </c>
      <c r="R80" s="61">
        <f t="shared" si="16"/>
        <v>0</v>
      </c>
      <c r="S80" s="61">
        <f t="shared" si="16"/>
        <v>0</v>
      </c>
      <c r="T80" s="61">
        <f t="shared" si="16"/>
        <v>0</v>
      </c>
      <c r="U80" s="61">
        <f t="shared" si="16"/>
        <v>0</v>
      </c>
      <c r="V80" s="61">
        <f t="shared" si="16"/>
        <v>0</v>
      </c>
      <c r="W80" s="61">
        <f t="shared" si="15"/>
        <v>0</v>
      </c>
      <c r="X80" s="61">
        <f t="shared" si="15"/>
        <v>0</v>
      </c>
      <c r="Y80" s="61">
        <f t="shared" si="15"/>
        <v>0</v>
      </c>
      <c r="Z80" s="61">
        <f t="shared" si="15"/>
        <v>0</v>
      </c>
      <c r="AA80" s="61">
        <f t="shared" si="15"/>
        <v>0</v>
      </c>
      <c r="AB80" s="61">
        <f t="shared" si="15"/>
        <v>0</v>
      </c>
      <c r="AC80" s="61">
        <f t="shared" si="15"/>
        <v>0</v>
      </c>
      <c r="AD80" s="61">
        <f t="shared" si="15"/>
        <v>0</v>
      </c>
      <c r="AE80" s="61">
        <f t="shared" si="15"/>
        <v>0</v>
      </c>
      <c r="AF80" s="61">
        <f t="shared" si="15"/>
        <v>0</v>
      </c>
      <c r="AG80" s="61">
        <f t="shared" si="15"/>
        <v>0</v>
      </c>
      <c r="AH80" s="61">
        <f t="shared" si="15"/>
        <v>0</v>
      </c>
      <c r="AI80" s="61">
        <f t="shared" si="15"/>
        <v>0</v>
      </c>
      <c r="AJ80" s="61">
        <f t="shared" si="15"/>
        <v>0</v>
      </c>
      <c r="AK80" s="61">
        <f t="shared" si="15"/>
        <v>0</v>
      </c>
      <c r="AL80" s="61">
        <f t="shared" si="15"/>
        <v>0</v>
      </c>
      <c r="AM80" s="61">
        <f t="shared" si="17"/>
        <v>0</v>
      </c>
      <c r="AN80" s="61">
        <f t="shared" si="17"/>
        <v>0</v>
      </c>
      <c r="AO80" s="61">
        <f t="shared" si="17"/>
        <v>0</v>
      </c>
      <c r="AP80" s="61">
        <f t="shared" si="17"/>
        <v>0</v>
      </c>
      <c r="AQ80" s="61"/>
    </row>
    <row r="81" spans="2:43" x14ac:dyDescent="0.25">
      <c r="B81" s="60"/>
      <c r="C81" s="60"/>
      <c r="D81" s="60"/>
      <c r="E81" s="91"/>
      <c r="G81" s="91"/>
      <c r="H81" s="94"/>
      <c r="I81" s="180">
        <f>NCC!$O$36</f>
        <v>0</v>
      </c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</row>
    <row r="82" spans="2:43" x14ac:dyDescent="0.25">
      <c r="B82" s="60"/>
      <c r="C82" s="60"/>
      <c r="D82" s="60"/>
      <c r="F82" s="94"/>
      <c r="G82" s="94"/>
      <c r="H82" s="94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</row>
    <row r="88" spans="2:43" s="52" customFormat="1" x14ac:dyDescent="0.25">
      <c r="E88" s="53"/>
      <c r="F88" s="53"/>
      <c r="G88" s="53"/>
      <c r="H88" s="53"/>
      <c r="I88" s="53"/>
      <c r="J88" s="53"/>
      <c r="K88" s="58" t="s">
        <v>32</v>
      </c>
      <c r="L88" s="53"/>
      <c r="M88" s="84">
        <f>G93</f>
        <v>0</v>
      </c>
      <c r="N88" s="84">
        <f>M88+G94</f>
        <v>0</v>
      </c>
      <c r="O88" s="84">
        <f>N88+G95</f>
        <v>0</v>
      </c>
      <c r="P88" s="84">
        <f>+O88+G96</f>
        <v>0</v>
      </c>
      <c r="Q88" s="84">
        <f>P88+G97</f>
        <v>0</v>
      </c>
      <c r="R88" s="84">
        <f>Q88+G98</f>
        <v>0</v>
      </c>
      <c r="S88" s="84">
        <f>R88+G99</f>
        <v>0</v>
      </c>
      <c r="T88" s="84">
        <f>S88+G100</f>
        <v>0</v>
      </c>
      <c r="U88" s="84">
        <f>T88+G101-G93</f>
        <v>0</v>
      </c>
      <c r="V88" s="84">
        <f>U88+G102-G94</f>
        <v>0</v>
      </c>
      <c r="W88" s="84">
        <f>V88+G103-G95</f>
        <v>0</v>
      </c>
      <c r="X88" s="84">
        <f>W88+G104-G96</f>
        <v>0</v>
      </c>
      <c r="Y88" s="84">
        <f>X88+G105-G97</f>
        <v>0</v>
      </c>
      <c r="Z88" s="84">
        <f>Y88+G106-G98</f>
        <v>0</v>
      </c>
      <c r="AA88" s="84">
        <f>Z88+G107-G99</f>
        <v>0</v>
      </c>
      <c r="AB88" s="84">
        <f>AA88+G108-G100</f>
        <v>0</v>
      </c>
      <c r="AC88" s="84">
        <f>AB88+G109-G101</f>
        <v>0</v>
      </c>
      <c r="AD88" s="84">
        <f>AC88+G110-G102</f>
        <v>0</v>
      </c>
      <c r="AE88" s="84">
        <f>AD88+G111-G103</f>
        <v>0</v>
      </c>
      <c r="AF88" s="84">
        <f>AE88+G112-G104</f>
        <v>0</v>
      </c>
      <c r="AG88" s="84">
        <f>AF88+G113-G105</f>
        <v>0</v>
      </c>
      <c r="AH88" s="84">
        <f>AG88+G114-G106</f>
        <v>0</v>
      </c>
      <c r="AI88" s="84">
        <f>AH88+G115-G107</f>
        <v>0</v>
      </c>
      <c r="AJ88" s="84">
        <f>AI88+G116-G108</f>
        <v>0</v>
      </c>
      <c r="AK88" s="84">
        <f>AJ88+G117-G109</f>
        <v>0</v>
      </c>
      <c r="AL88" s="84">
        <f>AK88+G118-G110</f>
        <v>0</v>
      </c>
      <c r="AM88" s="84">
        <f>AL88+G119-G111</f>
        <v>0</v>
      </c>
      <c r="AN88" s="84">
        <f>AM88+G120-G112</f>
        <v>0</v>
      </c>
      <c r="AO88" s="84">
        <f>AN88+G121-G113</f>
        <v>0</v>
      </c>
      <c r="AP88" s="84">
        <f>AO88+G122-G114</f>
        <v>0</v>
      </c>
      <c r="AQ88" s="84">
        <f>SUM(M88:AP88)/8.5</f>
        <v>0</v>
      </c>
    </row>
    <row r="89" spans="2:43" x14ac:dyDescent="0.25">
      <c r="J89" s="57"/>
      <c r="K89" s="58" t="s">
        <v>31</v>
      </c>
      <c r="M89" s="84">
        <f>F93</f>
        <v>0</v>
      </c>
      <c r="N89" s="84">
        <f>M89+F94</f>
        <v>0</v>
      </c>
      <c r="O89" s="84">
        <f>N89+F95</f>
        <v>0</v>
      </c>
      <c r="P89" s="84">
        <f>O89+F96</f>
        <v>0</v>
      </c>
      <c r="Q89" s="84">
        <f>P89+F97</f>
        <v>0</v>
      </c>
      <c r="R89" s="84">
        <f>Q89+F98</f>
        <v>0</v>
      </c>
      <c r="S89" s="84">
        <f>R89+F99</f>
        <v>0</v>
      </c>
      <c r="T89" s="84">
        <f>S89+F100</f>
        <v>0</v>
      </c>
      <c r="U89" s="84">
        <f>T89+F101</f>
        <v>0</v>
      </c>
      <c r="V89" s="84">
        <f>U89</f>
        <v>0</v>
      </c>
      <c r="W89" s="84">
        <f>V89</f>
        <v>0</v>
      </c>
      <c r="X89" s="84">
        <f>W89</f>
        <v>0</v>
      </c>
      <c r="Y89" s="96"/>
      <c r="Z89" s="96"/>
      <c r="AA89" s="96"/>
      <c r="AB89" s="96"/>
      <c r="AC89" s="84">
        <f t="shared" ref="AC89:AN89" si="18">M89</f>
        <v>0</v>
      </c>
      <c r="AD89" s="84">
        <f t="shared" si="18"/>
        <v>0</v>
      </c>
      <c r="AE89" s="84">
        <f t="shared" si="18"/>
        <v>0</v>
      </c>
      <c r="AF89" s="84">
        <f t="shared" si="18"/>
        <v>0</v>
      </c>
      <c r="AG89" s="84">
        <f t="shared" si="18"/>
        <v>0</v>
      </c>
      <c r="AH89" s="84">
        <f t="shared" si="18"/>
        <v>0</v>
      </c>
      <c r="AI89" s="84">
        <f t="shared" si="18"/>
        <v>0</v>
      </c>
      <c r="AJ89" s="84">
        <f t="shared" si="18"/>
        <v>0</v>
      </c>
      <c r="AK89" s="84">
        <f t="shared" si="18"/>
        <v>0</v>
      </c>
      <c r="AL89" s="84">
        <f t="shared" si="18"/>
        <v>0</v>
      </c>
      <c r="AM89" s="84">
        <f t="shared" si="18"/>
        <v>0</v>
      </c>
      <c r="AN89" s="84">
        <f t="shared" si="18"/>
        <v>0</v>
      </c>
      <c r="AO89" s="84"/>
      <c r="AP89" s="84"/>
      <c r="AQ89" s="182"/>
    </row>
    <row r="90" spans="2:43" s="57" customFormat="1" ht="17.25" customHeight="1" x14ac:dyDescent="0.25">
      <c r="K90" s="58" t="s">
        <v>13</v>
      </c>
      <c r="M90" s="84"/>
      <c r="N90" s="84"/>
      <c r="O90" s="84"/>
      <c r="P90" s="84"/>
      <c r="Q90" s="84"/>
      <c r="R90" s="84"/>
      <c r="S90" s="84"/>
      <c r="T90" s="84"/>
      <c r="U90" s="84">
        <f>M89</f>
        <v>0</v>
      </c>
      <c r="V90" s="84">
        <f>N89</f>
        <v>0</v>
      </c>
      <c r="W90" s="84">
        <f>O89</f>
        <v>0</v>
      </c>
      <c r="X90" s="84">
        <f>P89</f>
        <v>0</v>
      </c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>
        <f>AC89</f>
        <v>0</v>
      </c>
      <c r="AL90" s="84">
        <f>AD89</f>
        <v>0</v>
      </c>
      <c r="AM90" s="84">
        <f>AE89</f>
        <v>0</v>
      </c>
      <c r="AN90" s="84">
        <f>AF89</f>
        <v>0</v>
      </c>
      <c r="AO90" s="84"/>
      <c r="AP90" s="85"/>
      <c r="AQ90" s="86"/>
    </row>
    <row r="91" spans="2:43" s="57" customFormat="1" ht="17.25" customHeight="1" x14ac:dyDescent="0.25">
      <c r="B91" s="57" t="s">
        <v>18</v>
      </c>
      <c r="E91" s="59" t="s">
        <v>8</v>
      </c>
      <c r="F91" s="59" t="s">
        <v>15</v>
      </c>
      <c r="G91" s="59" t="s">
        <v>32</v>
      </c>
      <c r="H91" s="59" t="s">
        <v>16</v>
      </c>
      <c r="J91" s="58" t="s">
        <v>9</v>
      </c>
      <c r="K91" s="58">
        <f>SUM(M91:AP91)/16</f>
        <v>0</v>
      </c>
      <c r="M91" s="87">
        <f t="shared" ref="M91:AP91" si="19">SUM(M93:M122)+M89+M88-M90</f>
        <v>0</v>
      </c>
      <c r="N91" s="87">
        <f t="shared" si="19"/>
        <v>0</v>
      </c>
      <c r="O91" s="87">
        <f t="shared" si="19"/>
        <v>0</v>
      </c>
      <c r="P91" s="87">
        <f t="shared" si="19"/>
        <v>0</v>
      </c>
      <c r="Q91" s="87">
        <f t="shared" si="19"/>
        <v>0</v>
      </c>
      <c r="R91" s="87">
        <f t="shared" si="19"/>
        <v>0</v>
      </c>
      <c r="S91" s="87">
        <f t="shared" si="19"/>
        <v>0</v>
      </c>
      <c r="T91" s="87">
        <f t="shared" si="19"/>
        <v>0</v>
      </c>
      <c r="U91" s="87">
        <f t="shared" si="19"/>
        <v>0</v>
      </c>
      <c r="V91" s="87">
        <f t="shared" si="19"/>
        <v>0</v>
      </c>
      <c r="W91" s="87">
        <f t="shared" si="19"/>
        <v>0</v>
      </c>
      <c r="X91" s="87">
        <f t="shared" si="19"/>
        <v>0</v>
      </c>
      <c r="Y91" s="87">
        <f t="shared" si="19"/>
        <v>0</v>
      </c>
      <c r="Z91" s="87">
        <f t="shared" si="19"/>
        <v>0</v>
      </c>
      <c r="AA91" s="87">
        <f t="shared" si="19"/>
        <v>0</v>
      </c>
      <c r="AB91" s="87">
        <f t="shared" si="19"/>
        <v>0</v>
      </c>
      <c r="AC91" s="87">
        <f t="shared" si="19"/>
        <v>0</v>
      </c>
      <c r="AD91" s="87">
        <f t="shared" si="19"/>
        <v>0</v>
      </c>
      <c r="AE91" s="87">
        <f t="shared" si="19"/>
        <v>0</v>
      </c>
      <c r="AF91" s="87">
        <f t="shared" si="19"/>
        <v>0</v>
      </c>
      <c r="AG91" s="87">
        <f t="shared" si="19"/>
        <v>0</v>
      </c>
      <c r="AH91" s="87">
        <f t="shared" si="19"/>
        <v>0</v>
      </c>
      <c r="AI91" s="87">
        <f t="shared" si="19"/>
        <v>0</v>
      </c>
      <c r="AJ91" s="87">
        <f t="shared" si="19"/>
        <v>0</v>
      </c>
      <c r="AK91" s="87">
        <f t="shared" si="19"/>
        <v>0</v>
      </c>
      <c r="AL91" s="87">
        <f t="shared" si="19"/>
        <v>0</v>
      </c>
      <c r="AM91" s="87">
        <f t="shared" si="19"/>
        <v>0</v>
      </c>
      <c r="AN91" s="87">
        <f t="shared" si="19"/>
        <v>0</v>
      </c>
      <c r="AO91" s="87">
        <f t="shared" si="19"/>
        <v>0</v>
      </c>
      <c r="AP91" s="87">
        <f t="shared" si="19"/>
        <v>0</v>
      </c>
      <c r="AQ91" s="87"/>
    </row>
    <row r="92" spans="2:43" s="88" customFormat="1" x14ac:dyDescent="0.25">
      <c r="E92" s="178">
        <f>SUM(E93:E122)</f>
        <v>0</v>
      </c>
      <c r="F92" s="178">
        <f>SUM(F93:F122)</f>
        <v>0</v>
      </c>
      <c r="G92" s="178">
        <f>SUM(G93:G122)</f>
        <v>0</v>
      </c>
      <c r="H92" s="178">
        <f>SUM(H93:H122)</f>
        <v>0</v>
      </c>
      <c r="I92" s="89"/>
      <c r="J92" s="89"/>
      <c r="K92" s="58" t="s">
        <v>7</v>
      </c>
      <c r="L92" s="89"/>
      <c r="M92" s="180">
        <f>SUMMARY!$G$6</f>
        <v>0</v>
      </c>
      <c r="N92" s="180">
        <f>SUMMARY!$G$7</f>
        <v>0</v>
      </c>
      <c r="O92" s="180">
        <f>SUMMARY!$G$8</f>
        <v>0</v>
      </c>
      <c r="P92" s="180">
        <f>SUMMARY!$G$9</f>
        <v>0</v>
      </c>
      <c r="Q92" s="180">
        <f>SUMMARY!$G$10</f>
        <v>0</v>
      </c>
      <c r="R92" s="180">
        <f>SUMMARY!$G$11</f>
        <v>0</v>
      </c>
      <c r="S92" s="180">
        <f>SUMMARY!$G$12</f>
        <v>0</v>
      </c>
      <c r="T92" s="180">
        <f>SUMMARY!$G$13</f>
        <v>0</v>
      </c>
      <c r="U92" s="180">
        <f>SUMMARY!$G$14</f>
        <v>0</v>
      </c>
      <c r="V92" s="180">
        <f>SUMMARY!$G$15</f>
        <v>0</v>
      </c>
      <c r="W92" s="180">
        <f>SUMMARY!$G$16</f>
        <v>0</v>
      </c>
      <c r="X92" s="180">
        <f>SUMMARY!$G$17</f>
        <v>0</v>
      </c>
      <c r="Y92" s="180">
        <f>SUMMARY!$G$18</f>
        <v>0</v>
      </c>
      <c r="Z92" s="180">
        <f>SUMMARY!$G$19</f>
        <v>0</v>
      </c>
      <c r="AA92" s="180">
        <f>SUMMARY!$G$20</f>
        <v>0</v>
      </c>
      <c r="AB92" s="180">
        <f>SUMMARY!$G$21</f>
        <v>0</v>
      </c>
      <c r="AC92" s="180">
        <f>SUMMARY!$G$22</f>
        <v>0</v>
      </c>
      <c r="AD92" s="180">
        <f>SUMMARY!$G$23</f>
        <v>0</v>
      </c>
      <c r="AE92" s="180">
        <f>SUMMARY!$G$24</f>
        <v>0</v>
      </c>
      <c r="AF92" s="180">
        <f>SUMMARY!$G$25</f>
        <v>0</v>
      </c>
      <c r="AG92" s="180">
        <f>SUMMARY!$G$26</f>
        <v>0</v>
      </c>
      <c r="AH92" s="180">
        <f>SUMMARY!$G$27</f>
        <v>0</v>
      </c>
      <c r="AI92" s="180">
        <f>SUMMARY!$G$28</f>
        <v>0</v>
      </c>
      <c r="AJ92" s="180">
        <f>SUMMARY!$G$29</f>
        <v>0</v>
      </c>
      <c r="AK92" s="180">
        <f>SUMMARY!$G$30</f>
        <v>0</v>
      </c>
      <c r="AL92" s="180">
        <f>SUMMARY!$G$31</f>
        <v>0</v>
      </c>
      <c r="AM92" s="180">
        <f>SUMMARY!$G$32</f>
        <v>0</v>
      </c>
      <c r="AN92" s="180">
        <f>SUMMARY!$G$33</f>
        <v>0</v>
      </c>
      <c r="AO92" s="180">
        <f>SUMMARY!$G$34</f>
        <v>0</v>
      </c>
      <c r="AP92" s="180">
        <f>SUMMARY!$G$35</f>
        <v>0</v>
      </c>
      <c r="AQ92" s="180">
        <f>NCC!$P$36</f>
        <v>0</v>
      </c>
    </row>
    <row r="93" spans="2:43" x14ac:dyDescent="0.25">
      <c r="B93" s="54">
        <v>0.29166666666424135</v>
      </c>
      <c r="C93" s="54">
        <v>0.645833333372138</v>
      </c>
      <c r="D93" s="60"/>
      <c r="E93" s="91">
        <f>SUMMARY!Y47</f>
        <v>0</v>
      </c>
      <c r="F93" s="91">
        <f>SUMMARY!AQ47</f>
        <v>0</v>
      </c>
      <c r="G93" s="91">
        <f>SUMMARY!AJ47</f>
        <v>0</v>
      </c>
      <c r="H93" s="92">
        <f t="shared" ref="H93:H122" si="20">SUM(E93:G93)</f>
        <v>0</v>
      </c>
      <c r="I93" s="180">
        <f>M$91-M$92</f>
        <v>0</v>
      </c>
      <c r="M93" s="61">
        <f t="shared" ref="M93:AB108" si="21">IF(AND(M$2&gt;=$B93,M$2&lt;$C93),$E93,0)</f>
        <v>0</v>
      </c>
      <c r="N93" s="61">
        <f t="shared" si="21"/>
        <v>0</v>
      </c>
      <c r="O93" s="61">
        <f t="shared" si="21"/>
        <v>0</v>
      </c>
      <c r="P93" s="61">
        <f t="shared" si="21"/>
        <v>0</v>
      </c>
      <c r="Q93" s="61">
        <f t="shared" si="21"/>
        <v>0</v>
      </c>
      <c r="R93" s="61">
        <f t="shared" si="21"/>
        <v>0</v>
      </c>
      <c r="S93" s="61">
        <f t="shared" si="21"/>
        <v>0</v>
      </c>
      <c r="T93" s="61">
        <f t="shared" si="21"/>
        <v>0</v>
      </c>
      <c r="U93" s="61">
        <f t="shared" si="21"/>
        <v>0</v>
      </c>
      <c r="V93" s="61">
        <f t="shared" si="21"/>
        <v>0</v>
      </c>
      <c r="W93" s="61">
        <f t="shared" si="21"/>
        <v>0</v>
      </c>
      <c r="X93" s="61">
        <f t="shared" si="21"/>
        <v>0</v>
      </c>
      <c r="Y93" s="61">
        <f t="shared" si="21"/>
        <v>0</v>
      </c>
      <c r="Z93" s="61">
        <f t="shared" si="21"/>
        <v>0</v>
      </c>
      <c r="AA93" s="61">
        <f t="shared" si="21"/>
        <v>0</v>
      </c>
      <c r="AB93" s="61">
        <f t="shared" si="21"/>
        <v>0</v>
      </c>
      <c r="AC93" s="61">
        <f t="shared" ref="AC93:AP108" si="22">IF(AND(AC$2&gt;=$B93,AC$2&lt;$C93),$E93,0)</f>
        <v>0</v>
      </c>
      <c r="AD93" s="61">
        <f t="shared" si="22"/>
        <v>0</v>
      </c>
      <c r="AE93" s="61">
        <f t="shared" si="22"/>
        <v>0</v>
      </c>
      <c r="AF93" s="61">
        <f t="shared" si="22"/>
        <v>0</v>
      </c>
      <c r="AG93" s="61">
        <f t="shared" si="22"/>
        <v>0</v>
      </c>
      <c r="AH93" s="61">
        <f t="shared" si="22"/>
        <v>0</v>
      </c>
      <c r="AI93" s="61">
        <f t="shared" si="22"/>
        <v>0</v>
      </c>
      <c r="AJ93" s="61">
        <f t="shared" si="22"/>
        <v>0</v>
      </c>
      <c r="AK93" s="61">
        <f t="shared" si="22"/>
        <v>0</v>
      </c>
      <c r="AL93" s="61">
        <f t="shared" si="22"/>
        <v>0</v>
      </c>
      <c r="AM93" s="61">
        <f t="shared" si="22"/>
        <v>0</v>
      </c>
      <c r="AN93" s="61">
        <f t="shared" si="22"/>
        <v>0</v>
      </c>
      <c r="AO93" s="61">
        <f t="shared" si="22"/>
        <v>0</v>
      </c>
      <c r="AP93" s="61">
        <f t="shared" si="22"/>
        <v>0</v>
      </c>
      <c r="AQ93" s="61"/>
    </row>
    <row r="94" spans="2:43" x14ac:dyDescent="0.25">
      <c r="B94" s="54">
        <v>0.3125</v>
      </c>
      <c r="C94" s="54">
        <v>0.66666666670789698</v>
      </c>
      <c r="D94" s="60"/>
      <c r="E94" s="91">
        <f>SUMMARY!Y48</f>
        <v>0</v>
      </c>
      <c r="F94" s="91">
        <f>SUMMARY!AQ48</f>
        <v>0</v>
      </c>
      <c r="G94" s="91">
        <f>SUMMARY!AJ48</f>
        <v>0</v>
      </c>
      <c r="H94" s="92">
        <f t="shared" si="20"/>
        <v>0</v>
      </c>
      <c r="I94" s="180">
        <f>N$91-N$92</f>
        <v>0</v>
      </c>
      <c r="M94" s="61">
        <f t="shared" si="21"/>
        <v>0</v>
      </c>
      <c r="N94" s="61">
        <f t="shared" si="21"/>
        <v>0</v>
      </c>
      <c r="O94" s="61">
        <f t="shared" si="21"/>
        <v>0</v>
      </c>
      <c r="P94" s="61">
        <f t="shared" si="21"/>
        <v>0</v>
      </c>
      <c r="Q94" s="61">
        <f t="shared" si="21"/>
        <v>0</v>
      </c>
      <c r="R94" s="61">
        <f t="shared" si="21"/>
        <v>0</v>
      </c>
      <c r="S94" s="61">
        <f t="shared" si="21"/>
        <v>0</v>
      </c>
      <c r="T94" s="61">
        <f t="shared" si="21"/>
        <v>0</v>
      </c>
      <c r="U94" s="61">
        <f t="shared" si="21"/>
        <v>0</v>
      </c>
      <c r="V94" s="61">
        <f t="shared" si="21"/>
        <v>0</v>
      </c>
      <c r="W94" s="61">
        <f t="shared" si="21"/>
        <v>0</v>
      </c>
      <c r="X94" s="61">
        <f t="shared" si="21"/>
        <v>0</v>
      </c>
      <c r="Y94" s="61">
        <f t="shared" si="21"/>
        <v>0</v>
      </c>
      <c r="Z94" s="61">
        <f t="shared" si="21"/>
        <v>0</v>
      </c>
      <c r="AA94" s="61">
        <f t="shared" si="21"/>
        <v>0</v>
      </c>
      <c r="AB94" s="61">
        <f t="shared" si="21"/>
        <v>0</v>
      </c>
      <c r="AC94" s="61">
        <f t="shared" si="22"/>
        <v>0</v>
      </c>
      <c r="AD94" s="61">
        <f t="shared" si="22"/>
        <v>0</v>
      </c>
      <c r="AE94" s="61">
        <f t="shared" si="22"/>
        <v>0</v>
      </c>
      <c r="AF94" s="61">
        <f t="shared" si="22"/>
        <v>0</v>
      </c>
      <c r="AG94" s="61">
        <f t="shared" si="22"/>
        <v>0</v>
      </c>
      <c r="AH94" s="61">
        <f t="shared" si="22"/>
        <v>0</v>
      </c>
      <c r="AI94" s="61">
        <f t="shared" si="22"/>
        <v>0</v>
      </c>
      <c r="AJ94" s="61">
        <f t="shared" si="22"/>
        <v>0</v>
      </c>
      <c r="AK94" s="61">
        <f t="shared" si="22"/>
        <v>0</v>
      </c>
      <c r="AL94" s="61">
        <f t="shared" si="22"/>
        <v>0</v>
      </c>
      <c r="AM94" s="61">
        <f t="shared" si="22"/>
        <v>0</v>
      </c>
      <c r="AN94" s="61">
        <f t="shared" si="22"/>
        <v>0</v>
      </c>
      <c r="AO94" s="61">
        <f t="shared" si="22"/>
        <v>0</v>
      </c>
      <c r="AP94" s="61">
        <f t="shared" si="22"/>
        <v>0</v>
      </c>
      <c r="AQ94" s="61"/>
    </row>
    <row r="95" spans="2:43" x14ac:dyDescent="0.25">
      <c r="B95" s="54">
        <v>0.33333333333575865</v>
      </c>
      <c r="C95" s="54">
        <v>0.68750000004365597</v>
      </c>
      <c r="D95" s="60"/>
      <c r="E95" s="91">
        <f>SUMMARY!Y49</f>
        <v>0</v>
      </c>
      <c r="F95" s="91">
        <f>SUMMARY!AQ49</f>
        <v>0</v>
      </c>
      <c r="G95" s="91">
        <f>SUMMARY!AJ49</f>
        <v>0</v>
      </c>
      <c r="H95" s="92">
        <f t="shared" si="20"/>
        <v>0</v>
      </c>
      <c r="I95" s="180">
        <f>O$91-O$92</f>
        <v>0</v>
      </c>
      <c r="M95" s="61">
        <f t="shared" si="21"/>
        <v>0</v>
      </c>
      <c r="N95" s="61">
        <f t="shared" si="21"/>
        <v>0</v>
      </c>
      <c r="O95" s="61">
        <f t="shared" si="21"/>
        <v>0</v>
      </c>
      <c r="P95" s="61">
        <f t="shared" si="21"/>
        <v>0</v>
      </c>
      <c r="Q95" s="61">
        <f t="shared" si="21"/>
        <v>0</v>
      </c>
      <c r="R95" s="61">
        <f t="shared" si="21"/>
        <v>0</v>
      </c>
      <c r="S95" s="61">
        <f t="shared" si="21"/>
        <v>0</v>
      </c>
      <c r="T95" s="61">
        <f t="shared" si="21"/>
        <v>0</v>
      </c>
      <c r="U95" s="61">
        <f t="shared" si="21"/>
        <v>0</v>
      </c>
      <c r="V95" s="61">
        <f t="shared" si="21"/>
        <v>0</v>
      </c>
      <c r="W95" s="61">
        <f t="shared" si="21"/>
        <v>0</v>
      </c>
      <c r="X95" s="61">
        <f t="shared" si="21"/>
        <v>0</v>
      </c>
      <c r="Y95" s="61">
        <f t="shared" si="21"/>
        <v>0</v>
      </c>
      <c r="Z95" s="61">
        <f t="shared" si="21"/>
        <v>0</v>
      </c>
      <c r="AA95" s="61">
        <f t="shared" si="21"/>
        <v>0</v>
      </c>
      <c r="AB95" s="61">
        <f t="shared" si="21"/>
        <v>0</v>
      </c>
      <c r="AC95" s="61">
        <f t="shared" si="22"/>
        <v>0</v>
      </c>
      <c r="AD95" s="61">
        <f t="shared" si="22"/>
        <v>0</v>
      </c>
      <c r="AE95" s="61">
        <f t="shared" si="22"/>
        <v>0</v>
      </c>
      <c r="AF95" s="61"/>
      <c r="AG95" s="61">
        <f t="shared" si="22"/>
        <v>0</v>
      </c>
      <c r="AH95" s="61">
        <f t="shared" si="22"/>
        <v>0</v>
      </c>
      <c r="AI95" s="61">
        <f t="shared" si="22"/>
        <v>0</v>
      </c>
      <c r="AJ95" s="61">
        <f t="shared" si="22"/>
        <v>0</v>
      </c>
      <c r="AK95" s="61">
        <f t="shared" si="22"/>
        <v>0</v>
      </c>
      <c r="AL95" s="61">
        <f t="shared" si="22"/>
        <v>0</v>
      </c>
      <c r="AM95" s="61">
        <f t="shared" si="22"/>
        <v>0</v>
      </c>
      <c r="AN95" s="61">
        <f t="shared" si="22"/>
        <v>0</v>
      </c>
      <c r="AO95" s="61">
        <f t="shared" si="22"/>
        <v>0</v>
      </c>
      <c r="AP95" s="61">
        <f t="shared" si="22"/>
        <v>0</v>
      </c>
      <c r="AQ95" s="61"/>
    </row>
    <row r="96" spans="2:43" x14ac:dyDescent="0.25">
      <c r="B96" s="54">
        <v>0.35416666666424135</v>
      </c>
      <c r="C96" s="54">
        <v>0.70833333337941495</v>
      </c>
      <c r="D96" s="60"/>
      <c r="E96" s="91">
        <f>SUMMARY!Y50</f>
        <v>0</v>
      </c>
      <c r="F96" s="91">
        <f>SUMMARY!AQ50</f>
        <v>0</v>
      </c>
      <c r="G96" s="91">
        <f>SUMMARY!AJ50</f>
        <v>0</v>
      </c>
      <c r="H96" s="92">
        <f t="shared" si="20"/>
        <v>0</v>
      </c>
      <c r="I96" s="180">
        <f>P$91-P$92</f>
        <v>0</v>
      </c>
      <c r="M96" s="61">
        <f t="shared" si="21"/>
        <v>0</v>
      </c>
      <c r="N96" s="61">
        <f t="shared" si="21"/>
        <v>0</v>
      </c>
      <c r="O96" s="61">
        <f t="shared" si="21"/>
        <v>0</v>
      </c>
      <c r="P96" s="61">
        <f t="shared" si="21"/>
        <v>0</v>
      </c>
      <c r="Q96" s="61">
        <f t="shared" si="21"/>
        <v>0</v>
      </c>
      <c r="R96" s="61">
        <f t="shared" si="21"/>
        <v>0</v>
      </c>
      <c r="S96" s="61">
        <f t="shared" si="21"/>
        <v>0</v>
      </c>
      <c r="T96" s="61">
        <f t="shared" si="21"/>
        <v>0</v>
      </c>
      <c r="U96" s="61">
        <f t="shared" si="21"/>
        <v>0</v>
      </c>
      <c r="V96" s="61">
        <f t="shared" si="21"/>
        <v>0</v>
      </c>
      <c r="W96" s="61">
        <f t="shared" si="21"/>
        <v>0</v>
      </c>
      <c r="X96" s="61">
        <f t="shared" si="21"/>
        <v>0</v>
      </c>
      <c r="Y96" s="61">
        <f t="shared" si="21"/>
        <v>0</v>
      </c>
      <c r="Z96" s="61">
        <f t="shared" si="21"/>
        <v>0</v>
      </c>
      <c r="AA96" s="61">
        <f t="shared" si="21"/>
        <v>0</v>
      </c>
      <c r="AB96" s="61">
        <f t="shared" si="21"/>
        <v>0</v>
      </c>
      <c r="AC96" s="61">
        <f t="shared" si="22"/>
        <v>0</v>
      </c>
      <c r="AD96" s="61">
        <f t="shared" si="22"/>
        <v>0</v>
      </c>
      <c r="AE96" s="61">
        <f t="shared" si="22"/>
        <v>0</v>
      </c>
      <c r="AF96" s="61">
        <f t="shared" si="22"/>
        <v>0</v>
      </c>
      <c r="AG96" s="61"/>
      <c r="AH96" s="61">
        <f t="shared" si="22"/>
        <v>0</v>
      </c>
      <c r="AI96" s="61">
        <f t="shared" si="22"/>
        <v>0</v>
      </c>
      <c r="AJ96" s="61">
        <f t="shared" si="22"/>
        <v>0</v>
      </c>
      <c r="AK96" s="61">
        <f t="shared" si="22"/>
        <v>0</v>
      </c>
      <c r="AL96" s="61">
        <f t="shared" si="22"/>
        <v>0</v>
      </c>
      <c r="AM96" s="61">
        <f t="shared" si="22"/>
        <v>0</v>
      </c>
      <c r="AN96" s="61">
        <f t="shared" si="22"/>
        <v>0</v>
      </c>
      <c r="AO96" s="61">
        <f t="shared" si="22"/>
        <v>0</v>
      </c>
      <c r="AP96" s="61">
        <f t="shared" si="22"/>
        <v>0</v>
      </c>
      <c r="AQ96" s="61"/>
    </row>
    <row r="97" spans="2:43" x14ac:dyDescent="0.25">
      <c r="B97" s="54">
        <v>0.375</v>
      </c>
      <c r="C97" s="54">
        <v>0.72916666671517405</v>
      </c>
      <c r="D97" s="60"/>
      <c r="E97" s="91">
        <f>SUMMARY!Y51</f>
        <v>0</v>
      </c>
      <c r="F97" s="91">
        <f>SUMMARY!AQ51</f>
        <v>0</v>
      </c>
      <c r="G97" s="91">
        <f>SUMMARY!AJ51</f>
        <v>0</v>
      </c>
      <c r="H97" s="92">
        <f>SUM(E97:G97)</f>
        <v>0</v>
      </c>
      <c r="I97" s="180">
        <f>Q$91-Q$92</f>
        <v>0</v>
      </c>
      <c r="M97" s="61">
        <f t="shared" si="21"/>
        <v>0</v>
      </c>
      <c r="N97" s="61">
        <f t="shared" si="21"/>
        <v>0</v>
      </c>
      <c r="O97" s="61">
        <f t="shared" si="21"/>
        <v>0</v>
      </c>
      <c r="P97" s="61">
        <f t="shared" si="21"/>
        <v>0</v>
      </c>
      <c r="Q97" s="61">
        <f t="shared" si="21"/>
        <v>0</v>
      </c>
      <c r="R97" s="61">
        <f t="shared" si="21"/>
        <v>0</v>
      </c>
      <c r="S97" s="61">
        <f t="shared" si="21"/>
        <v>0</v>
      </c>
      <c r="T97" s="61">
        <f t="shared" si="21"/>
        <v>0</v>
      </c>
      <c r="U97" s="61">
        <f t="shared" si="21"/>
        <v>0</v>
      </c>
      <c r="V97" s="61">
        <f t="shared" si="21"/>
        <v>0</v>
      </c>
      <c r="W97" s="61">
        <f t="shared" si="21"/>
        <v>0</v>
      </c>
      <c r="X97" s="61">
        <f t="shared" si="21"/>
        <v>0</v>
      </c>
      <c r="Y97" s="61">
        <f t="shared" si="21"/>
        <v>0</v>
      </c>
      <c r="Z97" s="61">
        <f t="shared" si="21"/>
        <v>0</v>
      </c>
      <c r="AA97" s="61">
        <f t="shared" si="21"/>
        <v>0</v>
      </c>
      <c r="AB97" s="61">
        <f t="shared" si="21"/>
        <v>0</v>
      </c>
      <c r="AC97" s="61">
        <f t="shared" si="22"/>
        <v>0</v>
      </c>
      <c r="AD97" s="61">
        <f t="shared" si="22"/>
        <v>0</v>
      </c>
      <c r="AE97" s="61">
        <f t="shared" si="22"/>
        <v>0</v>
      </c>
      <c r="AF97" s="61">
        <f t="shared" si="22"/>
        <v>0</v>
      </c>
      <c r="AG97" s="61">
        <f t="shared" si="22"/>
        <v>0</v>
      </c>
      <c r="AH97" s="61"/>
      <c r="AI97" s="61">
        <f t="shared" si="22"/>
        <v>0</v>
      </c>
      <c r="AJ97" s="61">
        <f t="shared" si="22"/>
        <v>0</v>
      </c>
      <c r="AK97" s="61">
        <f t="shared" si="22"/>
        <v>0</v>
      </c>
      <c r="AL97" s="61">
        <f t="shared" si="22"/>
        <v>0</v>
      </c>
      <c r="AM97" s="61">
        <f t="shared" si="22"/>
        <v>0</v>
      </c>
      <c r="AN97" s="61">
        <f t="shared" si="22"/>
        <v>0</v>
      </c>
      <c r="AO97" s="61">
        <f t="shared" si="22"/>
        <v>0</v>
      </c>
      <c r="AP97" s="61">
        <f t="shared" si="22"/>
        <v>0</v>
      </c>
      <c r="AQ97" s="61"/>
    </row>
    <row r="98" spans="2:43" x14ac:dyDescent="0.25">
      <c r="B98" s="54">
        <v>0.39583333333575865</v>
      </c>
      <c r="C98" s="54">
        <v>0.75000000005093304</v>
      </c>
      <c r="D98" s="60"/>
      <c r="E98" s="91">
        <f>SUMMARY!Y52</f>
        <v>0</v>
      </c>
      <c r="F98" s="91">
        <f>SUMMARY!AQ52</f>
        <v>0</v>
      </c>
      <c r="G98" s="91">
        <f>SUMMARY!AJ52</f>
        <v>0</v>
      </c>
      <c r="H98" s="92">
        <f t="shared" si="20"/>
        <v>0</v>
      </c>
      <c r="I98" s="180">
        <f>R$91-R$92</f>
        <v>0</v>
      </c>
      <c r="M98" s="61">
        <f t="shared" si="21"/>
        <v>0</v>
      </c>
      <c r="N98" s="61">
        <f t="shared" si="21"/>
        <v>0</v>
      </c>
      <c r="O98" s="61">
        <f t="shared" si="21"/>
        <v>0</v>
      </c>
      <c r="P98" s="61">
        <f t="shared" si="21"/>
        <v>0</v>
      </c>
      <c r="Q98" s="61">
        <f t="shared" si="21"/>
        <v>0</v>
      </c>
      <c r="R98" s="61">
        <f t="shared" si="21"/>
        <v>0</v>
      </c>
      <c r="S98" s="61">
        <f t="shared" si="21"/>
        <v>0</v>
      </c>
      <c r="T98" s="61">
        <f t="shared" si="21"/>
        <v>0</v>
      </c>
      <c r="U98" s="61">
        <f t="shared" si="21"/>
        <v>0</v>
      </c>
      <c r="V98" s="61">
        <f t="shared" si="21"/>
        <v>0</v>
      </c>
      <c r="W98" s="61">
        <f t="shared" si="21"/>
        <v>0</v>
      </c>
      <c r="X98" s="61">
        <f t="shared" si="21"/>
        <v>0</v>
      </c>
      <c r="Y98" s="61">
        <f t="shared" si="21"/>
        <v>0</v>
      </c>
      <c r="Z98" s="61">
        <f t="shared" si="21"/>
        <v>0</v>
      </c>
      <c r="AA98" s="61">
        <f t="shared" si="21"/>
        <v>0</v>
      </c>
      <c r="AB98" s="61">
        <f t="shared" si="21"/>
        <v>0</v>
      </c>
      <c r="AC98" s="61">
        <f t="shared" si="22"/>
        <v>0</v>
      </c>
      <c r="AD98" s="61">
        <f t="shared" si="22"/>
        <v>0</v>
      </c>
      <c r="AE98" s="61">
        <f t="shared" si="22"/>
        <v>0</v>
      </c>
      <c r="AF98" s="61">
        <f t="shared" si="22"/>
        <v>0</v>
      </c>
      <c r="AG98" s="61">
        <f t="shared" si="22"/>
        <v>0</v>
      </c>
      <c r="AH98" s="61">
        <f t="shared" si="22"/>
        <v>0</v>
      </c>
      <c r="AI98" s="61"/>
      <c r="AJ98" s="61">
        <f t="shared" si="22"/>
        <v>0</v>
      </c>
      <c r="AK98" s="61">
        <f t="shared" si="22"/>
        <v>0</v>
      </c>
      <c r="AL98" s="61">
        <f t="shared" si="22"/>
        <v>0</v>
      </c>
      <c r="AM98" s="61">
        <f t="shared" si="22"/>
        <v>0</v>
      </c>
      <c r="AN98" s="61">
        <f t="shared" si="22"/>
        <v>0</v>
      </c>
      <c r="AO98" s="61">
        <f t="shared" si="22"/>
        <v>0</v>
      </c>
      <c r="AP98" s="61">
        <f t="shared" si="22"/>
        <v>0</v>
      </c>
      <c r="AQ98" s="61"/>
    </row>
    <row r="99" spans="2:43" x14ac:dyDescent="0.25">
      <c r="B99" s="54">
        <v>0.41666666666424135</v>
      </c>
      <c r="C99" s="54">
        <v>0.77083333338669202</v>
      </c>
      <c r="D99" s="60"/>
      <c r="E99" s="91">
        <f>SUMMARY!Y53</f>
        <v>0</v>
      </c>
      <c r="F99" s="91">
        <f>SUMMARY!AQ53</f>
        <v>0</v>
      </c>
      <c r="G99" s="91">
        <f>SUMMARY!AJ53</f>
        <v>0</v>
      </c>
      <c r="H99" s="92">
        <f t="shared" si="20"/>
        <v>0</v>
      </c>
      <c r="I99" s="180">
        <f>S$91-S$92</f>
        <v>0</v>
      </c>
      <c r="M99" s="61">
        <f t="shared" si="21"/>
        <v>0</v>
      </c>
      <c r="N99" s="61">
        <f t="shared" si="21"/>
        <v>0</v>
      </c>
      <c r="O99" s="61">
        <f t="shared" si="21"/>
        <v>0</v>
      </c>
      <c r="P99" s="61">
        <f t="shared" si="21"/>
        <v>0</v>
      </c>
      <c r="Q99" s="61">
        <f t="shared" si="21"/>
        <v>0</v>
      </c>
      <c r="R99" s="61">
        <f t="shared" si="21"/>
        <v>0</v>
      </c>
      <c r="S99" s="61">
        <f t="shared" si="21"/>
        <v>0</v>
      </c>
      <c r="T99" s="61">
        <f t="shared" si="21"/>
        <v>0</v>
      </c>
      <c r="U99" s="61">
        <f t="shared" si="21"/>
        <v>0</v>
      </c>
      <c r="V99" s="61">
        <f t="shared" si="21"/>
        <v>0</v>
      </c>
      <c r="W99" s="61">
        <f t="shared" si="21"/>
        <v>0</v>
      </c>
      <c r="X99" s="61">
        <f t="shared" si="21"/>
        <v>0</v>
      </c>
      <c r="Y99" s="61">
        <f t="shared" si="21"/>
        <v>0</v>
      </c>
      <c r="Z99" s="61">
        <f t="shared" si="21"/>
        <v>0</v>
      </c>
      <c r="AA99" s="61">
        <f t="shared" si="21"/>
        <v>0</v>
      </c>
      <c r="AB99" s="61">
        <f t="shared" si="21"/>
        <v>0</v>
      </c>
      <c r="AC99" s="61">
        <f t="shared" si="22"/>
        <v>0</v>
      </c>
      <c r="AD99" s="61">
        <f t="shared" si="22"/>
        <v>0</v>
      </c>
      <c r="AE99" s="61">
        <f t="shared" si="22"/>
        <v>0</v>
      </c>
      <c r="AF99" s="61">
        <f t="shared" si="22"/>
        <v>0</v>
      </c>
      <c r="AG99" s="61">
        <f t="shared" si="22"/>
        <v>0</v>
      </c>
      <c r="AH99" s="61">
        <f t="shared" si="22"/>
        <v>0</v>
      </c>
      <c r="AI99" s="61">
        <f t="shared" si="22"/>
        <v>0</v>
      </c>
      <c r="AJ99" s="61"/>
      <c r="AK99" s="61">
        <f t="shared" si="22"/>
        <v>0</v>
      </c>
      <c r="AL99" s="61">
        <f t="shared" si="22"/>
        <v>0</v>
      </c>
      <c r="AM99" s="61">
        <f t="shared" si="22"/>
        <v>0</v>
      </c>
      <c r="AN99" s="61">
        <f t="shared" si="22"/>
        <v>0</v>
      </c>
      <c r="AO99" s="61">
        <f t="shared" si="22"/>
        <v>0</v>
      </c>
      <c r="AP99" s="61">
        <f t="shared" si="22"/>
        <v>0</v>
      </c>
      <c r="AQ99" s="61"/>
    </row>
    <row r="100" spans="2:43" x14ac:dyDescent="0.25">
      <c r="B100" s="54">
        <v>0.4375</v>
      </c>
      <c r="C100" s="54">
        <v>0.79166666672245101</v>
      </c>
      <c r="D100" s="60"/>
      <c r="E100" s="91">
        <f>SUMMARY!Y54</f>
        <v>0</v>
      </c>
      <c r="F100" s="91">
        <f>SUMMARY!AQ54</f>
        <v>0</v>
      </c>
      <c r="G100" s="91">
        <f>SUMMARY!AJ54</f>
        <v>0</v>
      </c>
      <c r="H100" s="92">
        <f t="shared" si="20"/>
        <v>0</v>
      </c>
      <c r="I100" s="180">
        <f>T$91-T$92</f>
        <v>0</v>
      </c>
      <c r="M100" s="61">
        <f t="shared" si="21"/>
        <v>0</v>
      </c>
      <c r="N100" s="61">
        <f t="shared" si="21"/>
        <v>0</v>
      </c>
      <c r="O100" s="61">
        <f t="shared" si="21"/>
        <v>0</v>
      </c>
      <c r="P100" s="61">
        <f t="shared" si="21"/>
        <v>0</v>
      </c>
      <c r="Q100" s="61">
        <f t="shared" si="21"/>
        <v>0</v>
      </c>
      <c r="R100" s="61">
        <f t="shared" si="21"/>
        <v>0</v>
      </c>
      <c r="S100" s="61">
        <f t="shared" si="21"/>
        <v>0</v>
      </c>
      <c r="T100" s="61">
        <f t="shared" si="21"/>
        <v>0</v>
      </c>
      <c r="U100" s="61">
        <f t="shared" si="21"/>
        <v>0</v>
      </c>
      <c r="V100" s="61">
        <f t="shared" si="21"/>
        <v>0</v>
      </c>
      <c r="W100" s="61">
        <f t="shared" si="21"/>
        <v>0</v>
      </c>
      <c r="X100" s="61">
        <f t="shared" si="21"/>
        <v>0</v>
      </c>
      <c r="Y100" s="61">
        <f t="shared" si="21"/>
        <v>0</v>
      </c>
      <c r="Z100" s="61">
        <f t="shared" si="21"/>
        <v>0</v>
      </c>
      <c r="AA100" s="61">
        <f t="shared" si="21"/>
        <v>0</v>
      </c>
      <c r="AB100" s="61">
        <f t="shared" si="21"/>
        <v>0</v>
      </c>
      <c r="AC100" s="61">
        <f t="shared" si="22"/>
        <v>0</v>
      </c>
      <c r="AD100" s="61">
        <f t="shared" si="22"/>
        <v>0</v>
      </c>
      <c r="AE100" s="61">
        <f t="shared" si="22"/>
        <v>0</v>
      </c>
      <c r="AF100" s="61">
        <f t="shared" si="22"/>
        <v>0</v>
      </c>
      <c r="AG100" s="61">
        <f t="shared" si="22"/>
        <v>0</v>
      </c>
      <c r="AH100" s="61">
        <f t="shared" si="22"/>
        <v>0</v>
      </c>
      <c r="AI100" s="61">
        <f t="shared" si="22"/>
        <v>0</v>
      </c>
      <c r="AJ100" s="61">
        <f t="shared" si="22"/>
        <v>0</v>
      </c>
      <c r="AK100" s="61"/>
      <c r="AL100" s="61">
        <f>IF(AND(AL$2&gt;=$B100,AL$2&lt;$C100),$E100,0)</f>
        <v>0</v>
      </c>
      <c r="AM100" s="61">
        <f>IF(AND(AM$2&gt;=$B100,AM$2&lt;$C100),$E100,0)</f>
        <v>0</v>
      </c>
      <c r="AN100" s="61">
        <f>IF(AND(AN$2&gt;=$B100,AN$2&lt;$C100),$E100,0)</f>
        <v>0</v>
      </c>
      <c r="AO100" s="61">
        <f>IF(AND(AO$2&gt;=$B100,AO$2&lt;$C100),$E100,0)</f>
        <v>0</v>
      </c>
      <c r="AP100" s="61">
        <f>IF(AND(AP$2&gt;=$B100,AP$2&lt;$C100),$E100,0)</f>
        <v>0</v>
      </c>
      <c r="AQ100" s="61"/>
    </row>
    <row r="101" spans="2:43" x14ac:dyDescent="0.25">
      <c r="B101" s="54">
        <v>0.45833333333575865</v>
      </c>
      <c r="C101" s="54">
        <v>0.81250000005820999</v>
      </c>
      <c r="D101" s="60"/>
      <c r="E101" s="91">
        <f>SUMMARY!Y55</f>
        <v>0</v>
      </c>
      <c r="F101" s="91">
        <f>SUMMARY!AQ55</f>
        <v>0</v>
      </c>
      <c r="G101" s="91">
        <f>SUMMARY!AJ55</f>
        <v>0</v>
      </c>
      <c r="H101" s="92">
        <f t="shared" si="20"/>
        <v>0</v>
      </c>
      <c r="I101" s="180">
        <f>U$91-U$92</f>
        <v>0</v>
      </c>
      <c r="M101" s="61">
        <f t="shared" si="21"/>
        <v>0</v>
      </c>
      <c r="N101" s="61">
        <f t="shared" si="21"/>
        <v>0</v>
      </c>
      <c r="O101" s="61">
        <f t="shared" si="21"/>
        <v>0</v>
      </c>
      <c r="P101" s="61">
        <f t="shared" si="21"/>
        <v>0</v>
      </c>
      <c r="Q101" s="61">
        <f t="shared" si="21"/>
        <v>0</v>
      </c>
      <c r="R101" s="61">
        <f t="shared" si="21"/>
        <v>0</v>
      </c>
      <c r="S101" s="61">
        <f t="shared" si="21"/>
        <v>0</v>
      </c>
      <c r="T101" s="61">
        <f t="shared" si="21"/>
        <v>0</v>
      </c>
      <c r="U101" s="61">
        <f t="shared" si="21"/>
        <v>0</v>
      </c>
      <c r="V101" s="61">
        <f t="shared" si="21"/>
        <v>0</v>
      </c>
      <c r="W101" s="61">
        <f t="shared" si="21"/>
        <v>0</v>
      </c>
      <c r="X101" s="61">
        <f t="shared" si="21"/>
        <v>0</v>
      </c>
      <c r="Y101" s="61">
        <f t="shared" si="21"/>
        <v>0</v>
      </c>
      <c r="Z101" s="61">
        <f t="shared" si="21"/>
        <v>0</v>
      </c>
      <c r="AA101" s="61">
        <f t="shared" si="21"/>
        <v>0</v>
      </c>
      <c r="AB101" s="61">
        <f t="shared" si="21"/>
        <v>0</v>
      </c>
      <c r="AC101" s="61">
        <f t="shared" si="22"/>
        <v>0</v>
      </c>
      <c r="AD101" s="61">
        <f t="shared" si="22"/>
        <v>0</v>
      </c>
      <c r="AE101" s="61">
        <f t="shared" si="22"/>
        <v>0</v>
      </c>
      <c r="AF101" s="61">
        <f t="shared" si="22"/>
        <v>0</v>
      </c>
      <c r="AG101" s="61">
        <f t="shared" si="22"/>
        <v>0</v>
      </c>
      <c r="AH101" s="61">
        <f t="shared" si="22"/>
        <v>0</v>
      </c>
      <c r="AI101" s="61">
        <f t="shared" si="22"/>
        <v>0</v>
      </c>
      <c r="AJ101" s="61">
        <f t="shared" si="22"/>
        <v>0</v>
      </c>
      <c r="AK101" s="61">
        <f t="shared" si="22"/>
        <v>0</v>
      </c>
      <c r="AL101" s="61"/>
      <c r="AM101" s="61">
        <f>IF(AND(AM$2&gt;=$B101,AM$2&lt;$C101),$E101,0)</f>
        <v>0</v>
      </c>
      <c r="AN101" s="61">
        <f>IF(AND(AN$2&gt;=$B101,AN$2&lt;$C101),$E101,0)</f>
        <v>0</v>
      </c>
      <c r="AO101" s="61">
        <f>IF(AND(AO$2&gt;=$B101,AO$2&lt;$C101),$E101,0)</f>
        <v>0</v>
      </c>
      <c r="AP101" s="61">
        <f>IF(AND(AP$2&gt;=$B101,AP$2&lt;$C101),$E101,0)</f>
        <v>0</v>
      </c>
      <c r="AQ101" s="61"/>
    </row>
    <row r="102" spans="2:43" x14ac:dyDescent="0.25">
      <c r="B102" s="54">
        <v>0.47916666666424135</v>
      </c>
      <c r="C102" s="54">
        <v>0.83333333339396898</v>
      </c>
      <c r="D102" s="60"/>
      <c r="E102" s="91">
        <f>SUMMARY!Y56</f>
        <v>0</v>
      </c>
      <c r="G102" s="91">
        <f>SUMMARY!AJ56</f>
        <v>0</v>
      </c>
      <c r="H102" s="92">
        <f t="shared" si="20"/>
        <v>0</v>
      </c>
      <c r="I102" s="180">
        <f>V$91-V$92</f>
        <v>0</v>
      </c>
      <c r="M102" s="61">
        <f t="shared" si="21"/>
        <v>0</v>
      </c>
      <c r="N102" s="61">
        <f t="shared" si="21"/>
        <v>0</v>
      </c>
      <c r="O102" s="61">
        <f t="shared" si="21"/>
        <v>0</v>
      </c>
      <c r="P102" s="61">
        <f t="shared" si="21"/>
        <v>0</v>
      </c>
      <c r="Q102" s="61">
        <f t="shared" si="21"/>
        <v>0</v>
      </c>
      <c r="R102" s="61">
        <f t="shared" si="21"/>
        <v>0</v>
      </c>
      <c r="S102" s="61">
        <f t="shared" si="21"/>
        <v>0</v>
      </c>
      <c r="T102" s="61">
        <f t="shared" si="21"/>
        <v>0</v>
      </c>
      <c r="U102" s="61">
        <f t="shared" si="21"/>
        <v>0</v>
      </c>
      <c r="V102" s="61">
        <f t="shared" si="21"/>
        <v>0</v>
      </c>
      <c r="W102" s="61">
        <f t="shared" si="21"/>
        <v>0</v>
      </c>
      <c r="X102" s="61">
        <f t="shared" si="21"/>
        <v>0</v>
      </c>
      <c r="Y102" s="61">
        <f t="shared" si="21"/>
        <v>0</v>
      </c>
      <c r="Z102" s="61">
        <f t="shared" si="21"/>
        <v>0</v>
      </c>
      <c r="AA102" s="61">
        <f t="shared" si="21"/>
        <v>0</v>
      </c>
      <c r="AB102" s="61">
        <f t="shared" si="21"/>
        <v>0</v>
      </c>
      <c r="AC102" s="61">
        <f t="shared" si="22"/>
        <v>0</v>
      </c>
      <c r="AD102" s="61">
        <f t="shared" si="22"/>
        <v>0</v>
      </c>
      <c r="AE102" s="61">
        <f t="shared" si="22"/>
        <v>0</v>
      </c>
      <c r="AF102" s="61">
        <f t="shared" si="22"/>
        <v>0</v>
      </c>
      <c r="AG102" s="61">
        <f t="shared" si="22"/>
        <v>0</v>
      </c>
      <c r="AH102" s="61">
        <f t="shared" si="22"/>
        <v>0</v>
      </c>
      <c r="AI102" s="61">
        <f t="shared" si="22"/>
        <v>0</v>
      </c>
      <c r="AJ102" s="61">
        <f t="shared" si="22"/>
        <v>0</v>
      </c>
      <c r="AK102" s="61">
        <f t="shared" si="22"/>
        <v>0</v>
      </c>
      <c r="AL102" s="61">
        <f t="shared" si="22"/>
        <v>0</v>
      </c>
      <c r="AM102" s="61"/>
      <c r="AN102" s="61">
        <f>IF(AND(AN$2&gt;=$B102,AN$2&lt;$C102),$E102,0)</f>
        <v>0</v>
      </c>
      <c r="AO102" s="61">
        <f>IF(AND(AO$2&gt;=$B102,AO$2&lt;$C102),$E102,0)</f>
        <v>0</v>
      </c>
      <c r="AP102" s="61">
        <f>IF(AND(AP$2&gt;=$B102,AP$2&lt;$C102),$E102,0)</f>
        <v>0</v>
      </c>
      <c r="AQ102" s="61"/>
    </row>
    <row r="103" spans="2:43" x14ac:dyDescent="0.25">
      <c r="B103" s="54">
        <v>0.5</v>
      </c>
      <c r="C103" s="54">
        <v>0.85416666672972796</v>
      </c>
      <c r="D103" s="60"/>
      <c r="E103" s="91">
        <f>SUMMARY!Y57</f>
        <v>0</v>
      </c>
      <c r="G103" s="91">
        <f>SUMMARY!AJ57</f>
        <v>0</v>
      </c>
      <c r="H103" s="92">
        <f t="shared" si="20"/>
        <v>0</v>
      </c>
      <c r="I103" s="180">
        <f>W$91-W$92</f>
        <v>0</v>
      </c>
      <c r="M103" s="61">
        <f t="shared" si="21"/>
        <v>0</v>
      </c>
      <c r="N103" s="61">
        <f t="shared" si="21"/>
        <v>0</v>
      </c>
      <c r="O103" s="61">
        <f t="shared" si="21"/>
        <v>0</v>
      </c>
      <c r="P103" s="61">
        <f t="shared" si="21"/>
        <v>0</v>
      </c>
      <c r="Q103" s="61">
        <f t="shared" si="21"/>
        <v>0</v>
      </c>
      <c r="R103" s="61">
        <f t="shared" si="21"/>
        <v>0</v>
      </c>
      <c r="S103" s="61">
        <f t="shared" si="21"/>
        <v>0</v>
      </c>
      <c r="T103" s="61">
        <f t="shared" si="21"/>
        <v>0</v>
      </c>
      <c r="U103" s="61">
        <f t="shared" si="21"/>
        <v>0</v>
      </c>
      <c r="V103" s="61">
        <f t="shared" si="21"/>
        <v>0</v>
      </c>
      <c r="W103" s="61">
        <f t="shared" si="21"/>
        <v>0</v>
      </c>
      <c r="X103" s="61">
        <f t="shared" si="21"/>
        <v>0</v>
      </c>
      <c r="Y103" s="61">
        <f t="shared" si="21"/>
        <v>0</v>
      </c>
      <c r="Z103" s="61">
        <f t="shared" si="21"/>
        <v>0</v>
      </c>
      <c r="AA103" s="61">
        <f t="shared" si="21"/>
        <v>0</v>
      </c>
      <c r="AB103" s="61">
        <f t="shared" si="21"/>
        <v>0</v>
      </c>
      <c r="AC103" s="61">
        <f t="shared" si="22"/>
        <v>0</v>
      </c>
      <c r="AD103" s="61">
        <f t="shared" si="22"/>
        <v>0</v>
      </c>
      <c r="AE103" s="61">
        <f t="shared" si="22"/>
        <v>0</v>
      </c>
      <c r="AF103" s="61">
        <f t="shared" si="22"/>
        <v>0</v>
      </c>
      <c r="AG103" s="61">
        <f t="shared" si="22"/>
        <v>0</v>
      </c>
      <c r="AH103" s="61">
        <f t="shared" si="22"/>
        <v>0</v>
      </c>
      <c r="AI103" s="61">
        <f t="shared" si="22"/>
        <v>0</v>
      </c>
      <c r="AJ103" s="61">
        <f t="shared" si="22"/>
        <v>0</v>
      </c>
      <c r="AK103" s="61">
        <f t="shared" si="22"/>
        <v>0</v>
      </c>
      <c r="AL103" s="61">
        <f t="shared" si="22"/>
        <v>0</v>
      </c>
      <c r="AM103" s="61">
        <f t="shared" si="22"/>
        <v>0</v>
      </c>
      <c r="AN103" s="61"/>
      <c r="AO103" s="61">
        <f>IF(AND(AO$2&gt;=$B103,AO$2&lt;$C103),$E103,0)</f>
        <v>0</v>
      </c>
      <c r="AP103" s="61">
        <f>IF(AND(AP$2&gt;=$B103,AP$2&lt;$C103),$E103,0)</f>
        <v>0</v>
      </c>
      <c r="AQ103" s="61"/>
    </row>
    <row r="104" spans="2:43" x14ac:dyDescent="0.25">
      <c r="B104" s="54">
        <v>0.52083333333575865</v>
      </c>
      <c r="C104" s="54">
        <v>0.87500000006548695</v>
      </c>
      <c r="D104" s="60"/>
      <c r="E104" s="91">
        <f>SUMMARY!Y58</f>
        <v>0</v>
      </c>
      <c r="G104" s="91">
        <f>SUMMARY!AJ58</f>
        <v>0</v>
      </c>
      <c r="H104" s="92">
        <f t="shared" si="20"/>
        <v>0</v>
      </c>
      <c r="I104" s="180">
        <f>X$91-X$92</f>
        <v>0</v>
      </c>
      <c r="M104" s="61">
        <f t="shared" si="21"/>
        <v>0</v>
      </c>
      <c r="N104" s="61">
        <f t="shared" si="21"/>
        <v>0</v>
      </c>
      <c r="O104" s="61">
        <f t="shared" si="21"/>
        <v>0</v>
      </c>
      <c r="P104" s="61">
        <f t="shared" si="21"/>
        <v>0</v>
      </c>
      <c r="Q104" s="61">
        <f t="shared" si="21"/>
        <v>0</v>
      </c>
      <c r="R104" s="61">
        <f t="shared" si="21"/>
        <v>0</v>
      </c>
      <c r="S104" s="61">
        <f t="shared" si="21"/>
        <v>0</v>
      </c>
      <c r="T104" s="61">
        <f t="shared" si="21"/>
        <v>0</v>
      </c>
      <c r="U104" s="61">
        <f t="shared" si="21"/>
        <v>0</v>
      </c>
      <c r="V104" s="61">
        <f t="shared" si="21"/>
        <v>0</v>
      </c>
      <c r="W104" s="61">
        <f t="shared" si="21"/>
        <v>0</v>
      </c>
      <c r="X104" s="61">
        <f t="shared" si="21"/>
        <v>0</v>
      </c>
      <c r="Y104" s="61">
        <f t="shared" si="21"/>
        <v>0</v>
      </c>
      <c r="Z104" s="61">
        <f t="shared" si="21"/>
        <v>0</v>
      </c>
      <c r="AA104" s="61">
        <f t="shared" si="21"/>
        <v>0</v>
      </c>
      <c r="AB104" s="61">
        <f t="shared" si="21"/>
        <v>0</v>
      </c>
      <c r="AC104" s="61">
        <f t="shared" si="22"/>
        <v>0</v>
      </c>
      <c r="AD104" s="61">
        <f t="shared" si="22"/>
        <v>0</v>
      </c>
      <c r="AE104" s="61">
        <f t="shared" si="22"/>
        <v>0</v>
      </c>
      <c r="AF104" s="61">
        <f t="shared" si="22"/>
        <v>0</v>
      </c>
      <c r="AG104" s="61">
        <f t="shared" si="22"/>
        <v>0</v>
      </c>
      <c r="AH104" s="61">
        <f t="shared" si="22"/>
        <v>0</v>
      </c>
      <c r="AI104" s="61">
        <f t="shared" si="22"/>
        <v>0</v>
      </c>
      <c r="AJ104" s="61">
        <f t="shared" si="22"/>
        <v>0</v>
      </c>
      <c r="AK104" s="61">
        <f t="shared" si="22"/>
        <v>0</v>
      </c>
      <c r="AL104" s="61">
        <f t="shared" si="22"/>
        <v>0</v>
      </c>
      <c r="AM104" s="61">
        <f t="shared" si="22"/>
        <v>0</v>
      </c>
      <c r="AN104" s="61">
        <f t="shared" si="22"/>
        <v>0</v>
      </c>
      <c r="AO104" s="61"/>
      <c r="AP104" s="61">
        <f>IF(AND(AP$2&gt;=$B104,AP$2&lt;$C104),$E104,0)</f>
        <v>0</v>
      </c>
      <c r="AQ104" s="61"/>
    </row>
    <row r="105" spans="2:43" x14ac:dyDescent="0.25">
      <c r="B105" s="54">
        <v>0.54166666666424135</v>
      </c>
      <c r="C105" s="54">
        <v>0.89583333340124605</v>
      </c>
      <c r="D105" s="60"/>
      <c r="E105" s="91">
        <f>SUMMARY!Y59</f>
        <v>0</v>
      </c>
      <c r="G105" s="91">
        <f>SUMMARY!AJ59</f>
        <v>0</v>
      </c>
      <c r="H105" s="92">
        <f t="shared" si="20"/>
        <v>0</v>
      </c>
      <c r="I105" s="180">
        <f>Y$91-Y$92</f>
        <v>0</v>
      </c>
      <c r="M105" s="61">
        <f t="shared" si="21"/>
        <v>0</v>
      </c>
      <c r="N105" s="61">
        <f t="shared" si="21"/>
        <v>0</v>
      </c>
      <c r="O105" s="61">
        <f t="shared" si="21"/>
        <v>0</v>
      </c>
      <c r="P105" s="61">
        <f t="shared" si="21"/>
        <v>0</v>
      </c>
      <c r="Q105" s="61">
        <f t="shared" si="21"/>
        <v>0</v>
      </c>
      <c r="R105" s="61">
        <f t="shared" si="21"/>
        <v>0</v>
      </c>
      <c r="S105" s="61">
        <f t="shared" si="21"/>
        <v>0</v>
      </c>
      <c r="T105" s="61">
        <f t="shared" si="21"/>
        <v>0</v>
      </c>
      <c r="U105" s="61">
        <f t="shared" si="21"/>
        <v>0</v>
      </c>
      <c r="V105" s="61">
        <f t="shared" si="21"/>
        <v>0</v>
      </c>
      <c r="W105" s="61">
        <f t="shared" si="21"/>
        <v>0</v>
      </c>
      <c r="X105" s="61">
        <f t="shared" si="21"/>
        <v>0</v>
      </c>
      <c r="Y105" s="61">
        <f t="shared" si="21"/>
        <v>0</v>
      </c>
      <c r="Z105" s="61">
        <f t="shared" si="21"/>
        <v>0</v>
      </c>
      <c r="AA105" s="61">
        <f t="shared" si="21"/>
        <v>0</v>
      </c>
      <c r="AB105" s="61">
        <f t="shared" si="21"/>
        <v>0</v>
      </c>
      <c r="AC105" s="61">
        <f t="shared" si="22"/>
        <v>0</v>
      </c>
      <c r="AD105" s="61">
        <f t="shared" si="22"/>
        <v>0</v>
      </c>
      <c r="AE105" s="61">
        <f t="shared" si="22"/>
        <v>0</v>
      </c>
      <c r="AF105" s="61">
        <f t="shared" si="22"/>
        <v>0</v>
      </c>
      <c r="AG105" s="61">
        <f t="shared" si="22"/>
        <v>0</v>
      </c>
      <c r="AH105" s="61">
        <f t="shared" si="22"/>
        <v>0</v>
      </c>
      <c r="AI105" s="61">
        <f t="shared" si="22"/>
        <v>0</v>
      </c>
      <c r="AJ105" s="61">
        <f t="shared" si="22"/>
        <v>0</v>
      </c>
      <c r="AK105" s="61">
        <f t="shared" si="22"/>
        <v>0</v>
      </c>
      <c r="AL105" s="61">
        <f t="shared" si="22"/>
        <v>0</v>
      </c>
      <c r="AM105" s="61">
        <f t="shared" si="22"/>
        <v>0</v>
      </c>
      <c r="AN105" s="61">
        <f t="shared" si="22"/>
        <v>0</v>
      </c>
      <c r="AO105" s="61">
        <f t="shared" si="22"/>
        <v>0</v>
      </c>
      <c r="AP105" s="61"/>
      <c r="AQ105" s="61"/>
    </row>
    <row r="106" spans="2:43" x14ac:dyDescent="0.25">
      <c r="B106" s="54">
        <v>0.5625</v>
      </c>
      <c r="C106" s="54">
        <v>0.91666666673700503</v>
      </c>
      <c r="D106" s="60"/>
      <c r="E106" s="91">
        <f>SUMMARY!Y60</f>
        <v>0</v>
      </c>
      <c r="G106" s="91">
        <f>SUMMARY!AJ60</f>
        <v>0</v>
      </c>
      <c r="H106" s="92">
        <f t="shared" si="20"/>
        <v>0</v>
      </c>
      <c r="I106" s="180">
        <f>Z$91-Z$92</f>
        <v>0</v>
      </c>
      <c r="M106" s="61">
        <f t="shared" si="21"/>
        <v>0</v>
      </c>
      <c r="N106" s="61">
        <f t="shared" si="21"/>
        <v>0</v>
      </c>
      <c r="O106" s="61">
        <f t="shared" si="21"/>
        <v>0</v>
      </c>
      <c r="P106" s="61">
        <f t="shared" si="21"/>
        <v>0</v>
      </c>
      <c r="Q106" s="61">
        <f t="shared" si="21"/>
        <v>0</v>
      </c>
      <c r="R106" s="61">
        <f t="shared" si="21"/>
        <v>0</v>
      </c>
      <c r="S106" s="61">
        <f t="shared" si="21"/>
        <v>0</v>
      </c>
      <c r="T106" s="61">
        <f t="shared" si="21"/>
        <v>0</v>
      </c>
      <c r="U106" s="61">
        <f t="shared" si="21"/>
        <v>0</v>
      </c>
      <c r="V106" s="61">
        <f t="shared" si="21"/>
        <v>0</v>
      </c>
      <c r="W106" s="61">
        <f t="shared" si="21"/>
        <v>0</v>
      </c>
      <c r="X106" s="61">
        <f t="shared" si="21"/>
        <v>0</v>
      </c>
      <c r="Y106" s="61">
        <f t="shared" si="21"/>
        <v>0</v>
      </c>
      <c r="Z106" s="61">
        <f t="shared" si="21"/>
        <v>0</v>
      </c>
      <c r="AA106" s="61">
        <f t="shared" si="21"/>
        <v>0</v>
      </c>
      <c r="AB106" s="61">
        <f t="shared" si="21"/>
        <v>0</v>
      </c>
      <c r="AC106" s="61">
        <f t="shared" si="22"/>
        <v>0</v>
      </c>
      <c r="AD106" s="61">
        <f t="shared" si="22"/>
        <v>0</v>
      </c>
      <c r="AE106" s="61">
        <f t="shared" si="22"/>
        <v>0</v>
      </c>
      <c r="AF106" s="61">
        <f t="shared" si="22"/>
        <v>0</v>
      </c>
      <c r="AG106" s="61">
        <f t="shared" si="22"/>
        <v>0</v>
      </c>
      <c r="AH106" s="61">
        <f t="shared" si="22"/>
        <v>0</v>
      </c>
      <c r="AI106" s="61">
        <f t="shared" si="22"/>
        <v>0</v>
      </c>
      <c r="AJ106" s="61">
        <f t="shared" si="22"/>
        <v>0</v>
      </c>
      <c r="AK106" s="61">
        <f t="shared" si="22"/>
        <v>0</v>
      </c>
      <c r="AL106" s="61">
        <f t="shared" si="22"/>
        <v>0</v>
      </c>
      <c r="AM106" s="61">
        <f t="shared" si="22"/>
        <v>0</v>
      </c>
      <c r="AN106" s="61">
        <f t="shared" si="22"/>
        <v>0</v>
      </c>
      <c r="AO106" s="61">
        <f t="shared" si="22"/>
        <v>0</v>
      </c>
      <c r="AP106" s="61">
        <f t="shared" si="22"/>
        <v>0</v>
      </c>
      <c r="AQ106" s="61"/>
    </row>
    <row r="107" spans="2:43" x14ac:dyDescent="0.25">
      <c r="B107" s="54">
        <v>0.58333333333575899</v>
      </c>
      <c r="C107" s="54">
        <v>0.93750000007276402</v>
      </c>
      <c r="D107" s="60"/>
      <c r="E107" s="91"/>
      <c r="G107" s="91">
        <f>SUMMARY!AJ61</f>
        <v>0</v>
      </c>
      <c r="H107" s="92">
        <f t="shared" si="20"/>
        <v>0</v>
      </c>
      <c r="I107" s="180">
        <f>AA$91-AA$92</f>
        <v>0</v>
      </c>
      <c r="M107" s="61">
        <f t="shared" si="21"/>
        <v>0</v>
      </c>
      <c r="N107" s="61">
        <f t="shared" si="21"/>
        <v>0</v>
      </c>
      <c r="O107" s="61">
        <f t="shared" si="21"/>
        <v>0</v>
      </c>
      <c r="P107" s="61">
        <f t="shared" si="21"/>
        <v>0</v>
      </c>
      <c r="Q107" s="61">
        <f t="shared" si="21"/>
        <v>0</v>
      </c>
      <c r="R107" s="61">
        <f t="shared" si="21"/>
        <v>0</v>
      </c>
      <c r="S107" s="61">
        <f t="shared" si="21"/>
        <v>0</v>
      </c>
      <c r="T107" s="61">
        <f t="shared" si="21"/>
        <v>0</v>
      </c>
      <c r="U107" s="61">
        <f t="shared" si="21"/>
        <v>0</v>
      </c>
      <c r="V107" s="61">
        <f t="shared" si="21"/>
        <v>0</v>
      </c>
      <c r="W107" s="61">
        <f t="shared" si="21"/>
        <v>0</v>
      </c>
      <c r="X107" s="61">
        <f t="shared" si="21"/>
        <v>0</v>
      </c>
      <c r="Y107" s="61">
        <f t="shared" si="21"/>
        <v>0</v>
      </c>
      <c r="Z107" s="61">
        <f t="shared" si="21"/>
        <v>0</v>
      </c>
      <c r="AA107" s="61">
        <f t="shared" si="21"/>
        <v>0</v>
      </c>
      <c r="AB107" s="61">
        <f t="shared" si="21"/>
        <v>0</v>
      </c>
      <c r="AC107" s="61">
        <f t="shared" si="22"/>
        <v>0</v>
      </c>
      <c r="AD107" s="61">
        <f t="shared" si="22"/>
        <v>0</v>
      </c>
      <c r="AE107" s="61">
        <f t="shared" si="22"/>
        <v>0</v>
      </c>
      <c r="AF107" s="61">
        <f t="shared" si="22"/>
        <v>0</v>
      </c>
      <c r="AG107" s="61">
        <f t="shared" si="22"/>
        <v>0</v>
      </c>
      <c r="AH107" s="61">
        <f t="shared" si="22"/>
        <v>0</v>
      </c>
      <c r="AI107" s="61">
        <f t="shared" si="22"/>
        <v>0</v>
      </c>
      <c r="AJ107" s="61">
        <f t="shared" si="22"/>
        <v>0</v>
      </c>
      <c r="AK107" s="61">
        <f t="shared" si="22"/>
        <v>0</v>
      </c>
      <c r="AL107" s="61">
        <f t="shared" si="22"/>
        <v>0</v>
      </c>
      <c r="AM107" s="61">
        <f t="shared" si="22"/>
        <v>0</v>
      </c>
      <c r="AN107" s="61">
        <f t="shared" si="22"/>
        <v>0</v>
      </c>
      <c r="AO107" s="61">
        <f t="shared" si="22"/>
        <v>0</v>
      </c>
      <c r="AP107" s="61">
        <f t="shared" si="22"/>
        <v>0</v>
      </c>
      <c r="AQ107" s="61"/>
    </row>
    <row r="108" spans="2:43" x14ac:dyDescent="0.25">
      <c r="B108" s="54">
        <v>0.60416666667151697</v>
      </c>
      <c r="C108" s="54">
        <v>0.958333333408523</v>
      </c>
      <c r="D108" s="60"/>
      <c r="E108" s="91"/>
      <c r="G108" s="91">
        <f>SUMMARY!AJ62</f>
        <v>0</v>
      </c>
      <c r="H108" s="92">
        <f t="shared" si="20"/>
        <v>0</v>
      </c>
      <c r="I108" s="180">
        <f>AB$91-AB$92</f>
        <v>0</v>
      </c>
      <c r="M108" s="61">
        <f t="shared" si="21"/>
        <v>0</v>
      </c>
      <c r="N108" s="61">
        <f t="shared" si="21"/>
        <v>0</v>
      </c>
      <c r="O108" s="61">
        <f t="shared" si="21"/>
        <v>0</v>
      </c>
      <c r="P108" s="61">
        <f t="shared" si="21"/>
        <v>0</v>
      </c>
      <c r="Q108" s="61">
        <f t="shared" si="21"/>
        <v>0</v>
      </c>
      <c r="R108" s="61">
        <f t="shared" si="21"/>
        <v>0</v>
      </c>
      <c r="S108" s="61">
        <f t="shared" si="21"/>
        <v>0</v>
      </c>
      <c r="T108" s="61">
        <f t="shared" si="21"/>
        <v>0</v>
      </c>
      <c r="U108" s="61">
        <f t="shared" si="21"/>
        <v>0</v>
      </c>
      <c r="V108" s="61">
        <f t="shared" si="21"/>
        <v>0</v>
      </c>
      <c r="W108" s="61">
        <f t="shared" si="21"/>
        <v>0</v>
      </c>
      <c r="X108" s="61">
        <f t="shared" si="21"/>
        <v>0</v>
      </c>
      <c r="Y108" s="61">
        <f t="shared" si="21"/>
        <v>0</v>
      </c>
      <c r="Z108" s="61">
        <f t="shared" si="21"/>
        <v>0</v>
      </c>
      <c r="AA108" s="61">
        <f t="shared" si="21"/>
        <v>0</v>
      </c>
      <c r="AB108" s="61">
        <f t="shared" ref="W108:AL122" si="23">IF(AND(AB$2&gt;=$B108,AB$2&lt;$C108),$E108,0)</f>
        <v>0</v>
      </c>
      <c r="AC108" s="61">
        <f t="shared" si="23"/>
        <v>0</v>
      </c>
      <c r="AD108" s="61">
        <f t="shared" si="23"/>
        <v>0</v>
      </c>
      <c r="AE108" s="61">
        <f t="shared" si="23"/>
        <v>0</v>
      </c>
      <c r="AF108" s="61">
        <f t="shared" si="22"/>
        <v>0</v>
      </c>
      <c r="AG108" s="61">
        <f t="shared" si="22"/>
        <v>0</v>
      </c>
      <c r="AH108" s="61">
        <f t="shared" si="22"/>
        <v>0</v>
      </c>
      <c r="AI108" s="61">
        <f t="shared" si="22"/>
        <v>0</v>
      </c>
      <c r="AJ108" s="61">
        <f t="shared" si="22"/>
        <v>0</v>
      </c>
      <c r="AK108" s="61">
        <f t="shared" si="22"/>
        <v>0</v>
      </c>
      <c r="AL108" s="61">
        <f t="shared" si="22"/>
        <v>0</v>
      </c>
      <c r="AM108" s="61">
        <f t="shared" si="22"/>
        <v>0</v>
      </c>
      <c r="AN108" s="61">
        <f t="shared" si="22"/>
        <v>0</v>
      </c>
      <c r="AO108" s="61">
        <f t="shared" si="22"/>
        <v>0</v>
      </c>
      <c r="AP108" s="61">
        <f t="shared" si="22"/>
        <v>0</v>
      </c>
      <c r="AQ108" s="61"/>
    </row>
    <row r="109" spans="2:43" x14ac:dyDescent="0.25">
      <c r="B109" s="54">
        <v>0.62500000000727596</v>
      </c>
      <c r="C109" s="54">
        <v>0.97916666674428199</v>
      </c>
      <c r="D109" s="60"/>
      <c r="E109" s="91"/>
      <c r="G109" s="91">
        <f>SUMMARY!AJ63</f>
        <v>0</v>
      </c>
      <c r="H109" s="92">
        <f t="shared" si="20"/>
        <v>0</v>
      </c>
      <c r="I109" s="180">
        <f>AC$91-AC$92</f>
        <v>0</v>
      </c>
      <c r="M109" s="61">
        <f t="shared" ref="M109:V122" si="24">IF(AND(M$2&gt;=$B109,M$2&lt;$C109),$E109,0)</f>
        <v>0</v>
      </c>
      <c r="N109" s="61">
        <f t="shared" si="24"/>
        <v>0</v>
      </c>
      <c r="O109" s="61">
        <f t="shared" si="24"/>
        <v>0</v>
      </c>
      <c r="P109" s="61">
        <f t="shared" si="24"/>
        <v>0</v>
      </c>
      <c r="Q109" s="61">
        <f t="shared" si="24"/>
        <v>0</v>
      </c>
      <c r="R109" s="61">
        <f t="shared" si="24"/>
        <v>0</v>
      </c>
      <c r="S109" s="61">
        <f t="shared" si="24"/>
        <v>0</v>
      </c>
      <c r="T109" s="61">
        <f t="shared" si="24"/>
        <v>0</v>
      </c>
      <c r="U109" s="61">
        <f t="shared" si="24"/>
        <v>0</v>
      </c>
      <c r="V109" s="61">
        <f t="shared" si="24"/>
        <v>0</v>
      </c>
      <c r="W109" s="61">
        <f t="shared" si="23"/>
        <v>0</v>
      </c>
      <c r="X109" s="61">
        <f t="shared" si="23"/>
        <v>0</v>
      </c>
      <c r="Y109" s="61">
        <f t="shared" si="23"/>
        <v>0</v>
      </c>
      <c r="Z109" s="61">
        <f t="shared" si="23"/>
        <v>0</v>
      </c>
      <c r="AA109" s="61">
        <f t="shared" si="23"/>
        <v>0</v>
      </c>
      <c r="AB109" s="61">
        <f t="shared" si="23"/>
        <v>0</v>
      </c>
      <c r="AC109" s="61">
        <f t="shared" si="23"/>
        <v>0</v>
      </c>
      <c r="AD109" s="61">
        <f t="shared" si="23"/>
        <v>0</v>
      </c>
      <c r="AE109" s="61">
        <f t="shared" si="23"/>
        <v>0</v>
      </c>
      <c r="AF109" s="61">
        <f t="shared" si="23"/>
        <v>0</v>
      </c>
      <c r="AG109" s="61">
        <f t="shared" si="23"/>
        <v>0</v>
      </c>
      <c r="AH109" s="61">
        <f t="shared" si="23"/>
        <v>0</v>
      </c>
      <c r="AI109" s="61">
        <f t="shared" si="23"/>
        <v>0</v>
      </c>
      <c r="AJ109" s="61">
        <f t="shared" si="23"/>
        <v>0</v>
      </c>
      <c r="AK109" s="61">
        <f t="shared" si="23"/>
        <v>0</v>
      </c>
      <c r="AL109" s="61">
        <f t="shared" si="23"/>
        <v>0</v>
      </c>
      <c r="AM109" s="61">
        <f t="shared" ref="AM109:AP122" si="25">IF(AND(AM$2&gt;=$B109,AM$2&lt;$C109),$E109,0)</f>
        <v>0</v>
      </c>
      <c r="AN109" s="61">
        <f t="shared" si="25"/>
        <v>0</v>
      </c>
      <c r="AO109" s="61">
        <f t="shared" si="25"/>
        <v>0</v>
      </c>
      <c r="AP109" s="61">
        <f t="shared" si="25"/>
        <v>0</v>
      </c>
      <c r="AQ109" s="61"/>
    </row>
    <row r="110" spans="2:43" x14ac:dyDescent="0.25">
      <c r="B110" s="54">
        <v>0.64583333334303406</v>
      </c>
      <c r="C110" s="54">
        <v>1.00000000008004</v>
      </c>
      <c r="D110" s="60"/>
      <c r="E110" s="91"/>
      <c r="G110" s="91">
        <f>SUMMARY!AJ64</f>
        <v>0</v>
      </c>
      <c r="H110" s="92">
        <f t="shared" si="20"/>
        <v>0</v>
      </c>
      <c r="I110" s="180">
        <f>AD$91-AD$92</f>
        <v>0</v>
      </c>
      <c r="M110" s="61">
        <f t="shared" si="24"/>
        <v>0</v>
      </c>
      <c r="N110" s="61">
        <f t="shared" si="24"/>
        <v>0</v>
      </c>
      <c r="O110" s="61">
        <f t="shared" si="24"/>
        <v>0</v>
      </c>
      <c r="P110" s="61">
        <f t="shared" si="24"/>
        <v>0</v>
      </c>
      <c r="Q110" s="61">
        <f t="shared" si="24"/>
        <v>0</v>
      </c>
      <c r="R110" s="61">
        <f t="shared" si="24"/>
        <v>0</v>
      </c>
      <c r="S110" s="61">
        <f t="shared" si="24"/>
        <v>0</v>
      </c>
      <c r="T110" s="61">
        <f t="shared" si="24"/>
        <v>0</v>
      </c>
      <c r="U110" s="61">
        <f t="shared" si="24"/>
        <v>0</v>
      </c>
      <c r="V110" s="61">
        <f t="shared" si="24"/>
        <v>0</v>
      </c>
      <c r="W110" s="61">
        <f t="shared" si="23"/>
        <v>0</v>
      </c>
      <c r="X110" s="61">
        <f t="shared" si="23"/>
        <v>0</v>
      </c>
      <c r="Y110" s="61">
        <f t="shared" si="23"/>
        <v>0</v>
      </c>
      <c r="Z110" s="61">
        <f t="shared" si="23"/>
        <v>0</v>
      </c>
      <c r="AA110" s="61">
        <f t="shared" si="23"/>
        <v>0</v>
      </c>
      <c r="AB110" s="61">
        <f t="shared" si="23"/>
        <v>0</v>
      </c>
      <c r="AC110" s="61">
        <f t="shared" si="23"/>
        <v>0</v>
      </c>
      <c r="AD110" s="61">
        <f t="shared" si="23"/>
        <v>0</v>
      </c>
      <c r="AE110" s="61">
        <f t="shared" si="23"/>
        <v>0</v>
      </c>
      <c r="AF110" s="61">
        <f t="shared" si="23"/>
        <v>0</v>
      </c>
      <c r="AG110" s="61">
        <f t="shared" si="23"/>
        <v>0</v>
      </c>
      <c r="AH110" s="61">
        <f t="shared" si="23"/>
        <v>0</v>
      </c>
      <c r="AI110" s="61">
        <f t="shared" si="23"/>
        <v>0</v>
      </c>
      <c r="AJ110" s="61">
        <f t="shared" si="23"/>
        <v>0</v>
      </c>
      <c r="AK110" s="61">
        <f t="shared" si="23"/>
        <v>0</v>
      </c>
      <c r="AL110" s="61">
        <f t="shared" si="23"/>
        <v>0</v>
      </c>
      <c r="AM110" s="61">
        <f t="shared" si="25"/>
        <v>0</v>
      </c>
      <c r="AN110" s="61">
        <f t="shared" si="25"/>
        <v>0</v>
      </c>
      <c r="AO110" s="61">
        <f t="shared" si="25"/>
        <v>0</v>
      </c>
      <c r="AP110" s="61">
        <f t="shared" si="25"/>
        <v>0</v>
      </c>
      <c r="AQ110" s="61"/>
    </row>
    <row r="111" spans="2:43" x14ac:dyDescent="0.25">
      <c r="B111" s="54">
        <v>0.66666666667879304</v>
      </c>
      <c r="C111" s="54">
        <v>1.0208333334158</v>
      </c>
      <c r="D111" s="60"/>
      <c r="E111" s="91"/>
      <c r="G111" s="91">
        <f>SUMMARY!AJ65</f>
        <v>0</v>
      </c>
      <c r="H111" s="92">
        <f t="shared" si="20"/>
        <v>0</v>
      </c>
      <c r="I111" s="180">
        <f>AE$91-AE$92</f>
        <v>0</v>
      </c>
      <c r="M111" s="61">
        <f t="shared" si="24"/>
        <v>0</v>
      </c>
      <c r="N111" s="61">
        <f t="shared" si="24"/>
        <v>0</v>
      </c>
      <c r="O111" s="61">
        <f t="shared" si="24"/>
        <v>0</v>
      </c>
      <c r="P111" s="61">
        <f t="shared" si="24"/>
        <v>0</v>
      </c>
      <c r="Q111" s="61">
        <f t="shared" si="24"/>
        <v>0</v>
      </c>
      <c r="R111" s="61">
        <f t="shared" si="24"/>
        <v>0</v>
      </c>
      <c r="S111" s="61">
        <f t="shared" si="24"/>
        <v>0</v>
      </c>
      <c r="T111" s="61">
        <f t="shared" si="24"/>
        <v>0</v>
      </c>
      <c r="U111" s="61">
        <f t="shared" si="24"/>
        <v>0</v>
      </c>
      <c r="V111" s="61">
        <f t="shared" si="24"/>
        <v>0</v>
      </c>
      <c r="W111" s="61">
        <f t="shared" si="23"/>
        <v>0</v>
      </c>
      <c r="X111" s="61">
        <f t="shared" si="23"/>
        <v>0</v>
      </c>
      <c r="Y111" s="61">
        <f t="shared" si="23"/>
        <v>0</v>
      </c>
      <c r="Z111" s="61">
        <f t="shared" si="23"/>
        <v>0</v>
      </c>
      <c r="AA111" s="61">
        <f t="shared" si="23"/>
        <v>0</v>
      </c>
      <c r="AB111" s="61">
        <f t="shared" si="23"/>
        <v>0</v>
      </c>
      <c r="AC111" s="61">
        <f t="shared" si="23"/>
        <v>0</v>
      </c>
      <c r="AD111" s="61">
        <f t="shared" si="23"/>
        <v>0</v>
      </c>
      <c r="AE111" s="61">
        <f t="shared" si="23"/>
        <v>0</v>
      </c>
      <c r="AF111" s="61">
        <f t="shared" si="23"/>
        <v>0</v>
      </c>
      <c r="AG111" s="61">
        <f t="shared" si="23"/>
        <v>0</v>
      </c>
      <c r="AH111" s="61">
        <f t="shared" si="23"/>
        <v>0</v>
      </c>
      <c r="AI111" s="61">
        <f t="shared" si="23"/>
        <v>0</v>
      </c>
      <c r="AJ111" s="61">
        <f t="shared" si="23"/>
        <v>0</v>
      </c>
      <c r="AK111" s="61">
        <f t="shared" si="23"/>
        <v>0</v>
      </c>
      <c r="AL111" s="61">
        <f t="shared" si="23"/>
        <v>0</v>
      </c>
      <c r="AM111" s="61">
        <f t="shared" si="25"/>
        <v>0</v>
      </c>
      <c r="AN111" s="61">
        <f t="shared" si="25"/>
        <v>0</v>
      </c>
      <c r="AO111" s="61">
        <f t="shared" si="25"/>
        <v>0</v>
      </c>
      <c r="AP111" s="61">
        <f t="shared" si="25"/>
        <v>0</v>
      </c>
      <c r="AQ111" s="61"/>
    </row>
    <row r="112" spans="2:43" x14ac:dyDescent="0.25">
      <c r="B112" s="54">
        <v>0.68750000001455203</v>
      </c>
      <c r="C112" s="54">
        <v>1.0416666667515599</v>
      </c>
      <c r="D112" s="60"/>
      <c r="E112" s="91"/>
      <c r="G112" s="91">
        <f>SUMMARY!AJ66</f>
        <v>0</v>
      </c>
      <c r="H112" s="92">
        <f t="shared" si="20"/>
        <v>0</v>
      </c>
      <c r="I112" s="180">
        <f>AF$91-AF$92</f>
        <v>0</v>
      </c>
      <c r="M112" s="61">
        <f t="shared" si="24"/>
        <v>0</v>
      </c>
      <c r="N112" s="61">
        <f t="shared" si="24"/>
        <v>0</v>
      </c>
      <c r="O112" s="61">
        <f t="shared" si="24"/>
        <v>0</v>
      </c>
      <c r="P112" s="61">
        <f t="shared" si="24"/>
        <v>0</v>
      </c>
      <c r="Q112" s="61">
        <f t="shared" si="24"/>
        <v>0</v>
      </c>
      <c r="R112" s="61">
        <f t="shared" si="24"/>
        <v>0</v>
      </c>
      <c r="S112" s="61">
        <f t="shared" si="24"/>
        <v>0</v>
      </c>
      <c r="T112" s="61">
        <f t="shared" si="24"/>
        <v>0</v>
      </c>
      <c r="U112" s="61">
        <f t="shared" si="24"/>
        <v>0</v>
      </c>
      <c r="V112" s="61">
        <f t="shared" si="24"/>
        <v>0</v>
      </c>
      <c r="W112" s="61">
        <f t="shared" si="23"/>
        <v>0</v>
      </c>
      <c r="X112" s="61">
        <f t="shared" si="23"/>
        <v>0</v>
      </c>
      <c r="Y112" s="61">
        <f t="shared" si="23"/>
        <v>0</v>
      </c>
      <c r="Z112" s="61">
        <f t="shared" si="23"/>
        <v>0</v>
      </c>
      <c r="AA112" s="61">
        <f t="shared" si="23"/>
        <v>0</v>
      </c>
      <c r="AB112" s="61">
        <f t="shared" si="23"/>
        <v>0</v>
      </c>
      <c r="AC112" s="61">
        <f t="shared" si="23"/>
        <v>0</v>
      </c>
      <c r="AD112" s="61">
        <f t="shared" si="23"/>
        <v>0</v>
      </c>
      <c r="AE112" s="61">
        <f t="shared" si="23"/>
        <v>0</v>
      </c>
      <c r="AF112" s="61">
        <f t="shared" si="23"/>
        <v>0</v>
      </c>
      <c r="AG112" s="61">
        <f t="shared" si="23"/>
        <v>0</v>
      </c>
      <c r="AH112" s="61">
        <f t="shared" si="23"/>
        <v>0</v>
      </c>
      <c r="AI112" s="61">
        <f t="shared" si="23"/>
        <v>0</v>
      </c>
      <c r="AJ112" s="61">
        <f t="shared" si="23"/>
        <v>0</v>
      </c>
      <c r="AK112" s="61">
        <f t="shared" si="23"/>
        <v>0</v>
      </c>
      <c r="AL112" s="61">
        <f t="shared" si="23"/>
        <v>0</v>
      </c>
      <c r="AM112" s="61">
        <f t="shared" si="25"/>
        <v>0</v>
      </c>
      <c r="AN112" s="61">
        <f t="shared" si="25"/>
        <v>0</v>
      </c>
      <c r="AO112" s="61">
        <f t="shared" si="25"/>
        <v>0</v>
      </c>
      <c r="AP112" s="61">
        <f t="shared" si="25"/>
        <v>0</v>
      </c>
      <c r="AQ112" s="61"/>
    </row>
    <row r="113" spans="2:43" x14ac:dyDescent="0.25">
      <c r="B113" s="54">
        <v>0.70833333335031001</v>
      </c>
      <c r="C113" s="54">
        <v>1.0625000000873199</v>
      </c>
      <c r="D113" s="60"/>
      <c r="E113" s="91"/>
      <c r="G113" s="91">
        <f>SUMMARY!AJ67</f>
        <v>0</v>
      </c>
      <c r="H113" s="92">
        <f t="shared" si="20"/>
        <v>0</v>
      </c>
      <c r="I113" s="180">
        <f>AG$91-AG$92</f>
        <v>0</v>
      </c>
      <c r="M113" s="61">
        <f t="shared" si="24"/>
        <v>0</v>
      </c>
      <c r="N113" s="61">
        <f t="shared" si="24"/>
        <v>0</v>
      </c>
      <c r="O113" s="61">
        <f t="shared" si="24"/>
        <v>0</v>
      </c>
      <c r="P113" s="61">
        <f t="shared" si="24"/>
        <v>0</v>
      </c>
      <c r="Q113" s="61">
        <f t="shared" si="24"/>
        <v>0</v>
      </c>
      <c r="R113" s="61">
        <f t="shared" si="24"/>
        <v>0</v>
      </c>
      <c r="S113" s="61">
        <f t="shared" si="24"/>
        <v>0</v>
      </c>
      <c r="T113" s="61">
        <f t="shared" si="24"/>
        <v>0</v>
      </c>
      <c r="U113" s="61">
        <f t="shared" si="24"/>
        <v>0</v>
      </c>
      <c r="V113" s="61">
        <f t="shared" si="24"/>
        <v>0</v>
      </c>
      <c r="W113" s="61">
        <f t="shared" si="23"/>
        <v>0</v>
      </c>
      <c r="X113" s="61">
        <f t="shared" si="23"/>
        <v>0</v>
      </c>
      <c r="Y113" s="61">
        <f t="shared" si="23"/>
        <v>0</v>
      </c>
      <c r="Z113" s="61">
        <f t="shared" si="23"/>
        <v>0</v>
      </c>
      <c r="AA113" s="61">
        <f t="shared" si="23"/>
        <v>0</v>
      </c>
      <c r="AB113" s="61">
        <f t="shared" si="23"/>
        <v>0</v>
      </c>
      <c r="AC113" s="61">
        <f t="shared" si="23"/>
        <v>0</v>
      </c>
      <c r="AD113" s="61">
        <f t="shared" si="23"/>
        <v>0</v>
      </c>
      <c r="AE113" s="61">
        <f t="shared" si="23"/>
        <v>0</v>
      </c>
      <c r="AF113" s="61">
        <f t="shared" si="23"/>
        <v>0</v>
      </c>
      <c r="AG113" s="61">
        <f t="shared" si="23"/>
        <v>0</v>
      </c>
      <c r="AH113" s="61">
        <f t="shared" si="23"/>
        <v>0</v>
      </c>
      <c r="AI113" s="61">
        <f t="shared" si="23"/>
        <v>0</v>
      </c>
      <c r="AJ113" s="61">
        <f t="shared" si="23"/>
        <v>0</v>
      </c>
      <c r="AK113" s="61">
        <f t="shared" si="23"/>
        <v>0</v>
      </c>
      <c r="AL113" s="61">
        <f t="shared" si="23"/>
        <v>0</v>
      </c>
      <c r="AM113" s="61">
        <f t="shared" si="25"/>
        <v>0</v>
      </c>
      <c r="AN113" s="61">
        <f t="shared" si="25"/>
        <v>0</v>
      </c>
      <c r="AO113" s="61">
        <f t="shared" si="25"/>
        <v>0</v>
      </c>
      <c r="AP113" s="61">
        <f t="shared" si="25"/>
        <v>0</v>
      </c>
      <c r="AQ113" s="61"/>
    </row>
    <row r="114" spans="2:43" x14ac:dyDescent="0.25">
      <c r="B114" s="54">
        <v>0.729166666686069</v>
      </c>
      <c r="C114" s="54">
        <v>1.0833333334230799</v>
      </c>
      <c r="D114" s="60"/>
      <c r="E114" s="91"/>
      <c r="G114" s="91">
        <f>SUMMARY!AJ68</f>
        <v>0</v>
      </c>
      <c r="H114" s="92">
        <f t="shared" si="20"/>
        <v>0</v>
      </c>
      <c r="I114" s="180">
        <f>AH$91-AH$92</f>
        <v>0</v>
      </c>
      <c r="M114" s="61">
        <f t="shared" si="24"/>
        <v>0</v>
      </c>
      <c r="N114" s="61">
        <f t="shared" si="24"/>
        <v>0</v>
      </c>
      <c r="O114" s="61">
        <f t="shared" si="24"/>
        <v>0</v>
      </c>
      <c r="P114" s="61">
        <f t="shared" si="24"/>
        <v>0</v>
      </c>
      <c r="Q114" s="61">
        <f t="shared" si="24"/>
        <v>0</v>
      </c>
      <c r="R114" s="61">
        <f t="shared" si="24"/>
        <v>0</v>
      </c>
      <c r="S114" s="61">
        <f t="shared" si="24"/>
        <v>0</v>
      </c>
      <c r="T114" s="61">
        <f t="shared" si="24"/>
        <v>0</v>
      </c>
      <c r="U114" s="61">
        <f t="shared" si="24"/>
        <v>0</v>
      </c>
      <c r="V114" s="61">
        <f t="shared" si="24"/>
        <v>0</v>
      </c>
      <c r="W114" s="61">
        <f t="shared" si="23"/>
        <v>0</v>
      </c>
      <c r="X114" s="61">
        <f t="shared" si="23"/>
        <v>0</v>
      </c>
      <c r="Y114" s="61">
        <f t="shared" si="23"/>
        <v>0</v>
      </c>
      <c r="Z114" s="61">
        <f t="shared" si="23"/>
        <v>0</v>
      </c>
      <c r="AA114" s="61">
        <f t="shared" si="23"/>
        <v>0</v>
      </c>
      <c r="AB114" s="61">
        <f t="shared" si="23"/>
        <v>0</v>
      </c>
      <c r="AC114" s="61">
        <f t="shared" si="23"/>
        <v>0</v>
      </c>
      <c r="AD114" s="61">
        <f t="shared" si="23"/>
        <v>0</v>
      </c>
      <c r="AE114" s="61">
        <f t="shared" si="23"/>
        <v>0</v>
      </c>
      <c r="AF114" s="61">
        <f t="shared" si="23"/>
        <v>0</v>
      </c>
      <c r="AG114" s="61">
        <f t="shared" si="23"/>
        <v>0</v>
      </c>
      <c r="AH114" s="61">
        <f t="shared" si="23"/>
        <v>0</v>
      </c>
      <c r="AI114" s="61">
        <f t="shared" si="23"/>
        <v>0</v>
      </c>
      <c r="AJ114" s="61">
        <f t="shared" si="23"/>
        <v>0</v>
      </c>
      <c r="AK114" s="61">
        <f t="shared" si="23"/>
        <v>0</v>
      </c>
      <c r="AL114" s="61">
        <f t="shared" si="23"/>
        <v>0</v>
      </c>
      <c r="AM114" s="61">
        <f t="shared" si="25"/>
        <v>0</v>
      </c>
      <c r="AN114" s="61">
        <f t="shared" si="25"/>
        <v>0</v>
      </c>
      <c r="AO114" s="61">
        <f t="shared" si="25"/>
        <v>0</v>
      </c>
      <c r="AP114" s="61">
        <f t="shared" si="25"/>
        <v>0</v>
      </c>
      <c r="AQ114" s="61"/>
    </row>
    <row r="115" spans="2:43" x14ac:dyDescent="0.25">
      <c r="B115" s="54">
        <v>0.75000000002182798</v>
      </c>
      <c r="C115" s="54">
        <v>1.1041666667588399</v>
      </c>
      <c r="D115" s="60"/>
      <c r="E115" s="91"/>
      <c r="G115" s="91">
        <f>SUMMARY!AJ69</f>
        <v>0</v>
      </c>
      <c r="H115" s="92">
        <f t="shared" si="20"/>
        <v>0</v>
      </c>
      <c r="I115" s="180">
        <f>AI$91-AI$92</f>
        <v>0</v>
      </c>
      <c r="M115" s="61">
        <f t="shared" si="24"/>
        <v>0</v>
      </c>
      <c r="N115" s="61">
        <f t="shared" si="24"/>
        <v>0</v>
      </c>
      <c r="O115" s="61">
        <f t="shared" si="24"/>
        <v>0</v>
      </c>
      <c r="P115" s="61">
        <f t="shared" si="24"/>
        <v>0</v>
      </c>
      <c r="Q115" s="61">
        <f t="shared" si="24"/>
        <v>0</v>
      </c>
      <c r="R115" s="61">
        <f t="shared" si="24"/>
        <v>0</v>
      </c>
      <c r="S115" s="61">
        <f t="shared" si="24"/>
        <v>0</v>
      </c>
      <c r="T115" s="61">
        <f t="shared" si="24"/>
        <v>0</v>
      </c>
      <c r="U115" s="61">
        <f t="shared" si="24"/>
        <v>0</v>
      </c>
      <c r="V115" s="61">
        <f t="shared" si="24"/>
        <v>0</v>
      </c>
      <c r="W115" s="61">
        <f t="shared" si="23"/>
        <v>0</v>
      </c>
      <c r="X115" s="61">
        <f t="shared" si="23"/>
        <v>0</v>
      </c>
      <c r="Y115" s="61">
        <f t="shared" si="23"/>
        <v>0</v>
      </c>
      <c r="Z115" s="61">
        <f t="shared" si="23"/>
        <v>0</v>
      </c>
      <c r="AA115" s="61">
        <f t="shared" si="23"/>
        <v>0</v>
      </c>
      <c r="AB115" s="61">
        <f t="shared" si="23"/>
        <v>0</v>
      </c>
      <c r="AC115" s="61">
        <f t="shared" si="23"/>
        <v>0</v>
      </c>
      <c r="AD115" s="61">
        <f t="shared" si="23"/>
        <v>0</v>
      </c>
      <c r="AE115" s="61">
        <f t="shared" si="23"/>
        <v>0</v>
      </c>
      <c r="AF115" s="61">
        <f t="shared" si="23"/>
        <v>0</v>
      </c>
      <c r="AG115" s="61">
        <f t="shared" si="23"/>
        <v>0</v>
      </c>
      <c r="AH115" s="61">
        <f t="shared" si="23"/>
        <v>0</v>
      </c>
      <c r="AI115" s="61">
        <f t="shared" si="23"/>
        <v>0</v>
      </c>
      <c r="AJ115" s="61">
        <f t="shared" si="23"/>
        <v>0</v>
      </c>
      <c r="AK115" s="61">
        <f t="shared" si="23"/>
        <v>0</v>
      </c>
      <c r="AL115" s="61">
        <f t="shared" si="23"/>
        <v>0</v>
      </c>
      <c r="AM115" s="61">
        <f t="shared" si="25"/>
        <v>0</v>
      </c>
      <c r="AN115" s="61">
        <f t="shared" si="25"/>
        <v>0</v>
      </c>
      <c r="AO115" s="61">
        <f t="shared" si="25"/>
        <v>0</v>
      </c>
      <c r="AP115" s="61">
        <f t="shared" si="25"/>
        <v>0</v>
      </c>
      <c r="AQ115" s="61"/>
    </row>
    <row r="116" spans="2:43" x14ac:dyDescent="0.25">
      <c r="B116" s="54">
        <v>0.77083333335758597</v>
      </c>
      <c r="C116" s="54">
        <v>1.1250000000945899</v>
      </c>
      <c r="D116" s="60"/>
      <c r="E116" s="91"/>
      <c r="G116" s="91">
        <f>SUMMARY!AJ70</f>
        <v>0</v>
      </c>
      <c r="H116" s="92">
        <f t="shared" si="20"/>
        <v>0</v>
      </c>
      <c r="I116" s="180">
        <f>AJ$91-AJ$92</f>
        <v>0</v>
      </c>
      <c r="M116" s="61">
        <f t="shared" si="24"/>
        <v>0</v>
      </c>
      <c r="N116" s="61">
        <f t="shared" si="24"/>
        <v>0</v>
      </c>
      <c r="O116" s="61">
        <f t="shared" si="24"/>
        <v>0</v>
      </c>
      <c r="P116" s="61">
        <f t="shared" si="24"/>
        <v>0</v>
      </c>
      <c r="Q116" s="61">
        <f t="shared" si="24"/>
        <v>0</v>
      </c>
      <c r="R116" s="61">
        <f t="shared" si="24"/>
        <v>0</v>
      </c>
      <c r="S116" s="61">
        <f t="shared" si="24"/>
        <v>0</v>
      </c>
      <c r="T116" s="61">
        <f t="shared" si="24"/>
        <v>0</v>
      </c>
      <c r="U116" s="61">
        <f t="shared" si="24"/>
        <v>0</v>
      </c>
      <c r="V116" s="61">
        <f t="shared" si="24"/>
        <v>0</v>
      </c>
      <c r="W116" s="61">
        <f t="shared" si="23"/>
        <v>0</v>
      </c>
      <c r="X116" s="61">
        <f t="shared" si="23"/>
        <v>0</v>
      </c>
      <c r="Y116" s="61">
        <f t="shared" si="23"/>
        <v>0</v>
      </c>
      <c r="Z116" s="61">
        <f t="shared" si="23"/>
        <v>0</v>
      </c>
      <c r="AA116" s="61">
        <f t="shared" si="23"/>
        <v>0</v>
      </c>
      <c r="AB116" s="61">
        <f t="shared" si="23"/>
        <v>0</v>
      </c>
      <c r="AC116" s="61">
        <f t="shared" si="23"/>
        <v>0</v>
      </c>
      <c r="AD116" s="61">
        <f t="shared" si="23"/>
        <v>0</v>
      </c>
      <c r="AE116" s="61">
        <f t="shared" si="23"/>
        <v>0</v>
      </c>
      <c r="AF116" s="61">
        <f t="shared" si="23"/>
        <v>0</v>
      </c>
      <c r="AG116" s="61">
        <f t="shared" si="23"/>
        <v>0</v>
      </c>
      <c r="AH116" s="61">
        <f t="shared" si="23"/>
        <v>0</v>
      </c>
      <c r="AI116" s="61">
        <f t="shared" si="23"/>
        <v>0</v>
      </c>
      <c r="AJ116" s="61">
        <f t="shared" si="23"/>
        <v>0</v>
      </c>
      <c r="AK116" s="61">
        <f t="shared" si="23"/>
        <v>0</v>
      </c>
      <c r="AL116" s="61">
        <f t="shared" si="23"/>
        <v>0</v>
      </c>
      <c r="AM116" s="61">
        <f t="shared" si="25"/>
        <v>0</v>
      </c>
      <c r="AN116" s="61">
        <f t="shared" si="25"/>
        <v>0</v>
      </c>
      <c r="AO116" s="61">
        <f t="shared" si="25"/>
        <v>0</v>
      </c>
      <c r="AP116" s="61">
        <f t="shared" si="25"/>
        <v>0</v>
      </c>
      <c r="AQ116" s="61"/>
    </row>
    <row r="117" spans="2:43" x14ac:dyDescent="0.25">
      <c r="B117" s="54">
        <v>0.79166666669334496</v>
      </c>
      <c r="C117" s="54">
        <v>1.1458333334303501</v>
      </c>
      <c r="D117" s="60"/>
      <c r="E117" s="91"/>
      <c r="G117" s="91">
        <f>SUMMARY!AJ71</f>
        <v>0</v>
      </c>
      <c r="H117" s="92">
        <f t="shared" si="20"/>
        <v>0</v>
      </c>
      <c r="I117" s="180">
        <f>AK$91-AK$92</f>
        <v>0</v>
      </c>
      <c r="M117" s="61">
        <f t="shared" si="24"/>
        <v>0</v>
      </c>
      <c r="N117" s="61">
        <f t="shared" si="24"/>
        <v>0</v>
      </c>
      <c r="O117" s="61">
        <f t="shared" si="24"/>
        <v>0</v>
      </c>
      <c r="P117" s="61">
        <f t="shared" si="24"/>
        <v>0</v>
      </c>
      <c r="Q117" s="61">
        <f t="shared" si="24"/>
        <v>0</v>
      </c>
      <c r="R117" s="61">
        <f t="shared" si="24"/>
        <v>0</v>
      </c>
      <c r="S117" s="61">
        <f t="shared" si="24"/>
        <v>0</v>
      </c>
      <c r="T117" s="61">
        <f t="shared" si="24"/>
        <v>0</v>
      </c>
      <c r="U117" s="61">
        <f t="shared" si="24"/>
        <v>0</v>
      </c>
      <c r="V117" s="61">
        <f t="shared" si="24"/>
        <v>0</v>
      </c>
      <c r="W117" s="61">
        <f t="shared" si="23"/>
        <v>0</v>
      </c>
      <c r="X117" s="61">
        <f t="shared" si="23"/>
        <v>0</v>
      </c>
      <c r="Y117" s="61">
        <f t="shared" si="23"/>
        <v>0</v>
      </c>
      <c r="Z117" s="61">
        <f t="shared" si="23"/>
        <v>0</v>
      </c>
      <c r="AA117" s="61">
        <f t="shared" si="23"/>
        <v>0</v>
      </c>
      <c r="AB117" s="61">
        <f t="shared" si="23"/>
        <v>0</v>
      </c>
      <c r="AC117" s="61">
        <f t="shared" si="23"/>
        <v>0</v>
      </c>
      <c r="AD117" s="61">
        <f t="shared" si="23"/>
        <v>0</v>
      </c>
      <c r="AE117" s="61">
        <f t="shared" si="23"/>
        <v>0</v>
      </c>
      <c r="AF117" s="61">
        <f t="shared" si="23"/>
        <v>0</v>
      </c>
      <c r="AG117" s="61">
        <f t="shared" si="23"/>
        <v>0</v>
      </c>
      <c r="AH117" s="61">
        <f t="shared" si="23"/>
        <v>0</v>
      </c>
      <c r="AI117" s="61">
        <f t="shared" si="23"/>
        <v>0</v>
      </c>
      <c r="AJ117" s="61">
        <f t="shared" si="23"/>
        <v>0</v>
      </c>
      <c r="AK117" s="61">
        <f t="shared" si="23"/>
        <v>0</v>
      </c>
      <c r="AL117" s="61">
        <f t="shared" si="23"/>
        <v>0</v>
      </c>
      <c r="AM117" s="61">
        <f t="shared" si="25"/>
        <v>0</v>
      </c>
      <c r="AN117" s="61">
        <f t="shared" si="25"/>
        <v>0</v>
      </c>
      <c r="AO117" s="61">
        <f t="shared" si="25"/>
        <v>0</v>
      </c>
      <c r="AP117" s="61">
        <f t="shared" si="25"/>
        <v>0</v>
      </c>
      <c r="AQ117" s="61"/>
    </row>
    <row r="118" spans="2:43" x14ac:dyDescent="0.25">
      <c r="B118" s="54">
        <v>0.81250000002910305</v>
      </c>
      <c r="C118" s="54">
        <v>1.1666666667661101</v>
      </c>
      <c r="D118" s="60"/>
      <c r="E118" s="91"/>
      <c r="G118" s="91">
        <f>SUMMARY!AJ72</f>
        <v>0</v>
      </c>
      <c r="H118" s="92">
        <f t="shared" si="20"/>
        <v>0</v>
      </c>
      <c r="I118" s="180">
        <f>AL$91-AL$92</f>
        <v>0</v>
      </c>
      <c r="M118" s="61">
        <f t="shared" si="24"/>
        <v>0</v>
      </c>
      <c r="N118" s="61">
        <f t="shared" si="24"/>
        <v>0</v>
      </c>
      <c r="O118" s="61">
        <f t="shared" si="24"/>
        <v>0</v>
      </c>
      <c r="P118" s="61">
        <f t="shared" si="24"/>
        <v>0</v>
      </c>
      <c r="Q118" s="61">
        <f t="shared" si="24"/>
        <v>0</v>
      </c>
      <c r="R118" s="61">
        <f t="shared" si="24"/>
        <v>0</v>
      </c>
      <c r="S118" s="61">
        <f t="shared" si="24"/>
        <v>0</v>
      </c>
      <c r="T118" s="61">
        <f t="shared" si="24"/>
        <v>0</v>
      </c>
      <c r="U118" s="61">
        <f t="shared" si="24"/>
        <v>0</v>
      </c>
      <c r="V118" s="61">
        <f t="shared" si="24"/>
        <v>0</v>
      </c>
      <c r="W118" s="61">
        <f t="shared" si="23"/>
        <v>0</v>
      </c>
      <c r="X118" s="61">
        <f t="shared" si="23"/>
        <v>0</v>
      </c>
      <c r="Y118" s="61">
        <f t="shared" si="23"/>
        <v>0</v>
      </c>
      <c r="Z118" s="61">
        <f t="shared" si="23"/>
        <v>0</v>
      </c>
      <c r="AA118" s="61">
        <f t="shared" si="23"/>
        <v>0</v>
      </c>
      <c r="AB118" s="61">
        <f t="shared" si="23"/>
        <v>0</v>
      </c>
      <c r="AC118" s="61">
        <f t="shared" si="23"/>
        <v>0</v>
      </c>
      <c r="AD118" s="61">
        <f t="shared" si="23"/>
        <v>0</v>
      </c>
      <c r="AE118" s="61">
        <f t="shared" si="23"/>
        <v>0</v>
      </c>
      <c r="AF118" s="61">
        <f t="shared" si="23"/>
        <v>0</v>
      </c>
      <c r="AG118" s="61">
        <f t="shared" si="23"/>
        <v>0</v>
      </c>
      <c r="AH118" s="61">
        <f t="shared" si="23"/>
        <v>0</v>
      </c>
      <c r="AI118" s="61">
        <f t="shared" si="23"/>
        <v>0</v>
      </c>
      <c r="AJ118" s="61">
        <f t="shared" si="23"/>
        <v>0</v>
      </c>
      <c r="AK118" s="61">
        <f t="shared" si="23"/>
        <v>0</v>
      </c>
      <c r="AL118" s="61">
        <f t="shared" si="23"/>
        <v>0</v>
      </c>
      <c r="AM118" s="61">
        <f t="shared" si="25"/>
        <v>0</v>
      </c>
      <c r="AN118" s="61">
        <f t="shared" si="25"/>
        <v>0</v>
      </c>
      <c r="AO118" s="61">
        <f t="shared" si="25"/>
        <v>0</v>
      </c>
      <c r="AP118" s="61">
        <f t="shared" si="25"/>
        <v>0</v>
      </c>
      <c r="AQ118" s="61"/>
    </row>
    <row r="119" spans="2:43" x14ac:dyDescent="0.25">
      <c r="B119" s="54">
        <v>0.83333333336486204</v>
      </c>
      <c r="C119" s="54">
        <v>1.1875000001018701</v>
      </c>
      <c r="D119" s="60"/>
      <c r="E119" s="91"/>
      <c r="G119" s="91">
        <f>SUMMARY!AJ73</f>
        <v>0</v>
      </c>
      <c r="H119" s="92">
        <f t="shared" si="20"/>
        <v>0</v>
      </c>
      <c r="I119" s="180">
        <f>AM$91-AM$92</f>
        <v>0</v>
      </c>
      <c r="M119" s="61">
        <f t="shared" si="24"/>
        <v>0</v>
      </c>
      <c r="N119" s="61">
        <f t="shared" si="24"/>
        <v>0</v>
      </c>
      <c r="O119" s="61">
        <f t="shared" si="24"/>
        <v>0</v>
      </c>
      <c r="P119" s="61">
        <f t="shared" si="24"/>
        <v>0</v>
      </c>
      <c r="Q119" s="61">
        <f t="shared" si="24"/>
        <v>0</v>
      </c>
      <c r="R119" s="61">
        <f t="shared" si="24"/>
        <v>0</v>
      </c>
      <c r="S119" s="61">
        <f t="shared" si="24"/>
        <v>0</v>
      </c>
      <c r="T119" s="61">
        <f t="shared" si="24"/>
        <v>0</v>
      </c>
      <c r="U119" s="61">
        <f t="shared" si="24"/>
        <v>0</v>
      </c>
      <c r="V119" s="61">
        <f t="shared" si="24"/>
        <v>0</v>
      </c>
      <c r="W119" s="61">
        <f t="shared" si="23"/>
        <v>0</v>
      </c>
      <c r="X119" s="61">
        <f t="shared" si="23"/>
        <v>0</v>
      </c>
      <c r="Y119" s="61">
        <f t="shared" si="23"/>
        <v>0</v>
      </c>
      <c r="Z119" s="61">
        <f t="shared" si="23"/>
        <v>0</v>
      </c>
      <c r="AA119" s="61">
        <f t="shared" si="23"/>
        <v>0</v>
      </c>
      <c r="AB119" s="61">
        <f t="shared" si="23"/>
        <v>0</v>
      </c>
      <c r="AC119" s="61">
        <f t="shared" si="23"/>
        <v>0</v>
      </c>
      <c r="AD119" s="61">
        <f t="shared" si="23"/>
        <v>0</v>
      </c>
      <c r="AE119" s="61">
        <f t="shared" si="23"/>
        <v>0</v>
      </c>
      <c r="AF119" s="61">
        <f t="shared" si="23"/>
        <v>0</v>
      </c>
      <c r="AG119" s="61">
        <f t="shared" si="23"/>
        <v>0</v>
      </c>
      <c r="AH119" s="61">
        <f t="shared" si="23"/>
        <v>0</v>
      </c>
      <c r="AI119" s="61">
        <f t="shared" si="23"/>
        <v>0</v>
      </c>
      <c r="AJ119" s="61">
        <f t="shared" si="23"/>
        <v>0</v>
      </c>
      <c r="AK119" s="61">
        <f t="shared" si="23"/>
        <v>0</v>
      </c>
      <c r="AL119" s="61">
        <f t="shared" si="23"/>
        <v>0</v>
      </c>
      <c r="AM119" s="61">
        <f t="shared" si="25"/>
        <v>0</v>
      </c>
      <c r="AN119" s="61">
        <f t="shared" si="25"/>
        <v>0</v>
      </c>
      <c r="AO119" s="61">
        <f t="shared" si="25"/>
        <v>0</v>
      </c>
      <c r="AP119" s="61">
        <f t="shared" si="25"/>
        <v>0</v>
      </c>
      <c r="AQ119" s="61"/>
    </row>
    <row r="120" spans="2:43" x14ac:dyDescent="0.25">
      <c r="B120" s="54">
        <v>0.85416666670062102</v>
      </c>
      <c r="C120" s="54">
        <v>1.2083333334376301</v>
      </c>
      <c r="D120" s="60"/>
      <c r="E120" s="91"/>
      <c r="G120" s="91">
        <f>SUMMARY!AJ74</f>
        <v>0</v>
      </c>
      <c r="H120" s="92">
        <f t="shared" si="20"/>
        <v>0</v>
      </c>
      <c r="I120" s="180">
        <f>AN$91-AN$92</f>
        <v>0</v>
      </c>
      <c r="M120" s="61">
        <f t="shared" si="24"/>
        <v>0</v>
      </c>
      <c r="N120" s="61">
        <f t="shared" si="24"/>
        <v>0</v>
      </c>
      <c r="O120" s="61">
        <f t="shared" si="24"/>
        <v>0</v>
      </c>
      <c r="P120" s="61">
        <f t="shared" si="24"/>
        <v>0</v>
      </c>
      <c r="Q120" s="61">
        <f t="shared" si="24"/>
        <v>0</v>
      </c>
      <c r="R120" s="61">
        <f t="shared" si="24"/>
        <v>0</v>
      </c>
      <c r="S120" s="61">
        <f t="shared" si="24"/>
        <v>0</v>
      </c>
      <c r="T120" s="61">
        <f t="shared" si="24"/>
        <v>0</v>
      </c>
      <c r="U120" s="61">
        <f t="shared" si="24"/>
        <v>0</v>
      </c>
      <c r="V120" s="61">
        <f t="shared" si="24"/>
        <v>0</v>
      </c>
      <c r="W120" s="61">
        <f t="shared" si="23"/>
        <v>0</v>
      </c>
      <c r="X120" s="61">
        <f t="shared" si="23"/>
        <v>0</v>
      </c>
      <c r="Y120" s="61">
        <f t="shared" si="23"/>
        <v>0</v>
      </c>
      <c r="Z120" s="61">
        <f t="shared" si="23"/>
        <v>0</v>
      </c>
      <c r="AA120" s="61">
        <f t="shared" si="23"/>
        <v>0</v>
      </c>
      <c r="AB120" s="61">
        <f t="shared" si="23"/>
        <v>0</v>
      </c>
      <c r="AC120" s="61">
        <f t="shared" si="23"/>
        <v>0</v>
      </c>
      <c r="AD120" s="61">
        <f t="shared" si="23"/>
        <v>0</v>
      </c>
      <c r="AE120" s="61">
        <f t="shared" si="23"/>
        <v>0</v>
      </c>
      <c r="AF120" s="61">
        <f t="shared" si="23"/>
        <v>0</v>
      </c>
      <c r="AG120" s="61">
        <f t="shared" si="23"/>
        <v>0</v>
      </c>
      <c r="AH120" s="61">
        <f t="shared" si="23"/>
        <v>0</v>
      </c>
      <c r="AI120" s="61">
        <f t="shared" si="23"/>
        <v>0</v>
      </c>
      <c r="AJ120" s="61">
        <f t="shared" si="23"/>
        <v>0</v>
      </c>
      <c r="AK120" s="61">
        <f t="shared" si="23"/>
        <v>0</v>
      </c>
      <c r="AL120" s="61">
        <f t="shared" si="23"/>
        <v>0</v>
      </c>
      <c r="AM120" s="61">
        <f t="shared" si="25"/>
        <v>0</v>
      </c>
      <c r="AN120" s="61">
        <f t="shared" si="25"/>
        <v>0</v>
      </c>
      <c r="AO120" s="61">
        <f t="shared" si="25"/>
        <v>0</v>
      </c>
      <c r="AP120" s="61">
        <f t="shared" si="25"/>
        <v>0</v>
      </c>
      <c r="AQ120" s="61"/>
    </row>
    <row r="121" spans="2:43" x14ac:dyDescent="0.25">
      <c r="B121" s="54">
        <v>0.87500000003637901</v>
      </c>
      <c r="C121" s="54">
        <v>1.22916666677339</v>
      </c>
      <c r="D121" s="60"/>
      <c r="E121" s="91"/>
      <c r="G121" s="91">
        <f>SUMMARY!AJ75</f>
        <v>0</v>
      </c>
      <c r="H121" s="92">
        <f t="shared" si="20"/>
        <v>0</v>
      </c>
      <c r="I121" s="180">
        <f>AO$91-AO$92</f>
        <v>0</v>
      </c>
      <c r="M121" s="61">
        <f t="shared" si="24"/>
        <v>0</v>
      </c>
      <c r="N121" s="61">
        <f t="shared" si="24"/>
        <v>0</v>
      </c>
      <c r="O121" s="61">
        <f t="shared" si="24"/>
        <v>0</v>
      </c>
      <c r="P121" s="61">
        <f t="shared" si="24"/>
        <v>0</v>
      </c>
      <c r="Q121" s="61">
        <f t="shared" si="24"/>
        <v>0</v>
      </c>
      <c r="R121" s="61">
        <f t="shared" si="24"/>
        <v>0</v>
      </c>
      <c r="S121" s="61">
        <f t="shared" si="24"/>
        <v>0</v>
      </c>
      <c r="T121" s="61">
        <f t="shared" si="24"/>
        <v>0</v>
      </c>
      <c r="U121" s="61">
        <f t="shared" si="24"/>
        <v>0</v>
      </c>
      <c r="V121" s="61">
        <f t="shared" si="24"/>
        <v>0</v>
      </c>
      <c r="W121" s="61">
        <f t="shared" si="23"/>
        <v>0</v>
      </c>
      <c r="X121" s="61">
        <f t="shared" si="23"/>
        <v>0</v>
      </c>
      <c r="Y121" s="61">
        <f t="shared" si="23"/>
        <v>0</v>
      </c>
      <c r="Z121" s="61">
        <f t="shared" si="23"/>
        <v>0</v>
      </c>
      <c r="AA121" s="61">
        <f t="shared" si="23"/>
        <v>0</v>
      </c>
      <c r="AB121" s="61">
        <f t="shared" si="23"/>
        <v>0</v>
      </c>
      <c r="AC121" s="61">
        <f t="shared" si="23"/>
        <v>0</v>
      </c>
      <c r="AD121" s="61">
        <f t="shared" si="23"/>
        <v>0</v>
      </c>
      <c r="AE121" s="61">
        <f t="shared" si="23"/>
        <v>0</v>
      </c>
      <c r="AF121" s="61">
        <f t="shared" si="23"/>
        <v>0</v>
      </c>
      <c r="AG121" s="61">
        <f t="shared" si="23"/>
        <v>0</v>
      </c>
      <c r="AH121" s="61">
        <f t="shared" si="23"/>
        <v>0</v>
      </c>
      <c r="AI121" s="61">
        <f t="shared" si="23"/>
        <v>0</v>
      </c>
      <c r="AJ121" s="61">
        <f t="shared" si="23"/>
        <v>0</v>
      </c>
      <c r="AK121" s="61">
        <f t="shared" si="23"/>
        <v>0</v>
      </c>
      <c r="AL121" s="61">
        <f t="shared" si="23"/>
        <v>0</v>
      </c>
      <c r="AM121" s="61">
        <f t="shared" si="25"/>
        <v>0</v>
      </c>
      <c r="AN121" s="61">
        <f t="shared" si="25"/>
        <v>0</v>
      </c>
      <c r="AO121" s="61">
        <f t="shared" si="25"/>
        <v>0</v>
      </c>
      <c r="AP121" s="61">
        <f t="shared" si="25"/>
        <v>0</v>
      </c>
      <c r="AQ121" s="61"/>
    </row>
    <row r="122" spans="2:43" x14ac:dyDescent="0.25">
      <c r="B122" s="54">
        <v>0.895833333372138</v>
      </c>
      <c r="C122" s="54">
        <v>1.25000000010915</v>
      </c>
      <c r="D122" s="60"/>
      <c r="E122" s="91"/>
      <c r="G122" s="91">
        <f>SUMMARY!AJ76</f>
        <v>0</v>
      </c>
      <c r="H122" s="92">
        <f t="shared" si="20"/>
        <v>0</v>
      </c>
      <c r="I122" s="180">
        <f>AP$91-AP$92</f>
        <v>0</v>
      </c>
      <c r="M122" s="61">
        <f t="shared" si="24"/>
        <v>0</v>
      </c>
      <c r="N122" s="61">
        <f t="shared" si="24"/>
        <v>0</v>
      </c>
      <c r="O122" s="61">
        <f t="shared" si="24"/>
        <v>0</v>
      </c>
      <c r="P122" s="61">
        <f t="shared" si="24"/>
        <v>0</v>
      </c>
      <c r="Q122" s="61">
        <f t="shared" si="24"/>
        <v>0</v>
      </c>
      <c r="R122" s="61">
        <f t="shared" si="24"/>
        <v>0</v>
      </c>
      <c r="S122" s="61">
        <f t="shared" si="24"/>
        <v>0</v>
      </c>
      <c r="T122" s="61">
        <f t="shared" si="24"/>
        <v>0</v>
      </c>
      <c r="U122" s="61">
        <f t="shared" si="24"/>
        <v>0</v>
      </c>
      <c r="V122" s="61">
        <f t="shared" si="24"/>
        <v>0</v>
      </c>
      <c r="W122" s="61">
        <f t="shared" si="23"/>
        <v>0</v>
      </c>
      <c r="X122" s="61">
        <f t="shared" si="23"/>
        <v>0</v>
      </c>
      <c r="Y122" s="61">
        <f t="shared" si="23"/>
        <v>0</v>
      </c>
      <c r="Z122" s="61">
        <f t="shared" si="23"/>
        <v>0</v>
      </c>
      <c r="AA122" s="61">
        <f t="shared" si="23"/>
        <v>0</v>
      </c>
      <c r="AB122" s="61">
        <f t="shared" si="23"/>
        <v>0</v>
      </c>
      <c r="AC122" s="61">
        <f t="shared" si="23"/>
        <v>0</v>
      </c>
      <c r="AD122" s="61">
        <f t="shared" si="23"/>
        <v>0</v>
      </c>
      <c r="AE122" s="61">
        <f t="shared" si="23"/>
        <v>0</v>
      </c>
      <c r="AF122" s="61">
        <f t="shared" si="23"/>
        <v>0</v>
      </c>
      <c r="AG122" s="61">
        <f t="shared" si="23"/>
        <v>0</v>
      </c>
      <c r="AH122" s="61">
        <f t="shared" si="23"/>
        <v>0</v>
      </c>
      <c r="AI122" s="61">
        <f t="shared" si="23"/>
        <v>0</v>
      </c>
      <c r="AJ122" s="61">
        <f t="shared" si="23"/>
        <v>0</v>
      </c>
      <c r="AK122" s="61">
        <f t="shared" si="23"/>
        <v>0</v>
      </c>
      <c r="AL122" s="61">
        <f t="shared" si="23"/>
        <v>0</v>
      </c>
      <c r="AM122" s="61">
        <f t="shared" si="25"/>
        <v>0</v>
      </c>
      <c r="AN122" s="61">
        <f t="shared" si="25"/>
        <v>0</v>
      </c>
      <c r="AO122" s="61">
        <f t="shared" si="25"/>
        <v>0</v>
      </c>
      <c r="AP122" s="61">
        <f t="shared" si="25"/>
        <v>0</v>
      </c>
      <c r="AQ122" s="61"/>
    </row>
    <row r="123" spans="2:43" x14ac:dyDescent="0.25">
      <c r="E123" s="91"/>
      <c r="G123" s="91"/>
      <c r="I123" s="180">
        <f>NCC!$P$36</f>
        <v>0</v>
      </c>
    </row>
    <row r="129" spans="2:43" s="52" customFormat="1" x14ac:dyDescent="0.25">
      <c r="E129" s="53"/>
      <c r="F129" s="53"/>
      <c r="G129" s="53"/>
      <c r="H129" s="53"/>
      <c r="I129" s="53"/>
      <c r="J129" s="53"/>
      <c r="K129" s="58" t="s">
        <v>32</v>
      </c>
      <c r="L129" s="53"/>
      <c r="M129" s="84">
        <f>G134</f>
        <v>0</v>
      </c>
      <c r="N129" s="84">
        <f>M129+G135</f>
        <v>0</v>
      </c>
      <c r="O129" s="84">
        <f>N129+G136</f>
        <v>0</v>
      </c>
      <c r="P129" s="84">
        <f>+O129+G137</f>
        <v>0</v>
      </c>
      <c r="Q129" s="84">
        <f>P129+G138</f>
        <v>0</v>
      </c>
      <c r="R129" s="84">
        <f>Q129+G139</f>
        <v>0</v>
      </c>
      <c r="S129" s="84">
        <f>R129+G140</f>
        <v>0</v>
      </c>
      <c r="T129" s="84">
        <f>S129+G141</f>
        <v>0</v>
      </c>
      <c r="U129" s="84">
        <f>T129+G142-G134</f>
        <v>0</v>
      </c>
      <c r="V129" s="84">
        <f>U129+G143-G135</f>
        <v>0</v>
      </c>
      <c r="W129" s="84">
        <f>V129+G144-G136</f>
        <v>0</v>
      </c>
      <c r="X129" s="84">
        <f>W129+G145-G137</f>
        <v>0</v>
      </c>
      <c r="Y129" s="84">
        <f>X129+G146-G138</f>
        <v>0</v>
      </c>
      <c r="Z129" s="84">
        <f>Y129+G147-G139</f>
        <v>0</v>
      </c>
      <c r="AA129" s="84">
        <f>Z129+G148-G140</f>
        <v>0</v>
      </c>
      <c r="AB129" s="84">
        <f>AA129+G149-G141</f>
        <v>0</v>
      </c>
      <c r="AC129" s="84">
        <f>AB129+G150-G142</f>
        <v>0</v>
      </c>
      <c r="AD129" s="84">
        <f>AC129+G151-G143</f>
        <v>0</v>
      </c>
      <c r="AE129" s="84">
        <f>AD129+G152-G144</f>
        <v>0</v>
      </c>
      <c r="AF129" s="84">
        <f>AE129+G153-G145</f>
        <v>0</v>
      </c>
      <c r="AG129" s="84">
        <f>AF129+G154-G146</f>
        <v>0</v>
      </c>
      <c r="AH129" s="84">
        <f>AG129+G155-G147</f>
        <v>0</v>
      </c>
      <c r="AI129" s="84">
        <f>AH129+G156-G148</f>
        <v>0</v>
      </c>
      <c r="AJ129" s="84">
        <f>AI129+G157-G149</f>
        <v>0</v>
      </c>
      <c r="AK129" s="84">
        <f>AJ129+G158-G150</f>
        <v>0</v>
      </c>
      <c r="AL129" s="84">
        <f>AK129+G159-G151</f>
        <v>0</v>
      </c>
      <c r="AM129" s="84">
        <f>AL129+G160-G152</f>
        <v>0</v>
      </c>
      <c r="AN129" s="84">
        <f>AM129+G161-G153</f>
        <v>0</v>
      </c>
      <c r="AO129" s="84">
        <f>AN129+G162-G154</f>
        <v>0</v>
      </c>
      <c r="AP129" s="84">
        <f>AO129+G163-G155</f>
        <v>0</v>
      </c>
      <c r="AQ129" s="84">
        <f>SUM(M129:AP129)/8.5</f>
        <v>0</v>
      </c>
    </row>
    <row r="130" spans="2:43" x14ac:dyDescent="0.25">
      <c r="J130" s="57"/>
      <c r="K130" s="58" t="s">
        <v>31</v>
      </c>
      <c r="M130" s="84">
        <f>F134</f>
        <v>0</v>
      </c>
      <c r="N130" s="84">
        <f>M130+F135</f>
        <v>0</v>
      </c>
      <c r="O130" s="84">
        <f>N130+F136</f>
        <v>0</v>
      </c>
      <c r="P130" s="84">
        <f>O130+F137</f>
        <v>0</v>
      </c>
      <c r="Q130" s="84">
        <f>P130+F138</f>
        <v>0</v>
      </c>
      <c r="R130" s="84">
        <f>Q130+F139</f>
        <v>0</v>
      </c>
      <c r="S130" s="84">
        <f>R130+F140</f>
        <v>0</v>
      </c>
      <c r="T130" s="84">
        <f>S130+F141</f>
        <v>0</v>
      </c>
      <c r="U130" s="84">
        <f>T130+F142</f>
        <v>0</v>
      </c>
      <c r="V130" s="84">
        <f>U130</f>
        <v>0</v>
      </c>
      <c r="W130" s="84">
        <f>V130</f>
        <v>0</v>
      </c>
      <c r="X130" s="84">
        <f>W130</f>
        <v>0</v>
      </c>
      <c r="Y130" s="96"/>
      <c r="Z130" s="96"/>
      <c r="AA130" s="96"/>
      <c r="AB130" s="96"/>
      <c r="AC130" s="84">
        <f t="shared" ref="AC130:AN130" si="26">M130</f>
        <v>0</v>
      </c>
      <c r="AD130" s="84">
        <f t="shared" si="26"/>
        <v>0</v>
      </c>
      <c r="AE130" s="84">
        <f t="shared" si="26"/>
        <v>0</v>
      </c>
      <c r="AF130" s="84">
        <f t="shared" si="26"/>
        <v>0</v>
      </c>
      <c r="AG130" s="84">
        <f t="shared" si="26"/>
        <v>0</v>
      </c>
      <c r="AH130" s="84">
        <f t="shared" si="26"/>
        <v>0</v>
      </c>
      <c r="AI130" s="84">
        <f t="shared" si="26"/>
        <v>0</v>
      </c>
      <c r="AJ130" s="84">
        <f t="shared" si="26"/>
        <v>0</v>
      </c>
      <c r="AK130" s="84">
        <f t="shared" si="26"/>
        <v>0</v>
      </c>
      <c r="AL130" s="84">
        <f t="shared" si="26"/>
        <v>0</v>
      </c>
      <c r="AM130" s="84">
        <f t="shared" si="26"/>
        <v>0</v>
      </c>
      <c r="AN130" s="84">
        <f t="shared" si="26"/>
        <v>0</v>
      </c>
      <c r="AO130" s="84"/>
      <c r="AP130" s="84"/>
      <c r="AQ130" s="182"/>
    </row>
    <row r="131" spans="2:43" s="57" customFormat="1" ht="17.25" customHeight="1" x14ac:dyDescent="0.25">
      <c r="K131" s="58" t="s">
        <v>13</v>
      </c>
      <c r="M131" s="84"/>
      <c r="N131" s="84"/>
      <c r="O131" s="84"/>
      <c r="P131" s="84"/>
      <c r="Q131" s="84"/>
      <c r="R131" s="84"/>
      <c r="S131" s="84"/>
      <c r="T131" s="84"/>
      <c r="U131" s="84">
        <f>M130</f>
        <v>0</v>
      </c>
      <c r="V131" s="84">
        <f>N130</f>
        <v>0</v>
      </c>
      <c r="W131" s="84">
        <f>O130</f>
        <v>0</v>
      </c>
      <c r="X131" s="84">
        <f>P130</f>
        <v>0</v>
      </c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>
        <f>AC130</f>
        <v>0</v>
      </c>
      <c r="AL131" s="84">
        <f>AD130</f>
        <v>0</v>
      </c>
      <c r="AM131" s="84">
        <f>AE130</f>
        <v>0</v>
      </c>
      <c r="AN131" s="84">
        <f>AF130</f>
        <v>0</v>
      </c>
      <c r="AO131" s="84"/>
      <c r="AP131" s="85"/>
      <c r="AQ131" s="86"/>
    </row>
    <row r="132" spans="2:43" s="57" customFormat="1" ht="17.25" customHeight="1" x14ac:dyDescent="0.25">
      <c r="B132" s="57" t="s">
        <v>19</v>
      </c>
      <c r="E132" s="59" t="s">
        <v>8</v>
      </c>
      <c r="F132" s="59" t="s">
        <v>15</v>
      </c>
      <c r="G132" s="59" t="s">
        <v>32</v>
      </c>
      <c r="H132" s="59" t="s">
        <v>16</v>
      </c>
      <c r="J132" s="58" t="s">
        <v>9</v>
      </c>
      <c r="K132" s="58">
        <f>SUM(M132:AP132)/16</f>
        <v>0</v>
      </c>
      <c r="M132" s="87">
        <f t="shared" ref="M132:AP132" si="27">SUM(M134:M163)+M130+M129-M131</f>
        <v>0</v>
      </c>
      <c r="N132" s="87">
        <f t="shared" si="27"/>
        <v>0</v>
      </c>
      <c r="O132" s="87">
        <f t="shared" si="27"/>
        <v>0</v>
      </c>
      <c r="P132" s="87">
        <f t="shared" si="27"/>
        <v>0</v>
      </c>
      <c r="Q132" s="87">
        <f t="shared" si="27"/>
        <v>0</v>
      </c>
      <c r="R132" s="87">
        <f t="shared" si="27"/>
        <v>0</v>
      </c>
      <c r="S132" s="87">
        <f t="shared" si="27"/>
        <v>0</v>
      </c>
      <c r="T132" s="87">
        <f t="shared" si="27"/>
        <v>0</v>
      </c>
      <c r="U132" s="87">
        <f t="shared" si="27"/>
        <v>0</v>
      </c>
      <c r="V132" s="87">
        <f t="shared" si="27"/>
        <v>0</v>
      </c>
      <c r="W132" s="87">
        <f t="shared" si="27"/>
        <v>0</v>
      </c>
      <c r="X132" s="87">
        <f t="shared" si="27"/>
        <v>0</v>
      </c>
      <c r="Y132" s="87">
        <f t="shared" si="27"/>
        <v>0</v>
      </c>
      <c r="Z132" s="87">
        <f t="shared" si="27"/>
        <v>0</v>
      </c>
      <c r="AA132" s="87">
        <f t="shared" si="27"/>
        <v>0</v>
      </c>
      <c r="AB132" s="87">
        <f t="shared" si="27"/>
        <v>0</v>
      </c>
      <c r="AC132" s="87">
        <f t="shared" si="27"/>
        <v>0</v>
      </c>
      <c r="AD132" s="87">
        <f t="shared" si="27"/>
        <v>0</v>
      </c>
      <c r="AE132" s="87">
        <f t="shared" si="27"/>
        <v>0</v>
      </c>
      <c r="AF132" s="87">
        <f t="shared" si="27"/>
        <v>0</v>
      </c>
      <c r="AG132" s="87">
        <f t="shared" si="27"/>
        <v>0</v>
      </c>
      <c r="AH132" s="87">
        <f t="shared" si="27"/>
        <v>0</v>
      </c>
      <c r="AI132" s="87">
        <f t="shared" si="27"/>
        <v>0</v>
      </c>
      <c r="AJ132" s="87">
        <f t="shared" si="27"/>
        <v>0</v>
      </c>
      <c r="AK132" s="87">
        <f t="shared" si="27"/>
        <v>0</v>
      </c>
      <c r="AL132" s="87">
        <f t="shared" si="27"/>
        <v>0</v>
      </c>
      <c r="AM132" s="87">
        <f t="shared" si="27"/>
        <v>0</v>
      </c>
      <c r="AN132" s="87">
        <f t="shared" si="27"/>
        <v>0</v>
      </c>
      <c r="AO132" s="87">
        <f t="shared" si="27"/>
        <v>0</v>
      </c>
      <c r="AP132" s="87">
        <f t="shared" si="27"/>
        <v>0</v>
      </c>
      <c r="AQ132" s="87"/>
    </row>
    <row r="133" spans="2:43" s="88" customFormat="1" x14ac:dyDescent="0.25">
      <c r="E133" s="178">
        <f>SUM(E134:E163)</f>
        <v>0</v>
      </c>
      <c r="F133" s="178">
        <f>SUM(F134:F163)</f>
        <v>0</v>
      </c>
      <c r="G133" s="178">
        <f>SUM(G134:G163)</f>
        <v>0</v>
      </c>
      <c r="H133" s="178">
        <f>SUM(H134:H163)</f>
        <v>0</v>
      </c>
      <c r="I133" s="89"/>
      <c r="J133" s="89"/>
      <c r="K133" s="58" t="s">
        <v>7</v>
      </c>
      <c r="L133" s="89"/>
      <c r="M133" s="180">
        <f>SUMMARY!$H$6</f>
        <v>0</v>
      </c>
      <c r="N133" s="180">
        <f>SUMMARY!$H$7</f>
        <v>0</v>
      </c>
      <c r="O133" s="180">
        <f>SUMMARY!$H$8</f>
        <v>0</v>
      </c>
      <c r="P133" s="180">
        <f>SUMMARY!$H$9</f>
        <v>0</v>
      </c>
      <c r="Q133" s="180">
        <f>SUMMARY!$H$10</f>
        <v>0</v>
      </c>
      <c r="R133" s="180">
        <f>SUMMARY!$H$11</f>
        <v>0</v>
      </c>
      <c r="S133" s="180">
        <f>SUMMARY!$H$12</f>
        <v>0</v>
      </c>
      <c r="T133" s="180">
        <f>SUMMARY!$H$13</f>
        <v>0</v>
      </c>
      <c r="U133" s="180">
        <f>SUMMARY!$H$14</f>
        <v>0</v>
      </c>
      <c r="V133" s="180">
        <f>SUMMARY!$H$15</f>
        <v>0</v>
      </c>
      <c r="W133" s="180">
        <f>SUMMARY!$H$16</f>
        <v>0</v>
      </c>
      <c r="X133" s="180">
        <f>SUMMARY!$H$17</f>
        <v>0</v>
      </c>
      <c r="Y133" s="180">
        <f>SUMMARY!$H$18</f>
        <v>0</v>
      </c>
      <c r="Z133" s="180">
        <f>SUMMARY!$H$19</f>
        <v>0</v>
      </c>
      <c r="AA133" s="180">
        <f>SUMMARY!$H$20</f>
        <v>0</v>
      </c>
      <c r="AB133" s="180">
        <f>SUMMARY!$H$21</f>
        <v>0</v>
      </c>
      <c r="AC133" s="180">
        <f>SUMMARY!$H$22</f>
        <v>0</v>
      </c>
      <c r="AD133" s="180">
        <f>SUMMARY!$H$23</f>
        <v>0</v>
      </c>
      <c r="AE133" s="180">
        <f>SUMMARY!$H$24</f>
        <v>0</v>
      </c>
      <c r="AF133" s="180">
        <f>SUMMARY!$H$25</f>
        <v>0</v>
      </c>
      <c r="AG133" s="180">
        <f>SUMMARY!$H$26</f>
        <v>0</v>
      </c>
      <c r="AH133" s="180">
        <f>SUMMARY!$H$27</f>
        <v>0</v>
      </c>
      <c r="AI133" s="180">
        <f>SUMMARY!$H$28</f>
        <v>0</v>
      </c>
      <c r="AJ133" s="180">
        <f>SUMMARY!$H$29</f>
        <v>0</v>
      </c>
      <c r="AK133" s="180">
        <f>SUMMARY!$H$30</f>
        <v>0</v>
      </c>
      <c r="AL133" s="180">
        <f>SUMMARY!$H$31</f>
        <v>0</v>
      </c>
      <c r="AM133" s="180">
        <f>SUMMARY!$H$32</f>
        <v>0</v>
      </c>
      <c r="AN133" s="180">
        <f>SUMMARY!$H$33</f>
        <v>0</v>
      </c>
      <c r="AO133" s="180">
        <f>SUMMARY!$H$34</f>
        <v>0</v>
      </c>
      <c r="AP133" s="180">
        <f>SUMMARY!$H$35</f>
        <v>0</v>
      </c>
      <c r="AQ133" s="90"/>
    </row>
    <row r="134" spans="2:43" x14ac:dyDescent="0.25">
      <c r="B134" s="54">
        <v>0.29166666666424135</v>
      </c>
      <c r="C134" s="54">
        <v>0.645833333372138</v>
      </c>
      <c r="D134" s="60"/>
      <c r="E134" s="91">
        <f>SUMMARY!Z47</f>
        <v>0</v>
      </c>
      <c r="F134" s="91">
        <f>SUMMARY!AR47</f>
        <v>0</v>
      </c>
      <c r="G134" s="91">
        <f>SUMMARY!AK47</f>
        <v>0</v>
      </c>
      <c r="H134" s="92">
        <f t="shared" ref="H134:H163" si="28">SUM(E134:G134)</f>
        <v>0</v>
      </c>
      <c r="I134" s="180">
        <f>M$132-M$133</f>
        <v>0</v>
      </c>
      <c r="M134" s="61">
        <f t="shared" ref="M134:AB149" si="29">IF(AND(M$2&gt;=$B134,M$2&lt;$C134),$E134,0)</f>
        <v>0</v>
      </c>
      <c r="N134" s="61">
        <f t="shared" si="29"/>
        <v>0</v>
      </c>
      <c r="O134" s="61">
        <f t="shared" si="29"/>
        <v>0</v>
      </c>
      <c r="P134" s="61">
        <f t="shared" si="29"/>
        <v>0</v>
      </c>
      <c r="Q134" s="61">
        <f t="shared" si="29"/>
        <v>0</v>
      </c>
      <c r="R134" s="61">
        <f t="shared" si="29"/>
        <v>0</v>
      </c>
      <c r="S134" s="61">
        <f t="shared" si="29"/>
        <v>0</v>
      </c>
      <c r="T134" s="61">
        <f t="shared" si="29"/>
        <v>0</v>
      </c>
      <c r="U134" s="61">
        <f t="shared" si="29"/>
        <v>0</v>
      </c>
      <c r="V134" s="61">
        <f t="shared" si="29"/>
        <v>0</v>
      </c>
      <c r="W134" s="61">
        <f t="shared" si="29"/>
        <v>0</v>
      </c>
      <c r="X134" s="61">
        <f t="shared" si="29"/>
        <v>0</v>
      </c>
      <c r="Y134" s="61">
        <f t="shared" si="29"/>
        <v>0</v>
      </c>
      <c r="Z134" s="61">
        <f t="shared" si="29"/>
        <v>0</v>
      </c>
      <c r="AA134" s="61">
        <f t="shared" si="29"/>
        <v>0</v>
      </c>
      <c r="AB134" s="61">
        <f t="shared" si="29"/>
        <v>0</v>
      </c>
      <c r="AC134" s="61">
        <f t="shared" ref="AC134:AP149" si="30">IF(AND(AC$2&gt;=$B134,AC$2&lt;$C134),$E134,0)</f>
        <v>0</v>
      </c>
      <c r="AD134" s="61">
        <f t="shared" si="30"/>
        <v>0</v>
      </c>
      <c r="AE134" s="61">
        <f t="shared" si="30"/>
        <v>0</v>
      </c>
      <c r="AF134" s="61">
        <f t="shared" si="30"/>
        <v>0</v>
      </c>
      <c r="AG134" s="61">
        <f t="shared" si="30"/>
        <v>0</v>
      </c>
      <c r="AH134" s="61">
        <f t="shared" si="30"/>
        <v>0</v>
      </c>
      <c r="AI134" s="61">
        <f t="shared" si="30"/>
        <v>0</v>
      </c>
      <c r="AJ134" s="61">
        <f t="shared" si="30"/>
        <v>0</v>
      </c>
      <c r="AK134" s="61">
        <f t="shared" si="30"/>
        <v>0</v>
      </c>
      <c r="AL134" s="61">
        <f t="shared" si="30"/>
        <v>0</v>
      </c>
      <c r="AM134" s="61">
        <f t="shared" si="30"/>
        <v>0</v>
      </c>
      <c r="AN134" s="61">
        <f t="shared" si="30"/>
        <v>0</v>
      </c>
      <c r="AO134" s="61">
        <f t="shared" si="30"/>
        <v>0</v>
      </c>
      <c r="AP134" s="61">
        <f t="shared" si="30"/>
        <v>0</v>
      </c>
      <c r="AQ134" s="61"/>
    </row>
    <row r="135" spans="2:43" x14ac:dyDescent="0.25">
      <c r="B135" s="54">
        <v>0.3125</v>
      </c>
      <c r="C135" s="54">
        <v>0.66666666670789698</v>
      </c>
      <c r="D135" s="60"/>
      <c r="E135" s="91">
        <f>SUMMARY!Z48</f>
        <v>0</v>
      </c>
      <c r="F135" s="91">
        <f>SUMMARY!AR48</f>
        <v>0</v>
      </c>
      <c r="G135" s="91">
        <f>SUMMARY!AK48</f>
        <v>0</v>
      </c>
      <c r="H135" s="92">
        <f t="shared" si="28"/>
        <v>0</v>
      </c>
      <c r="I135" s="180">
        <f>N$132-N$133</f>
        <v>0</v>
      </c>
      <c r="M135" s="61">
        <f t="shared" si="29"/>
        <v>0</v>
      </c>
      <c r="N135" s="61">
        <f t="shared" si="29"/>
        <v>0</v>
      </c>
      <c r="O135" s="61">
        <f t="shared" si="29"/>
        <v>0</v>
      </c>
      <c r="P135" s="61">
        <f t="shared" si="29"/>
        <v>0</v>
      </c>
      <c r="Q135" s="61">
        <f t="shared" si="29"/>
        <v>0</v>
      </c>
      <c r="R135" s="61">
        <f t="shared" si="29"/>
        <v>0</v>
      </c>
      <c r="S135" s="61">
        <f t="shared" si="29"/>
        <v>0</v>
      </c>
      <c r="T135" s="61">
        <f t="shared" si="29"/>
        <v>0</v>
      </c>
      <c r="U135" s="61">
        <f t="shared" si="29"/>
        <v>0</v>
      </c>
      <c r="V135" s="61">
        <f t="shared" si="29"/>
        <v>0</v>
      </c>
      <c r="W135" s="61">
        <f t="shared" si="29"/>
        <v>0</v>
      </c>
      <c r="X135" s="61">
        <f t="shared" si="29"/>
        <v>0</v>
      </c>
      <c r="Y135" s="61">
        <f t="shared" si="29"/>
        <v>0</v>
      </c>
      <c r="Z135" s="61">
        <f t="shared" si="29"/>
        <v>0</v>
      </c>
      <c r="AA135" s="61">
        <f t="shared" si="29"/>
        <v>0</v>
      </c>
      <c r="AB135" s="61">
        <f t="shared" si="29"/>
        <v>0</v>
      </c>
      <c r="AC135" s="61">
        <f t="shared" si="30"/>
        <v>0</v>
      </c>
      <c r="AD135" s="61">
        <f t="shared" si="30"/>
        <v>0</v>
      </c>
      <c r="AE135" s="61">
        <f t="shared" si="30"/>
        <v>0</v>
      </c>
      <c r="AF135" s="61">
        <f t="shared" si="30"/>
        <v>0</v>
      </c>
      <c r="AG135" s="61">
        <f t="shared" si="30"/>
        <v>0</v>
      </c>
      <c r="AH135" s="61">
        <f t="shared" si="30"/>
        <v>0</v>
      </c>
      <c r="AI135" s="61">
        <f t="shared" si="30"/>
        <v>0</v>
      </c>
      <c r="AJ135" s="61">
        <f t="shared" si="30"/>
        <v>0</v>
      </c>
      <c r="AK135" s="61">
        <f t="shared" si="30"/>
        <v>0</v>
      </c>
      <c r="AL135" s="61">
        <f t="shared" si="30"/>
        <v>0</v>
      </c>
      <c r="AM135" s="61">
        <f t="shared" si="30"/>
        <v>0</v>
      </c>
      <c r="AN135" s="61">
        <f t="shared" si="30"/>
        <v>0</v>
      </c>
      <c r="AO135" s="61">
        <f t="shared" si="30"/>
        <v>0</v>
      </c>
      <c r="AP135" s="61">
        <f t="shared" si="30"/>
        <v>0</v>
      </c>
      <c r="AQ135" s="61"/>
    </row>
    <row r="136" spans="2:43" x14ac:dyDescent="0.25">
      <c r="B136" s="54">
        <v>0.33333333333575865</v>
      </c>
      <c r="C136" s="54">
        <v>0.68750000004365597</v>
      </c>
      <c r="D136" s="60"/>
      <c r="E136" s="91">
        <f>SUMMARY!Z49</f>
        <v>0</v>
      </c>
      <c r="F136" s="91">
        <f>SUMMARY!AR49</f>
        <v>0</v>
      </c>
      <c r="G136" s="91">
        <f>SUMMARY!AK49</f>
        <v>0</v>
      </c>
      <c r="H136" s="92">
        <f t="shared" si="28"/>
        <v>0</v>
      </c>
      <c r="I136" s="180">
        <f>O$132-O$133</f>
        <v>0</v>
      </c>
      <c r="M136" s="61">
        <f t="shared" si="29"/>
        <v>0</v>
      </c>
      <c r="N136" s="61">
        <f t="shared" si="29"/>
        <v>0</v>
      </c>
      <c r="O136" s="61">
        <f t="shared" si="29"/>
        <v>0</v>
      </c>
      <c r="P136" s="61">
        <f t="shared" si="29"/>
        <v>0</v>
      </c>
      <c r="Q136" s="61">
        <f t="shared" si="29"/>
        <v>0</v>
      </c>
      <c r="R136" s="61">
        <f t="shared" si="29"/>
        <v>0</v>
      </c>
      <c r="S136" s="61">
        <f t="shared" si="29"/>
        <v>0</v>
      </c>
      <c r="T136" s="61">
        <f t="shared" si="29"/>
        <v>0</v>
      </c>
      <c r="U136" s="61">
        <f t="shared" si="29"/>
        <v>0</v>
      </c>
      <c r="V136" s="61">
        <f t="shared" si="29"/>
        <v>0</v>
      </c>
      <c r="W136" s="61">
        <f t="shared" si="29"/>
        <v>0</v>
      </c>
      <c r="X136" s="61">
        <f t="shared" si="29"/>
        <v>0</v>
      </c>
      <c r="Y136" s="61">
        <f t="shared" si="29"/>
        <v>0</v>
      </c>
      <c r="Z136" s="61">
        <f t="shared" si="29"/>
        <v>0</v>
      </c>
      <c r="AA136" s="61">
        <f t="shared" si="29"/>
        <v>0</v>
      </c>
      <c r="AB136" s="61">
        <f t="shared" si="29"/>
        <v>0</v>
      </c>
      <c r="AC136" s="61">
        <f t="shared" si="30"/>
        <v>0</v>
      </c>
      <c r="AD136" s="61">
        <f t="shared" si="30"/>
        <v>0</v>
      </c>
      <c r="AE136" s="61">
        <f t="shared" si="30"/>
        <v>0</v>
      </c>
      <c r="AF136" s="61"/>
      <c r="AG136" s="61">
        <f t="shared" si="30"/>
        <v>0</v>
      </c>
      <c r="AH136" s="61">
        <f t="shared" si="30"/>
        <v>0</v>
      </c>
      <c r="AI136" s="61">
        <f t="shared" si="30"/>
        <v>0</v>
      </c>
      <c r="AJ136" s="61">
        <f t="shared" si="30"/>
        <v>0</v>
      </c>
      <c r="AK136" s="61">
        <f t="shared" si="30"/>
        <v>0</v>
      </c>
      <c r="AL136" s="61">
        <f t="shared" si="30"/>
        <v>0</v>
      </c>
      <c r="AM136" s="61">
        <f t="shared" si="30"/>
        <v>0</v>
      </c>
      <c r="AN136" s="61">
        <f t="shared" si="30"/>
        <v>0</v>
      </c>
      <c r="AO136" s="61">
        <f t="shared" si="30"/>
        <v>0</v>
      </c>
      <c r="AP136" s="61">
        <f t="shared" si="30"/>
        <v>0</v>
      </c>
      <c r="AQ136" s="61"/>
    </row>
    <row r="137" spans="2:43" x14ac:dyDescent="0.25">
      <c r="B137" s="54">
        <v>0.35416666666424135</v>
      </c>
      <c r="C137" s="54">
        <v>0.70833333337941495</v>
      </c>
      <c r="D137" s="60"/>
      <c r="E137" s="91">
        <f>SUMMARY!Z50</f>
        <v>0</v>
      </c>
      <c r="F137" s="91">
        <f>SUMMARY!AR50</f>
        <v>0</v>
      </c>
      <c r="G137" s="91">
        <f>SUMMARY!AK50</f>
        <v>0</v>
      </c>
      <c r="H137" s="92">
        <f t="shared" si="28"/>
        <v>0</v>
      </c>
      <c r="I137" s="180">
        <f>P$132-P$133</f>
        <v>0</v>
      </c>
      <c r="M137" s="61">
        <f t="shared" si="29"/>
        <v>0</v>
      </c>
      <c r="N137" s="61">
        <f t="shared" si="29"/>
        <v>0</v>
      </c>
      <c r="O137" s="61">
        <f t="shared" si="29"/>
        <v>0</v>
      </c>
      <c r="P137" s="61">
        <f t="shared" si="29"/>
        <v>0</v>
      </c>
      <c r="Q137" s="61">
        <f t="shared" si="29"/>
        <v>0</v>
      </c>
      <c r="R137" s="61">
        <f t="shared" si="29"/>
        <v>0</v>
      </c>
      <c r="S137" s="61">
        <f t="shared" si="29"/>
        <v>0</v>
      </c>
      <c r="T137" s="61">
        <f t="shared" si="29"/>
        <v>0</v>
      </c>
      <c r="U137" s="61">
        <f t="shared" si="29"/>
        <v>0</v>
      </c>
      <c r="V137" s="61">
        <f t="shared" si="29"/>
        <v>0</v>
      </c>
      <c r="W137" s="61">
        <f t="shared" si="29"/>
        <v>0</v>
      </c>
      <c r="X137" s="61">
        <f t="shared" si="29"/>
        <v>0</v>
      </c>
      <c r="Y137" s="61">
        <f t="shared" si="29"/>
        <v>0</v>
      </c>
      <c r="Z137" s="61">
        <f t="shared" si="29"/>
        <v>0</v>
      </c>
      <c r="AA137" s="61">
        <f t="shared" si="29"/>
        <v>0</v>
      </c>
      <c r="AB137" s="61">
        <f t="shared" si="29"/>
        <v>0</v>
      </c>
      <c r="AC137" s="61">
        <f t="shared" si="30"/>
        <v>0</v>
      </c>
      <c r="AD137" s="61">
        <f t="shared" si="30"/>
        <v>0</v>
      </c>
      <c r="AE137" s="61">
        <f t="shared" si="30"/>
        <v>0</v>
      </c>
      <c r="AF137" s="61">
        <f t="shared" si="30"/>
        <v>0</v>
      </c>
      <c r="AG137" s="61"/>
      <c r="AH137" s="61">
        <f t="shared" si="30"/>
        <v>0</v>
      </c>
      <c r="AI137" s="61">
        <f t="shared" si="30"/>
        <v>0</v>
      </c>
      <c r="AJ137" s="61">
        <f t="shared" si="30"/>
        <v>0</v>
      </c>
      <c r="AK137" s="61">
        <f t="shared" si="30"/>
        <v>0</v>
      </c>
      <c r="AL137" s="61">
        <f t="shared" si="30"/>
        <v>0</v>
      </c>
      <c r="AM137" s="61">
        <f t="shared" si="30"/>
        <v>0</v>
      </c>
      <c r="AN137" s="61">
        <f t="shared" si="30"/>
        <v>0</v>
      </c>
      <c r="AO137" s="61">
        <f t="shared" si="30"/>
        <v>0</v>
      </c>
      <c r="AP137" s="61">
        <f t="shared" si="30"/>
        <v>0</v>
      </c>
      <c r="AQ137" s="61"/>
    </row>
    <row r="138" spans="2:43" x14ac:dyDescent="0.25">
      <c r="B138" s="54">
        <v>0.375</v>
      </c>
      <c r="C138" s="54">
        <v>0.72916666671517405</v>
      </c>
      <c r="D138" s="60"/>
      <c r="E138" s="91">
        <f>SUMMARY!Z51</f>
        <v>0</v>
      </c>
      <c r="F138" s="91">
        <f>SUMMARY!AR51</f>
        <v>0</v>
      </c>
      <c r="G138" s="91">
        <f>SUMMARY!AK51</f>
        <v>0</v>
      </c>
      <c r="H138" s="92">
        <f>SUM(E138:G138)</f>
        <v>0</v>
      </c>
      <c r="I138" s="180">
        <f>Q$132-Q$133</f>
        <v>0</v>
      </c>
      <c r="M138" s="61">
        <f t="shared" si="29"/>
        <v>0</v>
      </c>
      <c r="N138" s="61">
        <f t="shared" si="29"/>
        <v>0</v>
      </c>
      <c r="O138" s="61">
        <f t="shared" si="29"/>
        <v>0</v>
      </c>
      <c r="P138" s="61">
        <f t="shared" si="29"/>
        <v>0</v>
      </c>
      <c r="Q138" s="61">
        <f t="shared" si="29"/>
        <v>0</v>
      </c>
      <c r="R138" s="61">
        <f t="shared" si="29"/>
        <v>0</v>
      </c>
      <c r="S138" s="61">
        <f t="shared" si="29"/>
        <v>0</v>
      </c>
      <c r="T138" s="61">
        <f t="shared" si="29"/>
        <v>0</v>
      </c>
      <c r="U138" s="61">
        <f t="shared" si="29"/>
        <v>0</v>
      </c>
      <c r="V138" s="61">
        <f t="shared" si="29"/>
        <v>0</v>
      </c>
      <c r="W138" s="61">
        <f t="shared" si="29"/>
        <v>0</v>
      </c>
      <c r="X138" s="61">
        <f t="shared" si="29"/>
        <v>0</v>
      </c>
      <c r="Y138" s="61">
        <f t="shared" si="29"/>
        <v>0</v>
      </c>
      <c r="Z138" s="61">
        <f t="shared" si="29"/>
        <v>0</v>
      </c>
      <c r="AA138" s="61">
        <f t="shared" si="29"/>
        <v>0</v>
      </c>
      <c r="AB138" s="61">
        <f t="shared" si="29"/>
        <v>0</v>
      </c>
      <c r="AC138" s="61">
        <f t="shared" si="30"/>
        <v>0</v>
      </c>
      <c r="AD138" s="61">
        <f t="shared" si="30"/>
        <v>0</v>
      </c>
      <c r="AE138" s="61">
        <f t="shared" si="30"/>
        <v>0</v>
      </c>
      <c r="AF138" s="61">
        <f t="shared" si="30"/>
        <v>0</v>
      </c>
      <c r="AG138" s="61">
        <f t="shared" si="30"/>
        <v>0</v>
      </c>
      <c r="AH138" s="61"/>
      <c r="AI138" s="61">
        <f t="shared" si="30"/>
        <v>0</v>
      </c>
      <c r="AJ138" s="61">
        <f t="shared" si="30"/>
        <v>0</v>
      </c>
      <c r="AK138" s="61">
        <f t="shared" si="30"/>
        <v>0</v>
      </c>
      <c r="AL138" s="61">
        <f t="shared" si="30"/>
        <v>0</v>
      </c>
      <c r="AM138" s="61">
        <f t="shared" si="30"/>
        <v>0</v>
      </c>
      <c r="AN138" s="61">
        <f t="shared" si="30"/>
        <v>0</v>
      </c>
      <c r="AO138" s="61">
        <f t="shared" si="30"/>
        <v>0</v>
      </c>
      <c r="AP138" s="61">
        <f t="shared" si="30"/>
        <v>0</v>
      </c>
      <c r="AQ138" s="61"/>
    </row>
    <row r="139" spans="2:43" x14ac:dyDescent="0.25">
      <c r="B139" s="54">
        <v>0.39583333333575865</v>
      </c>
      <c r="C139" s="54">
        <v>0.75000000005093304</v>
      </c>
      <c r="D139" s="60"/>
      <c r="E139" s="91">
        <f>SUMMARY!Z52</f>
        <v>0</v>
      </c>
      <c r="F139" s="91">
        <f>SUMMARY!AR52</f>
        <v>0</v>
      </c>
      <c r="G139" s="91">
        <f>SUMMARY!AK52</f>
        <v>0</v>
      </c>
      <c r="H139" s="92">
        <f t="shared" si="28"/>
        <v>0</v>
      </c>
      <c r="I139" s="180">
        <f>R$132-R$133</f>
        <v>0</v>
      </c>
      <c r="M139" s="61">
        <f t="shared" si="29"/>
        <v>0</v>
      </c>
      <c r="N139" s="61">
        <f t="shared" si="29"/>
        <v>0</v>
      </c>
      <c r="O139" s="61">
        <f t="shared" si="29"/>
        <v>0</v>
      </c>
      <c r="P139" s="61">
        <f t="shared" si="29"/>
        <v>0</v>
      </c>
      <c r="Q139" s="61">
        <f t="shared" si="29"/>
        <v>0</v>
      </c>
      <c r="R139" s="61">
        <f t="shared" si="29"/>
        <v>0</v>
      </c>
      <c r="S139" s="61">
        <f t="shared" si="29"/>
        <v>0</v>
      </c>
      <c r="T139" s="61">
        <f t="shared" si="29"/>
        <v>0</v>
      </c>
      <c r="U139" s="61">
        <f t="shared" si="29"/>
        <v>0</v>
      </c>
      <c r="V139" s="61">
        <f t="shared" si="29"/>
        <v>0</v>
      </c>
      <c r="W139" s="61">
        <f t="shared" si="29"/>
        <v>0</v>
      </c>
      <c r="X139" s="61">
        <f t="shared" si="29"/>
        <v>0</v>
      </c>
      <c r="Y139" s="61">
        <f t="shared" si="29"/>
        <v>0</v>
      </c>
      <c r="Z139" s="61">
        <f t="shared" si="29"/>
        <v>0</v>
      </c>
      <c r="AA139" s="61">
        <f t="shared" si="29"/>
        <v>0</v>
      </c>
      <c r="AB139" s="61">
        <f t="shared" si="29"/>
        <v>0</v>
      </c>
      <c r="AC139" s="61">
        <f t="shared" si="30"/>
        <v>0</v>
      </c>
      <c r="AD139" s="61">
        <f t="shared" si="30"/>
        <v>0</v>
      </c>
      <c r="AE139" s="61">
        <f t="shared" si="30"/>
        <v>0</v>
      </c>
      <c r="AF139" s="61">
        <f t="shared" si="30"/>
        <v>0</v>
      </c>
      <c r="AG139" s="61">
        <f t="shared" si="30"/>
        <v>0</v>
      </c>
      <c r="AH139" s="61">
        <f t="shared" si="30"/>
        <v>0</v>
      </c>
      <c r="AI139" s="61"/>
      <c r="AJ139" s="61">
        <f t="shared" si="30"/>
        <v>0</v>
      </c>
      <c r="AK139" s="61">
        <f t="shared" si="30"/>
        <v>0</v>
      </c>
      <c r="AL139" s="61">
        <f t="shared" si="30"/>
        <v>0</v>
      </c>
      <c r="AM139" s="61">
        <f t="shared" si="30"/>
        <v>0</v>
      </c>
      <c r="AN139" s="61">
        <f t="shared" si="30"/>
        <v>0</v>
      </c>
      <c r="AO139" s="61">
        <f t="shared" si="30"/>
        <v>0</v>
      </c>
      <c r="AP139" s="61">
        <f t="shared" si="30"/>
        <v>0</v>
      </c>
      <c r="AQ139" s="61"/>
    </row>
    <row r="140" spans="2:43" x14ac:dyDescent="0.25">
      <c r="B140" s="54">
        <v>0.41666666666424135</v>
      </c>
      <c r="C140" s="54">
        <v>0.77083333338669202</v>
      </c>
      <c r="D140" s="60"/>
      <c r="E140" s="91">
        <f>SUMMARY!Z53</f>
        <v>0</v>
      </c>
      <c r="F140" s="91">
        <f>SUMMARY!AR53</f>
        <v>0</v>
      </c>
      <c r="G140" s="91">
        <f>SUMMARY!AK53</f>
        <v>0</v>
      </c>
      <c r="H140" s="92">
        <f t="shared" si="28"/>
        <v>0</v>
      </c>
      <c r="I140" s="180">
        <f>S$132-S$133</f>
        <v>0</v>
      </c>
      <c r="M140" s="61">
        <f t="shared" si="29"/>
        <v>0</v>
      </c>
      <c r="N140" s="61">
        <f t="shared" si="29"/>
        <v>0</v>
      </c>
      <c r="O140" s="61">
        <f t="shared" si="29"/>
        <v>0</v>
      </c>
      <c r="P140" s="61">
        <f t="shared" si="29"/>
        <v>0</v>
      </c>
      <c r="Q140" s="61">
        <f t="shared" si="29"/>
        <v>0</v>
      </c>
      <c r="R140" s="61">
        <f t="shared" si="29"/>
        <v>0</v>
      </c>
      <c r="S140" s="61">
        <f t="shared" si="29"/>
        <v>0</v>
      </c>
      <c r="T140" s="61">
        <f t="shared" si="29"/>
        <v>0</v>
      </c>
      <c r="U140" s="61">
        <f t="shared" si="29"/>
        <v>0</v>
      </c>
      <c r="V140" s="61">
        <f t="shared" si="29"/>
        <v>0</v>
      </c>
      <c r="W140" s="61">
        <f t="shared" si="29"/>
        <v>0</v>
      </c>
      <c r="X140" s="61">
        <f t="shared" si="29"/>
        <v>0</v>
      </c>
      <c r="Y140" s="61">
        <f t="shared" si="29"/>
        <v>0</v>
      </c>
      <c r="Z140" s="61">
        <f t="shared" si="29"/>
        <v>0</v>
      </c>
      <c r="AA140" s="61">
        <f t="shared" si="29"/>
        <v>0</v>
      </c>
      <c r="AB140" s="61">
        <f t="shared" si="29"/>
        <v>0</v>
      </c>
      <c r="AC140" s="61">
        <f t="shared" si="30"/>
        <v>0</v>
      </c>
      <c r="AD140" s="61">
        <f t="shared" si="30"/>
        <v>0</v>
      </c>
      <c r="AE140" s="61">
        <f t="shared" si="30"/>
        <v>0</v>
      </c>
      <c r="AF140" s="61">
        <f t="shared" si="30"/>
        <v>0</v>
      </c>
      <c r="AG140" s="61">
        <f t="shared" si="30"/>
        <v>0</v>
      </c>
      <c r="AH140" s="61">
        <f t="shared" si="30"/>
        <v>0</v>
      </c>
      <c r="AI140" s="61">
        <f t="shared" si="30"/>
        <v>0</v>
      </c>
      <c r="AJ140" s="61"/>
      <c r="AK140" s="61">
        <f t="shared" si="30"/>
        <v>0</v>
      </c>
      <c r="AL140" s="61">
        <f t="shared" si="30"/>
        <v>0</v>
      </c>
      <c r="AM140" s="61">
        <f t="shared" si="30"/>
        <v>0</v>
      </c>
      <c r="AN140" s="61">
        <f t="shared" si="30"/>
        <v>0</v>
      </c>
      <c r="AO140" s="61">
        <f t="shared" si="30"/>
        <v>0</v>
      </c>
      <c r="AP140" s="61">
        <f t="shared" si="30"/>
        <v>0</v>
      </c>
      <c r="AQ140" s="61"/>
    </row>
    <row r="141" spans="2:43" x14ac:dyDescent="0.25">
      <c r="B141" s="54">
        <v>0.4375</v>
      </c>
      <c r="C141" s="54">
        <v>0.79166666672245101</v>
      </c>
      <c r="D141" s="60"/>
      <c r="E141" s="91">
        <f>SUMMARY!Z54</f>
        <v>0</v>
      </c>
      <c r="F141" s="91">
        <f>SUMMARY!AR54</f>
        <v>0</v>
      </c>
      <c r="G141" s="91">
        <f>SUMMARY!AK54</f>
        <v>0</v>
      </c>
      <c r="H141" s="92">
        <f t="shared" si="28"/>
        <v>0</v>
      </c>
      <c r="I141" s="180">
        <f>T$132-T$133</f>
        <v>0</v>
      </c>
      <c r="M141" s="61">
        <f t="shared" si="29"/>
        <v>0</v>
      </c>
      <c r="N141" s="61">
        <f t="shared" si="29"/>
        <v>0</v>
      </c>
      <c r="O141" s="61">
        <f t="shared" si="29"/>
        <v>0</v>
      </c>
      <c r="P141" s="61">
        <f t="shared" si="29"/>
        <v>0</v>
      </c>
      <c r="Q141" s="61">
        <f t="shared" si="29"/>
        <v>0</v>
      </c>
      <c r="R141" s="61">
        <f t="shared" si="29"/>
        <v>0</v>
      </c>
      <c r="S141" s="61">
        <f t="shared" si="29"/>
        <v>0</v>
      </c>
      <c r="T141" s="61">
        <f t="shared" si="29"/>
        <v>0</v>
      </c>
      <c r="U141" s="61">
        <f t="shared" si="29"/>
        <v>0</v>
      </c>
      <c r="V141" s="61">
        <f t="shared" si="29"/>
        <v>0</v>
      </c>
      <c r="W141" s="61">
        <f t="shared" si="29"/>
        <v>0</v>
      </c>
      <c r="X141" s="61">
        <f t="shared" si="29"/>
        <v>0</v>
      </c>
      <c r="Y141" s="61">
        <f t="shared" si="29"/>
        <v>0</v>
      </c>
      <c r="Z141" s="61">
        <f t="shared" si="29"/>
        <v>0</v>
      </c>
      <c r="AA141" s="61">
        <f t="shared" si="29"/>
        <v>0</v>
      </c>
      <c r="AB141" s="61">
        <f t="shared" si="29"/>
        <v>0</v>
      </c>
      <c r="AC141" s="61">
        <f t="shared" si="30"/>
        <v>0</v>
      </c>
      <c r="AD141" s="61">
        <f t="shared" si="30"/>
        <v>0</v>
      </c>
      <c r="AE141" s="61">
        <f t="shared" si="30"/>
        <v>0</v>
      </c>
      <c r="AF141" s="61">
        <f t="shared" si="30"/>
        <v>0</v>
      </c>
      <c r="AG141" s="61">
        <f t="shared" si="30"/>
        <v>0</v>
      </c>
      <c r="AH141" s="61">
        <f t="shared" si="30"/>
        <v>0</v>
      </c>
      <c r="AI141" s="61">
        <f t="shared" si="30"/>
        <v>0</v>
      </c>
      <c r="AJ141" s="61">
        <f t="shared" si="30"/>
        <v>0</v>
      </c>
      <c r="AK141" s="61"/>
      <c r="AL141" s="61">
        <f>IF(AND(AL$2&gt;=$B141,AL$2&lt;$C141),$E141,0)</f>
        <v>0</v>
      </c>
      <c r="AM141" s="61">
        <f>IF(AND(AM$2&gt;=$B141,AM$2&lt;$C141),$E141,0)</f>
        <v>0</v>
      </c>
      <c r="AN141" s="61">
        <f>IF(AND(AN$2&gt;=$B141,AN$2&lt;$C141),$E141,0)</f>
        <v>0</v>
      </c>
      <c r="AO141" s="61">
        <f>IF(AND(AO$2&gt;=$B141,AO$2&lt;$C141),$E141,0)</f>
        <v>0</v>
      </c>
      <c r="AP141" s="61">
        <f>IF(AND(AP$2&gt;=$B141,AP$2&lt;$C141),$E141,0)</f>
        <v>0</v>
      </c>
      <c r="AQ141" s="61"/>
    </row>
    <row r="142" spans="2:43" x14ac:dyDescent="0.25">
      <c r="B142" s="54">
        <v>0.45833333333575865</v>
      </c>
      <c r="C142" s="54">
        <v>0.81250000005820999</v>
      </c>
      <c r="D142" s="60"/>
      <c r="E142" s="91">
        <f>SUMMARY!Z55</f>
        <v>0</v>
      </c>
      <c r="F142" s="91">
        <f>SUMMARY!AR55</f>
        <v>0</v>
      </c>
      <c r="G142" s="91">
        <f>SUMMARY!AK55</f>
        <v>0</v>
      </c>
      <c r="H142" s="92">
        <f t="shared" si="28"/>
        <v>0</v>
      </c>
      <c r="I142" s="180">
        <f>U$132-U$133</f>
        <v>0</v>
      </c>
      <c r="M142" s="61">
        <f t="shared" si="29"/>
        <v>0</v>
      </c>
      <c r="N142" s="61">
        <f t="shared" si="29"/>
        <v>0</v>
      </c>
      <c r="O142" s="61">
        <f t="shared" si="29"/>
        <v>0</v>
      </c>
      <c r="P142" s="61">
        <f t="shared" si="29"/>
        <v>0</v>
      </c>
      <c r="Q142" s="61">
        <f t="shared" si="29"/>
        <v>0</v>
      </c>
      <c r="R142" s="61">
        <f t="shared" si="29"/>
        <v>0</v>
      </c>
      <c r="S142" s="61">
        <f t="shared" si="29"/>
        <v>0</v>
      </c>
      <c r="T142" s="61">
        <f t="shared" si="29"/>
        <v>0</v>
      </c>
      <c r="U142" s="61">
        <f t="shared" si="29"/>
        <v>0</v>
      </c>
      <c r="V142" s="61">
        <f t="shared" si="29"/>
        <v>0</v>
      </c>
      <c r="W142" s="61">
        <f t="shared" si="29"/>
        <v>0</v>
      </c>
      <c r="X142" s="61">
        <f t="shared" si="29"/>
        <v>0</v>
      </c>
      <c r="Y142" s="61">
        <f t="shared" si="29"/>
        <v>0</v>
      </c>
      <c r="Z142" s="61">
        <f t="shared" si="29"/>
        <v>0</v>
      </c>
      <c r="AA142" s="61">
        <f t="shared" si="29"/>
        <v>0</v>
      </c>
      <c r="AB142" s="61">
        <f t="shared" si="29"/>
        <v>0</v>
      </c>
      <c r="AC142" s="61">
        <f t="shared" si="30"/>
        <v>0</v>
      </c>
      <c r="AD142" s="61">
        <f t="shared" si="30"/>
        <v>0</v>
      </c>
      <c r="AE142" s="61">
        <f t="shared" si="30"/>
        <v>0</v>
      </c>
      <c r="AF142" s="61">
        <f t="shared" si="30"/>
        <v>0</v>
      </c>
      <c r="AG142" s="61">
        <f t="shared" si="30"/>
        <v>0</v>
      </c>
      <c r="AH142" s="61">
        <f t="shared" si="30"/>
        <v>0</v>
      </c>
      <c r="AI142" s="61">
        <f t="shared" si="30"/>
        <v>0</v>
      </c>
      <c r="AJ142" s="61">
        <f t="shared" si="30"/>
        <v>0</v>
      </c>
      <c r="AK142" s="61">
        <f t="shared" si="30"/>
        <v>0</v>
      </c>
      <c r="AL142" s="61"/>
      <c r="AM142" s="61">
        <f>IF(AND(AM$2&gt;=$B142,AM$2&lt;$C142),$E142,0)</f>
        <v>0</v>
      </c>
      <c r="AN142" s="61">
        <f>IF(AND(AN$2&gt;=$B142,AN$2&lt;$C142),$E142,0)</f>
        <v>0</v>
      </c>
      <c r="AO142" s="61">
        <f>IF(AND(AO$2&gt;=$B142,AO$2&lt;$C142),$E142,0)</f>
        <v>0</v>
      </c>
      <c r="AP142" s="61">
        <f>IF(AND(AP$2&gt;=$B142,AP$2&lt;$C142),$E142,0)</f>
        <v>0</v>
      </c>
      <c r="AQ142" s="61"/>
    </row>
    <row r="143" spans="2:43" x14ac:dyDescent="0.25">
      <c r="B143" s="54">
        <v>0.47916666666424135</v>
      </c>
      <c r="C143" s="54">
        <v>0.83333333339396898</v>
      </c>
      <c r="D143" s="60"/>
      <c r="E143" s="91">
        <f>SUMMARY!Z56</f>
        <v>0</v>
      </c>
      <c r="G143" s="91">
        <f>SUMMARY!AK56</f>
        <v>0</v>
      </c>
      <c r="H143" s="92">
        <f t="shared" si="28"/>
        <v>0</v>
      </c>
      <c r="I143" s="180">
        <f>V$132-V$133</f>
        <v>0</v>
      </c>
      <c r="M143" s="61">
        <f t="shared" si="29"/>
        <v>0</v>
      </c>
      <c r="N143" s="61">
        <f t="shared" si="29"/>
        <v>0</v>
      </c>
      <c r="O143" s="61">
        <f t="shared" si="29"/>
        <v>0</v>
      </c>
      <c r="P143" s="61">
        <f t="shared" si="29"/>
        <v>0</v>
      </c>
      <c r="Q143" s="61">
        <f t="shared" si="29"/>
        <v>0</v>
      </c>
      <c r="R143" s="61">
        <f t="shared" si="29"/>
        <v>0</v>
      </c>
      <c r="S143" s="61">
        <f t="shared" si="29"/>
        <v>0</v>
      </c>
      <c r="T143" s="61">
        <f t="shared" si="29"/>
        <v>0</v>
      </c>
      <c r="U143" s="61">
        <f t="shared" si="29"/>
        <v>0</v>
      </c>
      <c r="V143" s="61">
        <f t="shared" si="29"/>
        <v>0</v>
      </c>
      <c r="W143" s="61">
        <f t="shared" si="29"/>
        <v>0</v>
      </c>
      <c r="X143" s="61">
        <f t="shared" si="29"/>
        <v>0</v>
      </c>
      <c r="Y143" s="61">
        <f t="shared" si="29"/>
        <v>0</v>
      </c>
      <c r="Z143" s="61">
        <f t="shared" si="29"/>
        <v>0</v>
      </c>
      <c r="AA143" s="61">
        <f t="shared" si="29"/>
        <v>0</v>
      </c>
      <c r="AB143" s="61">
        <f t="shared" si="29"/>
        <v>0</v>
      </c>
      <c r="AC143" s="61">
        <f t="shared" si="30"/>
        <v>0</v>
      </c>
      <c r="AD143" s="61">
        <f t="shared" si="30"/>
        <v>0</v>
      </c>
      <c r="AE143" s="61">
        <f t="shared" si="30"/>
        <v>0</v>
      </c>
      <c r="AF143" s="61">
        <f t="shared" si="30"/>
        <v>0</v>
      </c>
      <c r="AG143" s="61">
        <f t="shared" si="30"/>
        <v>0</v>
      </c>
      <c r="AH143" s="61">
        <f t="shared" si="30"/>
        <v>0</v>
      </c>
      <c r="AI143" s="61">
        <f t="shared" si="30"/>
        <v>0</v>
      </c>
      <c r="AJ143" s="61">
        <f t="shared" si="30"/>
        <v>0</v>
      </c>
      <c r="AK143" s="61">
        <f t="shared" si="30"/>
        <v>0</v>
      </c>
      <c r="AL143" s="61">
        <f t="shared" si="30"/>
        <v>0</v>
      </c>
      <c r="AM143" s="61"/>
      <c r="AN143" s="61">
        <f>IF(AND(AN$2&gt;=$B143,AN$2&lt;$C143),$E143,0)</f>
        <v>0</v>
      </c>
      <c r="AO143" s="61">
        <f>IF(AND(AO$2&gt;=$B143,AO$2&lt;$C143),$E143,0)</f>
        <v>0</v>
      </c>
      <c r="AP143" s="61">
        <f>IF(AND(AP$2&gt;=$B143,AP$2&lt;$C143),$E143,0)</f>
        <v>0</v>
      </c>
      <c r="AQ143" s="61"/>
    </row>
    <row r="144" spans="2:43" x14ac:dyDescent="0.25">
      <c r="B144" s="54">
        <v>0.5</v>
      </c>
      <c r="C144" s="54">
        <v>0.85416666672972796</v>
      </c>
      <c r="D144" s="60"/>
      <c r="E144" s="91">
        <f>SUMMARY!Z57</f>
        <v>0</v>
      </c>
      <c r="G144" s="91">
        <f>SUMMARY!AK57</f>
        <v>0</v>
      </c>
      <c r="H144" s="92">
        <f t="shared" si="28"/>
        <v>0</v>
      </c>
      <c r="I144" s="180">
        <f>W$132-W$133</f>
        <v>0</v>
      </c>
      <c r="M144" s="61">
        <f t="shared" si="29"/>
        <v>0</v>
      </c>
      <c r="N144" s="61">
        <f t="shared" si="29"/>
        <v>0</v>
      </c>
      <c r="O144" s="61">
        <f t="shared" si="29"/>
        <v>0</v>
      </c>
      <c r="P144" s="61">
        <f t="shared" si="29"/>
        <v>0</v>
      </c>
      <c r="Q144" s="61">
        <f t="shared" si="29"/>
        <v>0</v>
      </c>
      <c r="R144" s="61">
        <f t="shared" si="29"/>
        <v>0</v>
      </c>
      <c r="S144" s="61">
        <f t="shared" si="29"/>
        <v>0</v>
      </c>
      <c r="T144" s="61">
        <f t="shared" si="29"/>
        <v>0</v>
      </c>
      <c r="U144" s="61">
        <f t="shared" si="29"/>
        <v>0</v>
      </c>
      <c r="V144" s="61">
        <f t="shared" si="29"/>
        <v>0</v>
      </c>
      <c r="W144" s="61">
        <f t="shared" si="29"/>
        <v>0</v>
      </c>
      <c r="X144" s="61">
        <f t="shared" si="29"/>
        <v>0</v>
      </c>
      <c r="Y144" s="61">
        <f t="shared" si="29"/>
        <v>0</v>
      </c>
      <c r="Z144" s="61">
        <f t="shared" si="29"/>
        <v>0</v>
      </c>
      <c r="AA144" s="61">
        <f t="shared" si="29"/>
        <v>0</v>
      </c>
      <c r="AB144" s="61">
        <f t="shared" si="29"/>
        <v>0</v>
      </c>
      <c r="AC144" s="61">
        <f t="shared" si="30"/>
        <v>0</v>
      </c>
      <c r="AD144" s="61">
        <f t="shared" si="30"/>
        <v>0</v>
      </c>
      <c r="AE144" s="61">
        <f t="shared" si="30"/>
        <v>0</v>
      </c>
      <c r="AF144" s="61">
        <f t="shared" si="30"/>
        <v>0</v>
      </c>
      <c r="AG144" s="61">
        <f t="shared" si="30"/>
        <v>0</v>
      </c>
      <c r="AH144" s="61">
        <f t="shared" si="30"/>
        <v>0</v>
      </c>
      <c r="AI144" s="61">
        <f t="shared" si="30"/>
        <v>0</v>
      </c>
      <c r="AJ144" s="61">
        <f t="shared" si="30"/>
        <v>0</v>
      </c>
      <c r="AK144" s="61">
        <f t="shared" si="30"/>
        <v>0</v>
      </c>
      <c r="AL144" s="61">
        <f t="shared" si="30"/>
        <v>0</v>
      </c>
      <c r="AM144" s="61">
        <f t="shared" si="30"/>
        <v>0</v>
      </c>
      <c r="AN144" s="61"/>
      <c r="AO144" s="61">
        <f>IF(AND(AO$2&gt;=$B144,AO$2&lt;$C144),$E144,0)</f>
        <v>0</v>
      </c>
      <c r="AP144" s="61">
        <f>IF(AND(AP$2&gt;=$B144,AP$2&lt;$C144),$E144,0)</f>
        <v>0</v>
      </c>
      <c r="AQ144" s="61"/>
    </row>
    <row r="145" spans="2:43" x14ac:dyDescent="0.25">
      <c r="B145" s="54">
        <v>0.52083333333575865</v>
      </c>
      <c r="C145" s="54">
        <v>0.87500000006548695</v>
      </c>
      <c r="D145" s="60"/>
      <c r="E145" s="91">
        <f>SUMMARY!Z58</f>
        <v>0</v>
      </c>
      <c r="G145" s="91">
        <f>SUMMARY!AK58</f>
        <v>0</v>
      </c>
      <c r="H145" s="92">
        <f t="shared" si="28"/>
        <v>0</v>
      </c>
      <c r="I145" s="180">
        <f>X$132-X$133</f>
        <v>0</v>
      </c>
      <c r="M145" s="61">
        <f t="shared" si="29"/>
        <v>0</v>
      </c>
      <c r="N145" s="61">
        <f t="shared" si="29"/>
        <v>0</v>
      </c>
      <c r="O145" s="61">
        <f t="shared" si="29"/>
        <v>0</v>
      </c>
      <c r="P145" s="61">
        <f t="shared" si="29"/>
        <v>0</v>
      </c>
      <c r="Q145" s="61">
        <f t="shared" si="29"/>
        <v>0</v>
      </c>
      <c r="R145" s="61">
        <f t="shared" si="29"/>
        <v>0</v>
      </c>
      <c r="S145" s="61">
        <f t="shared" si="29"/>
        <v>0</v>
      </c>
      <c r="T145" s="61">
        <f t="shared" si="29"/>
        <v>0</v>
      </c>
      <c r="U145" s="61">
        <f t="shared" si="29"/>
        <v>0</v>
      </c>
      <c r="V145" s="61">
        <f t="shared" si="29"/>
        <v>0</v>
      </c>
      <c r="W145" s="61">
        <f t="shared" si="29"/>
        <v>0</v>
      </c>
      <c r="X145" s="61">
        <f t="shared" si="29"/>
        <v>0</v>
      </c>
      <c r="Y145" s="61">
        <f t="shared" si="29"/>
        <v>0</v>
      </c>
      <c r="Z145" s="61">
        <f t="shared" si="29"/>
        <v>0</v>
      </c>
      <c r="AA145" s="61">
        <f t="shared" si="29"/>
        <v>0</v>
      </c>
      <c r="AB145" s="61">
        <f t="shared" si="29"/>
        <v>0</v>
      </c>
      <c r="AC145" s="61">
        <f t="shared" si="30"/>
        <v>0</v>
      </c>
      <c r="AD145" s="61">
        <f t="shared" si="30"/>
        <v>0</v>
      </c>
      <c r="AE145" s="61">
        <f t="shared" si="30"/>
        <v>0</v>
      </c>
      <c r="AF145" s="61">
        <f t="shared" si="30"/>
        <v>0</v>
      </c>
      <c r="AG145" s="61">
        <f t="shared" si="30"/>
        <v>0</v>
      </c>
      <c r="AH145" s="61">
        <f t="shared" si="30"/>
        <v>0</v>
      </c>
      <c r="AI145" s="61">
        <f t="shared" si="30"/>
        <v>0</v>
      </c>
      <c r="AJ145" s="61">
        <f t="shared" si="30"/>
        <v>0</v>
      </c>
      <c r="AK145" s="61">
        <f t="shared" si="30"/>
        <v>0</v>
      </c>
      <c r="AL145" s="61">
        <f t="shared" si="30"/>
        <v>0</v>
      </c>
      <c r="AM145" s="61">
        <f t="shared" si="30"/>
        <v>0</v>
      </c>
      <c r="AN145" s="61">
        <f t="shared" si="30"/>
        <v>0</v>
      </c>
      <c r="AO145" s="61"/>
      <c r="AP145" s="61">
        <f>IF(AND(AP$2&gt;=$B145,AP$2&lt;$C145),$E145,0)</f>
        <v>0</v>
      </c>
      <c r="AQ145" s="61"/>
    </row>
    <row r="146" spans="2:43" x14ac:dyDescent="0.25">
      <c r="B146" s="54">
        <v>0.54166666666424135</v>
      </c>
      <c r="C146" s="54">
        <v>0.89583333340124605</v>
      </c>
      <c r="D146" s="60"/>
      <c r="E146" s="91">
        <f>SUMMARY!Z59</f>
        <v>0</v>
      </c>
      <c r="G146" s="91">
        <f>SUMMARY!AK59</f>
        <v>0</v>
      </c>
      <c r="H146" s="92">
        <f t="shared" si="28"/>
        <v>0</v>
      </c>
      <c r="I146" s="180">
        <f>Y$132-Y$133</f>
        <v>0</v>
      </c>
      <c r="M146" s="61">
        <f t="shared" si="29"/>
        <v>0</v>
      </c>
      <c r="N146" s="61">
        <f t="shared" si="29"/>
        <v>0</v>
      </c>
      <c r="O146" s="61">
        <f t="shared" si="29"/>
        <v>0</v>
      </c>
      <c r="P146" s="61">
        <f t="shared" si="29"/>
        <v>0</v>
      </c>
      <c r="Q146" s="61">
        <f t="shared" si="29"/>
        <v>0</v>
      </c>
      <c r="R146" s="61">
        <f t="shared" si="29"/>
        <v>0</v>
      </c>
      <c r="S146" s="61">
        <f t="shared" si="29"/>
        <v>0</v>
      </c>
      <c r="T146" s="61">
        <f t="shared" si="29"/>
        <v>0</v>
      </c>
      <c r="U146" s="61">
        <f t="shared" si="29"/>
        <v>0</v>
      </c>
      <c r="V146" s="61">
        <f t="shared" si="29"/>
        <v>0</v>
      </c>
      <c r="W146" s="61">
        <f t="shared" si="29"/>
        <v>0</v>
      </c>
      <c r="X146" s="61">
        <f t="shared" si="29"/>
        <v>0</v>
      </c>
      <c r="Y146" s="61">
        <f t="shared" si="29"/>
        <v>0</v>
      </c>
      <c r="Z146" s="61">
        <f t="shared" si="29"/>
        <v>0</v>
      </c>
      <c r="AA146" s="61">
        <f t="shared" si="29"/>
        <v>0</v>
      </c>
      <c r="AB146" s="61">
        <f t="shared" si="29"/>
        <v>0</v>
      </c>
      <c r="AC146" s="61">
        <f t="shared" si="30"/>
        <v>0</v>
      </c>
      <c r="AD146" s="61">
        <f t="shared" si="30"/>
        <v>0</v>
      </c>
      <c r="AE146" s="61">
        <f t="shared" si="30"/>
        <v>0</v>
      </c>
      <c r="AF146" s="61">
        <f t="shared" si="30"/>
        <v>0</v>
      </c>
      <c r="AG146" s="61">
        <f t="shared" si="30"/>
        <v>0</v>
      </c>
      <c r="AH146" s="61">
        <f t="shared" si="30"/>
        <v>0</v>
      </c>
      <c r="AI146" s="61">
        <f t="shared" si="30"/>
        <v>0</v>
      </c>
      <c r="AJ146" s="61">
        <f t="shared" si="30"/>
        <v>0</v>
      </c>
      <c r="AK146" s="61">
        <f t="shared" si="30"/>
        <v>0</v>
      </c>
      <c r="AL146" s="61">
        <f t="shared" si="30"/>
        <v>0</v>
      </c>
      <c r="AM146" s="61">
        <f t="shared" si="30"/>
        <v>0</v>
      </c>
      <c r="AN146" s="61">
        <f t="shared" si="30"/>
        <v>0</v>
      </c>
      <c r="AO146" s="61">
        <f t="shared" si="30"/>
        <v>0</v>
      </c>
      <c r="AP146" s="61"/>
      <c r="AQ146" s="61"/>
    </row>
    <row r="147" spans="2:43" x14ac:dyDescent="0.25">
      <c r="B147" s="54">
        <v>0.5625</v>
      </c>
      <c r="C147" s="54">
        <v>0.91666666673700503</v>
      </c>
      <c r="D147" s="60"/>
      <c r="E147" s="91">
        <f>SUMMARY!Z60</f>
        <v>0</v>
      </c>
      <c r="G147" s="91">
        <f>SUMMARY!AK60</f>
        <v>0</v>
      </c>
      <c r="H147" s="92">
        <f t="shared" si="28"/>
        <v>0</v>
      </c>
      <c r="I147" s="180">
        <f>Z$132-Z$133</f>
        <v>0</v>
      </c>
      <c r="M147" s="61">
        <f t="shared" si="29"/>
        <v>0</v>
      </c>
      <c r="N147" s="61">
        <f t="shared" si="29"/>
        <v>0</v>
      </c>
      <c r="O147" s="61">
        <f t="shared" si="29"/>
        <v>0</v>
      </c>
      <c r="P147" s="61">
        <f t="shared" si="29"/>
        <v>0</v>
      </c>
      <c r="Q147" s="61">
        <f t="shared" si="29"/>
        <v>0</v>
      </c>
      <c r="R147" s="61">
        <f t="shared" si="29"/>
        <v>0</v>
      </c>
      <c r="S147" s="61">
        <f t="shared" si="29"/>
        <v>0</v>
      </c>
      <c r="T147" s="61">
        <f t="shared" si="29"/>
        <v>0</v>
      </c>
      <c r="U147" s="61">
        <f t="shared" si="29"/>
        <v>0</v>
      </c>
      <c r="V147" s="61">
        <f t="shared" si="29"/>
        <v>0</v>
      </c>
      <c r="W147" s="61">
        <f t="shared" si="29"/>
        <v>0</v>
      </c>
      <c r="X147" s="61">
        <f t="shared" si="29"/>
        <v>0</v>
      </c>
      <c r="Y147" s="61">
        <f t="shared" si="29"/>
        <v>0</v>
      </c>
      <c r="Z147" s="61">
        <f t="shared" si="29"/>
        <v>0</v>
      </c>
      <c r="AA147" s="61">
        <f t="shared" si="29"/>
        <v>0</v>
      </c>
      <c r="AB147" s="61">
        <f t="shared" si="29"/>
        <v>0</v>
      </c>
      <c r="AC147" s="61">
        <f t="shared" si="30"/>
        <v>0</v>
      </c>
      <c r="AD147" s="61">
        <f t="shared" si="30"/>
        <v>0</v>
      </c>
      <c r="AE147" s="61">
        <f t="shared" si="30"/>
        <v>0</v>
      </c>
      <c r="AF147" s="61">
        <f t="shared" si="30"/>
        <v>0</v>
      </c>
      <c r="AG147" s="61">
        <f t="shared" si="30"/>
        <v>0</v>
      </c>
      <c r="AH147" s="61">
        <f t="shared" si="30"/>
        <v>0</v>
      </c>
      <c r="AI147" s="61">
        <f t="shared" si="30"/>
        <v>0</v>
      </c>
      <c r="AJ147" s="61">
        <f t="shared" si="30"/>
        <v>0</v>
      </c>
      <c r="AK147" s="61">
        <f t="shared" si="30"/>
        <v>0</v>
      </c>
      <c r="AL147" s="61">
        <f t="shared" si="30"/>
        <v>0</v>
      </c>
      <c r="AM147" s="61">
        <f t="shared" si="30"/>
        <v>0</v>
      </c>
      <c r="AN147" s="61">
        <f t="shared" si="30"/>
        <v>0</v>
      </c>
      <c r="AO147" s="61">
        <f t="shared" si="30"/>
        <v>0</v>
      </c>
      <c r="AP147" s="61">
        <f t="shared" si="30"/>
        <v>0</v>
      </c>
      <c r="AQ147" s="61"/>
    </row>
    <row r="148" spans="2:43" x14ac:dyDescent="0.25">
      <c r="B148" s="54">
        <v>0.58333333333575899</v>
      </c>
      <c r="C148" s="54">
        <v>0.93750000007276402</v>
      </c>
      <c r="D148" s="60"/>
      <c r="E148" s="91"/>
      <c r="G148" s="91">
        <f>SUMMARY!AK61</f>
        <v>0</v>
      </c>
      <c r="H148" s="92">
        <f t="shared" si="28"/>
        <v>0</v>
      </c>
      <c r="I148" s="180">
        <f>AA$132-AA$133</f>
        <v>0</v>
      </c>
      <c r="M148" s="61">
        <f t="shared" si="29"/>
        <v>0</v>
      </c>
      <c r="N148" s="61">
        <f t="shared" si="29"/>
        <v>0</v>
      </c>
      <c r="O148" s="61">
        <f t="shared" si="29"/>
        <v>0</v>
      </c>
      <c r="P148" s="61">
        <f t="shared" si="29"/>
        <v>0</v>
      </c>
      <c r="Q148" s="61">
        <f t="shared" si="29"/>
        <v>0</v>
      </c>
      <c r="R148" s="61">
        <f t="shared" si="29"/>
        <v>0</v>
      </c>
      <c r="S148" s="61">
        <f t="shared" si="29"/>
        <v>0</v>
      </c>
      <c r="T148" s="61">
        <f t="shared" si="29"/>
        <v>0</v>
      </c>
      <c r="U148" s="61">
        <f t="shared" si="29"/>
        <v>0</v>
      </c>
      <c r="V148" s="61">
        <f t="shared" si="29"/>
        <v>0</v>
      </c>
      <c r="W148" s="61">
        <f t="shared" si="29"/>
        <v>0</v>
      </c>
      <c r="X148" s="61">
        <f t="shared" si="29"/>
        <v>0</v>
      </c>
      <c r="Y148" s="61">
        <f t="shared" si="29"/>
        <v>0</v>
      </c>
      <c r="Z148" s="61">
        <f t="shared" si="29"/>
        <v>0</v>
      </c>
      <c r="AA148" s="61">
        <f t="shared" si="29"/>
        <v>0</v>
      </c>
      <c r="AB148" s="61">
        <f t="shared" si="29"/>
        <v>0</v>
      </c>
      <c r="AC148" s="61">
        <f t="shared" si="30"/>
        <v>0</v>
      </c>
      <c r="AD148" s="61">
        <f t="shared" si="30"/>
        <v>0</v>
      </c>
      <c r="AE148" s="61">
        <f t="shared" si="30"/>
        <v>0</v>
      </c>
      <c r="AF148" s="61">
        <f t="shared" si="30"/>
        <v>0</v>
      </c>
      <c r="AG148" s="61">
        <f t="shared" si="30"/>
        <v>0</v>
      </c>
      <c r="AH148" s="61">
        <f t="shared" si="30"/>
        <v>0</v>
      </c>
      <c r="AI148" s="61">
        <f t="shared" si="30"/>
        <v>0</v>
      </c>
      <c r="AJ148" s="61">
        <f t="shared" si="30"/>
        <v>0</v>
      </c>
      <c r="AK148" s="61">
        <f t="shared" si="30"/>
        <v>0</v>
      </c>
      <c r="AL148" s="61">
        <f t="shared" si="30"/>
        <v>0</v>
      </c>
      <c r="AM148" s="61">
        <f t="shared" si="30"/>
        <v>0</v>
      </c>
      <c r="AN148" s="61">
        <f t="shared" si="30"/>
        <v>0</v>
      </c>
      <c r="AO148" s="61">
        <f t="shared" si="30"/>
        <v>0</v>
      </c>
      <c r="AP148" s="61">
        <f t="shared" si="30"/>
        <v>0</v>
      </c>
      <c r="AQ148" s="61"/>
    </row>
    <row r="149" spans="2:43" x14ac:dyDescent="0.25">
      <c r="B149" s="54">
        <v>0.60416666667151697</v>
      </c>
      <c r="C149" s="54">
        <v>0.958333333408523</v>
      </c>
      <c r="D149" s="60"/>
      <c r="E149" s="91"/>
      <c r="G149" s="91">
        <f>SUMMARY!AK62</f>
        <v>0</v>
      </c>
      <c r="H149" s="92">
        <f t="shared" si="28"/>
        <v>0</v>
      </c>
      <c r="I149" s="180">
        <f>AB$132-AB$133</f>
        <v>0</v>
      </c>
      <c r="M149" s="61">
        <f t="shared" si="29"/>
        <v>0</v>
      </c>
      <c r="N149" s="61">
        <f t="shared" si="29"/>
        <v>0</v>
      </c>
      <c r="O149" s="61">
        <f t="shared" si="29"/>
        <v>0</v>
      </c>
      <c r="P149" s="61">
        <f t="shared" si="29"/>
        <v>0</v>
      </c>
      <c r="Q149" s="61">
        <f t="shared" si="29"/>
        <v>0</v>
      </c>
      <c r="R149" s="61">
        <f t="shared" si="29"/>
        <v>0</v>
      </c>
      <c r="S149" s="61">
        <f t="shared" si="29"/>
        <v>0</v>
      </c>
      <c r="T149" s="61">
        <f t="shared" si="29"/>
        <v>0</v>
      </c>
      <c r="U149" s="61">
        <f t="shared" si="29"/>
        <v>0</v>
      </c>
      <c r="V149" s="61">
        <f t="shared" si="29"/>
        <v>0</v>
      </c>
      <c r="W149" s="61">
        <f t="shared" si="29"/>
        <v>0</v>
      </c>
      <c r="X149" s="61">
        <f t="shared" si="29"/>
        <v>0</v>
      </c>
      <c r="Y149" s="61">
        <f t="shared" si="29"/>
        <v>0</v>
      </c>
      <c r="Z149" s="61">
        <f t="shared" si="29"/>
        <v>0</v>
      </c>
      <c r="AA149" s="61">
        <f t="shared" si="29"/>
        <v>0</v>
      </c>
      <c r="AB149" s="61">
        <f t="shared" ref="W149:AL163" si="31">IF(AND(AB$2&gt;=$B149,AB$2&lt;$C149),$E149,0)</f>
        <v>0</v>
      </c>
      <c r="AC149" s="61">
        <f t="shared" si="31"/>
        <v>0</v>
      </c>
      <c r="AD149" s="61">
        <f t="shared" si="31"/>
        <v>0</v>
      </c>
      <c r="AE149" s="61">
        <f t="shared" si="31"/>
        <v>0</v>
      </c>
      <c r="AF149" s="61">
        <f t="shared" si="30"/>
        <v>0</v>
      </c>
      <c r="AG149" s="61">
        <f t="shared" si="30"/>
        <v>0</v>
      </c>
      <c r="AH149" s="61">
        <f t="shared" si="30"/>
        <v>0</v>
      </c>
      <c r="AI149" s="61">
        <f t="shared" si="30"/>
        <v>0</v>
      </c>
      <c r="AJ149" s="61">
        <f t="shared" si="30"/>
        <v>0</v>
      </c>
      <c r="AK149" s="61">
        <f t="shared" si="30"/>
        <v>0</v>
      </c>
      <c r="AL149" s="61">
        <f t="shared" si="30"/>
        <v>0</v>
      </c>
      <c r="AM149" s="61">
        <f t="shared" si="30"/>
        <v>0</v>
      </c>
      <c r="AN149" s="61">
        <f t="shared" si="30"/>
        <v>0</v>
      </c>
      <c r="AO149" s="61">
        <f t="shared" si="30"/>
        <v>0</v>
      </c>
      <c r="AP149" s="61">
        <f t="shared" si="30"/>
        <v>0</v>
      </c>
      <c r="AQ149" s="61"/>
    </row>
    <row r="150" spans="2:43" x14ac:dyDescent="0.25">
      <c r="B150" s="54">
        <v>0.62500000000727596</v>
      </c>
      <c r="C150" s="54">
        <v>0.97916666674428199</v>
      </c>
      <c r="D150" s="60"/>
      <c r="E150" s="91"/>
      <c r="G150" s="91">
        <f>SUMMARY!AK63</f>
        <v>0</v>
      </c>
      <c r="H150" s="92">
        <f t="shared" si="28"/>
        <v>0</v>
      </c>
      <c r="I150" s="180">
        <f>AC$132-AC$133</f>
        <v>0</v>
      </c>
      <c r="M150" s="61">
        <f t="shared" ref="M150:V163" si="32">IF(AND(M$2&gt;=$B150,M$2&lt;$C150),$E150,0)</f>
        <v>0</v>
      </c>
      <c r="N150" s="61">
        <f t="shared" si="32"/>
        <v>0</v>
      </c>
      <c r="O150" s="61">
        <f t="shared" si="32"/>
        <v>0</v>
      </c>
      <c r="P150" s="61">
        <f t="shared" si="32"/>
        <v>0</v>
      </c>
      <c r="Q150" s="61">
        <f t="shared" si="32"/>
        <v>0</v>
      </c>
      <c r="R150" s="61">
        <f t="shared" si="32"/>
        <v>0</v>
      </c>
      <c r="S150" s="61">
        <f t="shared" si="32"/>
        <v>0</v>
      </c>
      <c r="T150" s="61">
        <f t="shared" si="32"/>
        <v>0</v>
      </c>
      <c r="U150" s="61">
        <f t="shared" si="32"/>
        <v>0</v>
      </c>
      <c r="V150" s="61">
        <f t="shared" si="32"/>
        <v>0</v>
      </c>
      <c r="W150" s="61">
        <f t="shared" si="31"/>
        <v>0</v>
      </c>
      <c r="X150" s="61">
        <f t="shared" si="31"/>
        <v>0</v>
      </c>
      <c r="Y150" s="61">
        <f t="shared" si="31"/>
        <v>0</v>
      </c>
      <c r="Z150" s="61">
        <f t="shared" si="31"/>
        <v>0</v>
      </c>
      <c r="AA150" s="61">
        <f t="shared" si="31"/>
        <v>0</v>
      </c>
      <c r="AB150" s="61">
        <f t="shared" si="31"/>
        <v>0</v>
      </c>
      <c r="AC150" s="61">
        <f t="shared" si="31"/>
        <v>0</v>
      </c>
      <c r="AD150" s="61">
        <f t="shared" si="31"/>
        <v>0</v>
      </c>
      <c r="AE150" s="61">
        <f t="shared" si="31"/>
        <v>0</v>
      </c>
      <c r="AF150" s="61">
        <f t="shared" si="31"/>
        <v>0</v>
      </c>
      <c r="AG150" s="61">
        <f t="shared" si="31"/>
        <v>0</v>
      </c>
      <c r="AH150" s="61">
        <f t="shared" si="31"/>
        <v>0</v>
      </c>
      <c r="AI150" s="61">
        <f t="shared" si="31"/>
        <v>0</v>
      </c>
      <c r="AJ150" s="61">
        <f t="shared" si="31"/>
        <v>0</v>
      </c>
      <c r="AK150" s="61">
        <f t="shared" si="31"/>
        <v>0</v>
      </c>
      <c r="AL150" s="61">
        <f t="shared" si="31"/>
        <v>0</v>
      </c>
      <c r="AM150" s="61">
        <f t="shared" ref="AM150:AP163" si="33">IF(AND(AM$2&gt;=$B150,AM$2&lt;$C150),$E150,0)</f>
        <v>0</v>
      </c>
      <c r="AN150" s="61">
        <f t="shared" si="33"/>
        <v>0</v>
      </c>
      <c r="AO150" s="61">
        <f t="shared" si="33"/>
        <v>0</v>
      </c>
      <c r="AP150" s="61">
        <f t="shared" si="33"/>
        <v>0</v>
      </c>
      <c r="AQ150" s="61"/>
    </row>
    <row r="151" spans="2:43" x14ac:dyDescent="0.25">
      <c r="B151" s="54">
        <v>0.64583333334303406</v>
      </c>
      <c r="C151" s="54">
        <v>1.00000000008004</v>
      </c>
      <c r="D151" s="60"/>
      <c r="E151" s="91"/>
      <c r="G151" s="91">
        <f>SUMMARY!AK64</f>
        <v>0</v>
      </c>
      <c r="H151" s="92">
        <f t="shared" si="28"/>
        <v>0</v>
      </c>
      <c r="I151" s="180">
        <f>AD$132-AD$133</f>
        <v>0</v>
      </c>
      <c r="M151" s="61">
        <f t="shared" si="32"/>
        <v>0</v>
      </c>
      <c r="N151" s="61">
        <f t="shared" si="32"/>
        <v>0</v>
      </c>
      <c r="O151" s="61">
        <f t="shared" si="32"/>
        <v>0</v>
      </c>
      <c r="P151" s="61">
        <f t="shared" si="32"/>
        <v>0</v>
      </c>
      <c r="Q151" s="61">
        <f t="shared" si="32"/>
        <v>0</v>
      </c>
      <c r="R151" s="61">
        <f t="shared" si="32"/>
        <v>0</v>
      </c>
      <c r="S151" s="61">
        <f t="shared" si="32"/>
        <v>0</v>
      </c>
      <c r="T151" s="61">
        <f t="shared" si="32"/>
        <v>0</v>
      </c>
      <c r="U151" s="61">
        <f t="shared" si="32"/>
        <v>0</v>
      </c>
      <c r="V151" s="61">
        <f t="shared" si="32"/>
        <v>0</v>
      </c>
      <c r="W151" s="61">
        <f t="shared" si="31"/>
        <v>0</v>
      </c>
      <c r="X151" s="61">
        <f t="shared" si="31"/>
        <v>0</v>
      </c>
      <c r="Y151" s="61">
        <f t="shared" si="31"/>
        <v>0</v>
      </c>
      <c r="Z151" s="61">
        <f t="shared" si="31"/>
        <v>0</v>
      </c>
      <c r="AA151" s="61">
        <f t="shared" si="31"/>
        <v>0</v>
      </c>
      <c r="AB151" s="61">
        <f t="shared" si="31"/>
        <v>0</v>
      </c>
      <c r="AC151" s="61">
        <f t="shared" si="31"/>
        <v>0</v>
      </c>
      <c r="AD151" s="61">
        <f t="shared" si="31"/>
        <v>0</v>
      </c>
      <c r="AE151" s="61">
        <f t="shared" si="31"/>
        <v>0</v>
      </c>
      <c r="AF151" s="61">
        <f t="shared" si="31"/>
        <v>0</v>
      </c>
      <c r="AG151" s="61">
        <f t="shared" si="31"/>
        <v>0</v>
      </c>
      <c r="AH151" s="61">
        <f t="shared" si="31"/>
        <v>0</v>
      </c>
      <c r="AI151" s="61">
        <f t="shared" si="31"/>
        <v>0</v>
      </c>
      <c r="AJ151" s="61">
        <f t="shared" si="31"/>
        <v>0</v>
      </c>
      <c r="AK151" s="61">
        <f t="shared" si="31"/>
        <v>0</v>
      </c>
      <c r="AL151" s="61">
        <f t="shared" si="31"/>
        <v>0</v>
      </c>
      <c r="AM151" s="61">
        <f t="shared" si="33"/>
        <v>0</v>
      </c>
      <c r="AN151" s="61">
        <f t="shared" si="33"/>
        <v>0</v>
      </c>
      <c r="AO151" s="61">
        <f t="shared" si="33"/>
        <v>0</v>
      </c>
      <c r="AP151" s="61">
        <f t="shared" si="33"/>
        <v>0</v>
      </c>
      <c r="AQ151" s="61"/>
    </row>
    <row r="152" spans="2:43" x14ac:dyDescent="0.25">
      <c r="B152" s="54">
        <v>0.66666666667879304</v>
      </c>
      <c r="C152" s="54">
        <v>1.0208333334158</v>
      </c>
      <c r="D152" s="60"/>
      <c r="E152" s="91"/>
      <c r="G152" s="91">
        <f>SUMMARY!AK65</f>
        <v>0</v>
      </c>
      <c r="H152" s="92">
        <f t="shared" si="28"/>
        <v>0</v>
      </c>
      <c r="I152" s="180">
        <f>AE$132-AE$133</f>
        <v>0</v>
      </c>
      <c r="M152" s="61">
        <f t="shared" si="32"/>
        <v>0</v>
      </c>
      <c r="N152" s="61">
        <f t="shared" si="32"/>
        <v>0</v>
      </c>
      <c r="O152" s="61">
        <f t="shared" si="32"/>
        <v>0</v>
      </c>
      <c r="P152" s="61">
        <f t="shared" si="32"/>
        <v>0</v>
      </c>
      <c r="Q152" s="61">
        <f t="shared" si="32"/>
        <v>0</v>
      </c>
      <c r="R152" s="61">
        <f t="shared" si="32"/>
        <v>0</v>
      </c>
      <c r="S152" s="61">
        <f t="shared" si="32"/>
        <v>0</v>
      </c>
      <c r="T152" s="61">
        <f t="shared" si="32"/>
        <v>0</v>
      </c>
      <c r="U152" s="61">
        <f t="shared" si="32"/>
        <v>0</v>
      </c>
      <c r="V152" s="61">
        <f t="shared" si="32"/>
        <v>0</v>
      </c>
      <c r="W152" s="61">
        <f t="shared" si="31"/>
        <v>0</v>
      </c>
      <c r="X152" s="61">
        <f t="shared" si="31"/>
        <v>0</v>
      </c>
      <c r="Y152" s="61">
        <f t="shared" si="31"/>
        <v>0</v>
      </c>
      <c r="Z152" s="61">
        <f t="shared" si="31"/>
        <v>0</v>
      </c>
      <c r="AA152" s="61">
        <f t="shared" si="31"/>
        <v>0</v>
      </c>
      <c r="AB152" s="61">
        <f t="shared" si="31"/>
        <v>0</v>
      </c>
      <c r="AC152" s="61">
        <f t="shared" si="31"/>
        <v>0</v>
      </c>
      <c r="AD152" s="61">
        <f t="shared" si="31"/>
        <v>0</v>
      </c>
      <c r="AE152" s="61">
        <f t="shared" si="31"/>
        <v>0</v>
      </c>
      <c r="AF152" s="61">
        <f t="shared" si="31"/>
        <v>0</v>
      </c>
      <c r="AG152" s="61">
        <f t="shared" si="31"/>
        <v>0</v>
      </c>
      <c r="AH152" s="61">
        <f t="shared" si="31"/>
        <v>0</v>
      </c>
      <c r="AI152" s="61">
        <f t="shared" si="31"/>
        <v>0</v>
      </c>
      <c r="AJ152" s="61">
        <f t="shared" si="31"/>
        <v>0</v>
      </c>
      <c r="AK152" s="61">
        <f t="shared" si="31"/>
        <v>0</v>
      </c>
      <c r="AL152" s="61">
        <f t="shared" si="31"/>
        <v>0</v>
      </c>
      <c r="AM152" s="61">
        <f t="shared" si="33"/>
        <v>0</v>
      </c>
      <c r="AN152" s="61">
        <f t="shared" si="33"/>
        <v>0</v>
      </c>
      <c r="AO152" s="61">
        <f t="shared" si="33"/>
        <v>0</v>
      </c>
      <c r="AP152" s="61">
        <f t="shared" si="33"/>
        <v>0</v>
      </c>
      <c r="AQ152" s="61"/>
    </row>
    <row r="153" spans="2:43" x14ac:dyDescent="0.25">
      <c r="B153" s="54">
        <v>0.68750000001455203</v>
      </c>
      <c r="C153" s="54">
        <v>1.0416666667515599</v>
      </c>
      <c r="D153" s="60"/>
      <c r="E153" s="91"/>
      <c r="G153" s="91">
        <f>SUMMARY!AK66</f>
        <v>0</v>
      </c>
      <c r="H153" s="92">
        <f t="shared" si="28"/>
        <v>0</v>
      </c>
      <c r="I153" s="180">
        <f>AF$132-AF$133</f>
        <v>0</v>
      </c>
      <c r="M153" s="61">
        <f t="shared" si="32"/>
        <v>0</v>
      </c>
      <c r="N153" s="61">
        <f t="shared" si="32"/>
        <v>0</v>
      </c>
      <c r="O153" s="61">
        <f t="shared" si="32"/>
        <v>0</v>
      </c>
      <c r="P153" s="61">
        <f t="shared" si="32"/>
        <v>0</v>
      </c>
      <c r="Q153" s="61">
        <f t="shared" si="32"/>
        <v>0</v>
      </c>
      <c r="R153" s="61">
        <f t="shared" si="32"/>
        <v>0</v>
      </c>
      <c r="S153" s="61">
        <f t="shared" si="32"/>
        <v>0</v>
      </c>
      <c r="T153" s="61">
        <f t="shared" si="32"/>
        <v>0</v>
      </c>
      <c r="U153" s="61">
        <f t="shared" si="32"/>
        <v>0</v>
      </c>
      <c r="V153" s="61">
        <f t="shared" si="32"/>
        <v>0</v>
      </c>
      <c r="W153" s="61">
        <f t="shared" si="31"/>
        <v>0</v>
      </c>
      <c r="X153" s="61">
        <f t="shared" si="31"/>
        <v>0</v>
      </c>
      <c r="Y153" s="61">
        <f t="shared" si="31"/>
        <v>0</v>
      </c>
      <c r="Z153" s="61">
        <f t="shared" si="31"/>
        <v>0</v>
      </c>
      <c r="AA153" s="61">
        <f t="shared" si="31"/>
        <v>0</v>
      </c>
      <c r="AB153" s="61">
        <f t="shared" si="31"/>
        <v>0</v>
      </c>
      <c r="AC153" s="61">
        <f t="shared" si="31"/>
        <v>0</v>
      </c>
      <c r="AD153" s="61">
        <f t="shared" si="31"/>
        <v>0</v>
      </c>
      <c r="AE153" s="61">
        <f t="shared" si="31"/>
        <v>0</v>
      </c>
      <c r="AF153" s="61">
        <f t="shared" si="31"/>
        <v>0</v>
      </c>
      <c r="AG153" s="61">
        <f t="shared" si="31"/>
        <v>0</v>
      </c>
      <c r="AH153" s="61">
        <f t="shared" si="31"/>
        <v>0</v>
      </c>
      <c r="AI153" s="61">
        <f t="shared" si="31"/>
        <v>0</v>
      </c>
      <c r="AJ153" s="61">
        <f t="shared" si="31"/>
        <v>0</v>
      </c>
      <c r="AK153" s="61">
        <f t="shared" si="31"/>
        <v>0</v>
      </c>
      <c r="AL153" s="61">
        <f t="shared" si="31"/>
        <v>0</v>
      </c>
      <c r="AM153" s="61">
        <f t="shared" si="33"/>
        <v>0</v>
      </c>
      <c r="AN153" s="61">
        <f t="shared" si="33"/>
        <v>0</v>
      </c>
      <c r="AO153" s="61">
        <f t="shared" si="33"/>
        <v>0</v>
      </c>
      <c r="AP153" s="61">
        <f t="shared" si="33"/>
        <v>0</v>
      </c>
      <c r="AQ153" s="61"/>
    </row>
    <row r="154" spans="2:43" x14ac:dyDescent="0.25">
      <c r="B154" s="54">
        <v>0.70833333335031001</v>
      </c>
      <c r="C154" s="54">
        <v>1.0625000000873199</v>
      </c>
      <c r="D154" s="60"/>
      <c r="E154" s="91"/>
      <c r="G154" s="91">
        <f>SUMMARY!AK67</f>
        <v>0</v>
      </c>
      <c r="H154" s="92">
        <f t="shared" si="28"/>
        <v>0</v>
      </c>
      <c r="I154" s="180">
        <f>AG$132-AG$133</f>
        <v>0</v>
      </c>
      <c r="M154" s="61">
        <f t="shared" si="32"/>
        <v>0</v>
      </c>
      <c r="N154" s="61">
        <f t="shared" si="32"/>
        <v>0</v>
      </c>
      <c r="O154" s="61">
        <f t="shared" si="32"/>
        <v>0</v>
      </c>
      <c r="P154" s="61">
        <f t="shared" si="32"/>
        <v>0</v>
      </c>
      <c r="Q154" s="61">
        <f t="shared" si="32"/>
        <v>0</v>
      </c>
      <c r="R154" s="61">
        <f t="shared" si="32"/>
        <v>0</v>
      </c>
      <c r="S154" s="61">
        <f t="shared" si="32"/>
        <v>0</v>
      </c>
      <c r="T154" s="61">
        <f t="shared" si="32"/>
        <v>0</v>
      </c>
      <c r="U154" s="61">
        <f t="shared" si="32"/>
        <v>0</v>
      </c>
      <c r="V154" s="61">
        <f t="shared" si="32"/>
        <v>0</v>
      </c>
      <c r="W154" s="61">
        <f t="shared" si="31"/>
        <v>0</v>
      </c>
      <c r="X154" s="61">
        <f t="shared" si="31"/>
        <v>0</v>
      </c>
      <c r="Y154" s="61">
        <f t="shared" si="31"/>
        <v>0</v>
      </c>
      <c r="Z154" s="61">
        <f t="shared" si="31"/>
        <v>0</v>
      </c>
      <c r="AA154" s="61">
        <f t="shared" si="31"/>
        <v>0</v>
      </c>
      <c r="AB154" s="61">
        <f t="shared" si="31"/>
        <v>0</v>
      </c>
      <c r="AC154" s="61">
        <f t="shared" si="31"/>
        <v>0</v>
      </c>
      <c r="AD154" s="61">
        <f t="shared" si="31"/>
        <v>0</v>
      </c>
      <c r="AE154" s="61">
        <f t="shared" si="31"/>
        <v>0</v>
      </c>
      <c r="AF154" s="61">
        <f t="shared" si="31"/>
        <v>0</v>
      </c>
      <c r="AG154" s="61">
        <f t="shared" si="31"/>
        <v>0</v>
      </c>
      <c r="AH154" s="61">
        <f t="shared" si="31"/>
        <v>0</v>
      </c>
      <c r="AI154" s="61">
        <f t="shared" si="31"/>
        <v>0</v>
      </c>
      <c r="AJ154" s="61">
        <f t="shared" si="31"/>
        <v>0</v>
      </c>
      <c r="AK154" s="61">
        <f t="shared" si="31"/>
        <v>0</v>
      </c>
      <c r="AL154" s="61">
        <f t="shared" si="31"/>
        <v>0</v>
      </c>
      <c r="AM154" s="61">
        <f t="shared" si="33"/>
        <v>0</v>
      </c>
      <c r="AN154" s="61">
        <f t="shared" si="33"/>
        <v>0</v>
      </c>
      <c r="AO154" s="61">
        <f t="shared" si="33"/>
        <v>0</v>
      </c>
      <c r="AP154" s="61">
        <f t="shared" si="33"/>
        <v>0</v>
      </c>
      <c r="AQ154" s="61"/>
    </row>
    <row r="155" spans="2:43" x14ac:dyDescent="0.25">
      <c r="B155" s="54">
        <v>0.729166666686069</v>
      </c>
      <c r="C155" s="54">
        <v>1.0833333334230799</v>
      </c>
      <c r="D155" s="60"/>
      <c r="E155" s="91"/>
      <c r="G155" s="91">
        <f>SUMMARY!AK68</f>
        <v>0</v>
      </c>
      <c r="H155" s="92">
        <f t="shared" si="28"/>
        <v>0</v>
      </c>
      <c r="I155" s="180">
        <f>AH$132-AH$133</f>
        <v>0</v>
      </c>
      <c r="M155" s="61">
        <f t="shared" si="32"/>
        <v>0</v>
      </c>
      <c r="N155" s="61">
        <f t="shared" si="32"/>
        <v>0</v>
      </c>
      <c r="O155" s="61">
        <f t="shared" si="32"/>
        <v>0</v>
      </c>
      <c r="P155" s="61">
        <f t="shared" si="32"/>
        <v>0</v>
      </c>
      <c r="Q155" s="61">
        <f t="shared" si="32"/>
        <v>0</v>
      </c>
      <c r="R155" s="61">
        <f t="shared" si="32"/>
        <v>0</v>
      </c>
      <c r="S155" s="61">
        <f t="shared" si="32"/>
        <v>0</v>
      </c>
      <c r="T155" s="61">
        <f t="shared" si="32"/>
        <v>0</v>
      </c>
      <c r="U155" s="61">
        <f t="shared" si="32"/>
        <v>0</v>
      </c>
      <c r="V155" s="61">
        <f t="shared" si="32"/>
        <v>0</v>
      </c>
      <c r="W155" s="61">
        <f t="shared" si="31"/>
        <v>0</v>
      </c>
      <c r="X155" s="61">
        <f t="shared" si="31"/>
        <v>0</v>
      </c>
      <c r="Y155" s="61">
        <f t="shared" si="31"/>
        <v>0</v>
      </c>
      <c r="Z155" s="61">
        <f t="shared" si="31"/>
        <v>0</v>
      </c>
      <c r="AA155" s="61">
        <f t="shared" si="31"/>
        <v>0</v>
      </c>
      <c r="AB155" s="61">
        <f t="shared" si="31"/>
        <v>0</v>
      </c>
      <c r="AC155" s="61">
        <f t="shared" si="31"/>
        <v>0</v>
      </c>
      <c r="AD155" s="61">
        <f t="shared" si="31"/>
        <v>0</v>
      </c>
      <c r="AE155" s="61">
        <f t="shared" si="31"/>
        <v>0</v>
      </c>
      <c r="AF155" s="61">
        <f t="shared" si="31"/>
        <v>0</v>
      </c>
      <c r="AG155" s="61">
        <f t="shared" si="31"/>
        <v>0</v>
      </c>
      <c r="AH155" s="61">
        <f t="shared" si="31"/>
        <v>0</v>
      </c>
      <c r="AI155" s="61">
        <f t="shared" si="31"/>
        <v>0</v>
      </c>
      <c r="AJ155" s="61">
        <f t="shared" si="31"/>
        <v>0</v>
      </c>
      <c r="AK155" s="61">
        <f t="shared" si="31"/>
        <v>0</v>
      </c>
      <c r="AL155" s="61">
        <f t="shared" si="31"/>
        <v>0</v>
      </c>
      <c r="AM155" s="61">
        <f t="shared" si="33"/>
        <v>0</v>
      </c>
      <c r="AN155" s="61">
        <f t="shared" si="33"/>
        <v>0</v>
      </c>
      <c r="AO155" s="61">
        <f t="shared" si="33"/>
        <v>0</v>
      </c>
      <c r="AP155" s="61">
        <f t="shared" si="33"/>
        <v>0</v>
      </c>
      <c r="AQ155" s="61"/>
    </row>
    <row r="156" spans="2:43" x14ac:dyDescent="0.25">
      <c r="B156" s="54">
        <v>0.75000000002182798</v>
      </c>
      <c r="C156" s="54">
        <v>1.1041666667588399</v>
      </c>
      <c r="D156" s="60"/>
      <c r="E156" s="91"/>
      <c r="G156" s="91">
        <f>SUMMARY!AK69</f>
        <v>0</v>
      </c>
      <c r="H156" s="92">
        <f t="shared" si="28"/>
        <v>0</v>
      </c>
      <c r="I156" s="180">
        <f>AI$132-AI$133</f>
        <v>0</v>
      </c>
      <c r="M156" s="61">
        <f t="shared" si="32"/>
        <v>0</v>
      </c>
      <c r="N156" s="61">
        <f t="shared" si="32"/>
        <v>0</v>
      </c>
      <c r="O156" s="61">
        <f t="shared" si="32"/>
        <v>0</v>
      </c>
      <c r="P156" s="61">
        <f t="shared" si="32"/>
        <v>0</v>
      </c>
      <c r="Q156" s="61">
        <f t="shared" si="32"/>
        <v>0</v>
      </c>
      <c r="R156" s="61">
        <f t="shared" si="32"/>
        <v>0</v>
      </c>
      <c r="S156" s="61">
        <f t="shared" si="32"/>
        <v>0</v>
      </c>
      <c r="T156" s="61">
        <f t="shared" si="32"/>
        <v>0</v>
      </c>
      <c r="U156" s="61">
        <f t="shared" si="32"/>
        <v>0</v>
      </c>
      <c r="V156" s="61">
        <f t="shared" si="32"/>
        <v>0</v>
      </c>
      <c r="W156" s="61">
        <f t="shared" si="31"/>
        <v>0</v>
      </c>
      <c r="X156" s="61">
        <f t="shared" si="31"/>
        <v>0</v>
      </c>
      <c r="Y156" s="61">
        <f t="shared" si="31"/>
        <v>0</v>
      </c>
      <c r="Z156" s="61">
        <f t="shared" si="31"/>
        <v>0</v>
      </c>
      <c r="AA156" s="61">
        <f t="shared" si="31"/>
        <v>0</v>
      </c>
      <c r="AB156" s="61">
        <f t="shared" si="31"/>
        <v>0</v>
      </c>
      <c r="AC156" s="61">
        <f t="shared" si="31"/>
        <v>0</v>
      </c>
      <c r="AD156" s="61">
        <f t="shared" si="31"/>
        <v>0</v>
      </c>
      <c r="AE156" s="61">
        <f t="shared" si="31"/>
        <v>0</v>
      </c>
      <c r="AF156" s="61">
        <f t="shared" si="31"/>
        <v>0</v>
      </c>
      <c r="AG156" s="61">
        <f t="shared" si="31"/>
        <v>0</v>
      </c>
      <c r="AH156" s="61">
        <f t="shared" si="31"/>
        <v>0</v>
      </c>
      <c r="AI156" s="61">
        <f t="shared" si="31"/>
        <v>0</v>
      </c>
      <c r="AJ156" s="61">
        <f t="shared" si="31"/>
        <v>0</v>
      </c>
      <c r="AK156" s="61">
        <f t="shared" si="31"/>
        <v>0</v>
      </c>
      <c r="AL156" s="61">
        <f t="shared" si="31"/>
        <v>0</v>
      </c>
      <c r="AM156" s="61">
        <f t="shared" si="33"/>
        <v>0</v>
      </c>
      <c r="AN156" s="61">
        <f t="shared" si="33"/>
        <v>0</v>
      </c>
      <c r="AO156" s="61">
        <f t="shared" si="33"/>
        <v>0</v>
      </c>
      <c r="AP156" s="61">
        <f t="shared" si="33"/>
        <v>0</v>
      </c>
      <c r="AQ156" s="61"/>
    </row>
    <row r="157" spans="2:43" x14ac:dyDescent="0.25">
      <c r="B157" s="54">
        <v>0.77083333335758597</v>
      </c>
      <c r="C157" s="54">
        <v>1.1250000000945899</v>
      </c>
      <c r="D157" s="60"/>
      <c r="E157" s="91"/>
      <c r="G157" s="91">
        <f>SUMMARY!AK70</f>
        <v>0</v>
      </c>
      <c r="H157" s="92">
        <f t="shared" si="28"/>
        <v>0</v>
      </c>
      <c r="I157" s="180">
        <f>AJ$132-AJ$133</f>
        <v>0</v>
      </c>
      <c r="M157" s="61">
        <f t="shared" si="32"/>
        <v>0</v>
      </c>
      <c r="N157" s="61">
        <f t="shared" si="32"/>
        <v>0</v>
      </c>
      <c r="O157" s="61">
        <f t="shared" si="32"/>
        <v>0</v>
      </c>
      <c r="P157" s="61">
        <f t="shared" si="32"/>
        <v>0</v>
      </c>
      <c r="Q157" s="61">
        <f t="shared" si="32"/>
        <v>0</v>
      </c>
      <c r="R157" s="61">
        <f t="shared" si="32"/>
        <v>0</v>
      </c>
      <c r="S157" s="61">
        <f t="shared" si="32"/>
        <v>0</v>
      </c>
      <c r="T157" s="61">
        <f t="shared" si="32"/>
        <v>0</v>
      </c>
      <c r="U157" s="61">
        <f t="shared" si="32"/>
        <v>0</v>
      </c>
      <c r="V157" s="61">
        <f t="shared" si="32"/>
        <v>0</v>
      </c>
      <c r="W157" s="61">
        <f t="shared" si="31"/>
        <v>0</v>
      </c>
      <c r="X157" s="61">
        <f t="shared" si="31"/>
        <v>0</v>
      </c>
      <c r="Y157" s="61">
        <f t="shared" si="31"/>
        <v>0</v>
      </c>
      <c r="Z157" s="61">
        <f t="shared" si="31"/>
        <v>0</v>
      </c>
      <c r="AA157" s="61">
        <f t="shared" si="31"/>
        <v>0</v>
      </c>
      <c r="AB157" s="61">
        <f t="shared" si="31"/>
        <v>0</v>
      </c>
      <c r="AC157" s="61">
        <f t="shared" si="31"/>
        <v>0</v>
      </c>
      <c r="AD157" s="61">
        <f t="shared" si="31"/>
        <v>0</v>
      </c>
      <c r="AE157" s="61">
        <f t="shared" si="31"/>
        <v>0</v>
      </c>
      <c r="AF157" s="61">
        <f t="shared" si="31"/>
        <v>0</v>
      </c>
      <c r="AG157" s="61">
        <f t="shared" si="31"/>
        <v>0</v>
      </c>
      <c r="AH157" s="61">
        <f t="shared" si="31"/>
        <v>0</v>
      </c>
      <c r="AI157" s="61">
        <f t="shared" si="31"/>
        <v>0</v>
      </c>
      <c r="AJ157" s="61">
        <f t="shared" si="31"/>
        <v>0</v>
      </c>
      <c r="AK157" s="61">
        <f t="shared" si="31"/>
        <v>0</v>
      </c>
      <c r="AL157" s="61">
        <f t="shared" si="31"/>
        <v>0</v>
      </c>
      <c r="AM157" s="61">
        <f t="shared" si="33"/>
        <v>0</v>
      </c>
      <c r="AN157" s="61">
        <f t="shared" si="33"/>
        <v>0</v>
      </c>
      <c r="AO157" s="61">
        <f t="shared" si="33"/>
        <v>0</v>
      </c>
      <c r="AP157" s="61">
        <f t="shared" si="33"/>
        <v>0</v>
      </c>
      <c r="AQ157" s="61"/>
    </row>
    <row r="158" spans="2:43" x14ac:dyDescent="0.25">
      <c r="B158" s="54">
        <v>0.79166666669334496</v>
      </c>
      <c r="C158" s="54">
        <v>1.1458333334303501</v>
      </c>
      <c r="D158" s="60"/>
      <c r="E158" s="91"/>
      <c r="G158" s="91">
        <f>SUMMARY!AK71</f>
        <v>0</v>
      </c>
      <c r="H158" s="92">
        <f t="shared" si="28"/>
        <v>0</v>
      </c>
      <c r="I158" s="180">
        <f>AK$132-AK$133</f>
        <v>0</v>
      </c>
      <c r="M158" s="61">
        <f t="shared" si="32"/>
        <v>0</v>
      </c>
      <c r="N158" s="61">
        <f t="shared" si="32"/>
        <v>0</v>
      </c>
      <c r="O158" s="61">
        <f t="shared" si="32"/>
        <v>0</v>
      </c>
      <c r="P158" s="61">
        <f t="shared" si="32"/>
        <v>0</v>
      </c>
      <c r="Q158" s="61">
        <f t="shared" si="32"/>
        <v>0</v>
      </c>
      <c r="R158" s="61">
        <f t="shared" si="32"/>
        <v>0</v>
      </c>
      <c r="S158" s="61">
        <f t="shared" si="32"/>
        <v>0</v>
      </c>
      <c r="T158" s="61">
        <f t="shared" si="32"/>
        <v>0</v>
      </c>
      <c r="U158" s="61">
        <f t="shared" si="32"/>
        <v>0</v>
      </c>
      <c r="V158" s="61">
        <f t="shared" si="32"/>
        <v>0</v>
      </c>
      <c r="W158" s="61">
        <f t="shared" si="31"/>
        <v>0</v>
      </c>
      <c r="X158" s="61">
        <f t="shared" si="31"/>
        <v>0</v>
      </c>
      <c r="Y158" s="61">
        <f t="shared" si="31"/>
        <v>0</v>
      </c>
      <c r="Z158" s="61">
        <f t="shared" si="31"/>
        <v>0</v>
      </c>
      <c r="AA158" s="61">
        <f t="shared" si="31"/>
        <v>0</v>
      </c>
      <c r="AB158" s="61">
        <f t="shared" si="31"/>
        <v>0</v>
      </c>
      <c r="AC158" s="61">
        <f t="shared" si="31"/>
        <v>0</v>
      </c>
      <c r="AD158" s="61">
        <f t="shared" si="31"/>
        <v>0</v>
      </c>
      <c r="AE158" s="61">
        <f t="shared" si="31"/>
        <v>0</v>
      </c>
      <c r="AF158" s="61">
        <f t="shared" si="31"/>
        <v>0</v>
      </c>
      <c r="AG158" s="61">
        <f t="shared" si="31"/>
        <v>0</v>
      </c>
      <c r="AH158" s="61">
        <f t="shared" si="31"/>
        <v>0</v>
      </c>
      <c r="AI158" s="61">
        <f t="shared" si="31"/>
        <v>0</v>
      </c>
      <c r="AJ158" s="61">
        <f t="shared" si="31"/>
        <v>0</v>
      </c>
      <c r="AK158" s="61">
        <f t="shared" si="31"/>
        <v>0</v>
      </c>
      <c r="AL158" s="61">
        <f t="shared" si="31"/>
        <v>0</v>
      </c>
      <c r="AM158" s="61">
        <f t="shared" si="33"/>
        <v>0</v>
      </c>
      <c r="AN158" s="61">
        <f t="shared" si="33"/>
        <v>0</v>
      </c>
      <c r="AO158" s="61">
        <f t="shared" si="33"/>
        <v>0</v>
      </c>
      <c r="AP158" s="61">
        <f t="shared" si="33"/>
        <v>0</v>
      </c>
      <c r="AQ158" s="61"/>
    </row>
    <row r="159" spans="2:43" x14ac:dyDescent="0.25">
      <c r="B159" s="54">
        <v>0.81250000002910305</v>
      </c>
      <c r="C159" s="54">
        <v>1.1666666667661101</v>
      </c>
      <c r="D159" s="60"/>
      <c r="E159" s="91"/>
      <c r="G159" s="91">
        <f>SUMMARY!AK72</f>
        <v>0</v>
      </c>
      <c r="H159" s="92">
        <f t="shared" si="28"/>
        <v>0</v>
      </c>
      <c r="I159" s="180">
        <f>AL$132-AL$133</f>
        <v>0</v>
      </c>
      <c r="M159" s="61">
        <f t="shared" si="32"/>
        <v>0</v>
      </c>
      <c r="N159" s="61">
        <f t="shared" si="32"/>
        <v>0</v>
      </c>
      <c r="O159" s="61">
        <f t="shared" si="32"/>
        <v>0</v>
      </c>
      <c r="P159" s="61">
        <f t="shared" si="32"/>
        <v>0</v>
      </c>
      <c r="Q159" s="61">
        <f t="shared" si="32"/>
        <v>0</v>
      </c>
      <c r="R159" s="61">
        <f t="shared" si="32"/>
        <v>0</v>
      </c>
      <c r="S159" s="61">
        <f t="shared" si="32"/>
        <v>0</v>
      </c>
      <c r="T159" s="61">
        <f t="shared" si="32"/>
        <v>0</v>
      </c>
      <c r="U159" s="61">
        <f t="shared" si="32"/>
        <v>0</v>
      </c>
      <c r="V159" s="61">
        <f t="shared" si="32"/>
        <v>0</v>
      </c>
      <c r="W159" s="61">
        <f t="shared" si="31"/>
        <v>0</v>
      </c>
      <c r="X159" s="61">
        <f t="shared" si="31"/>
        <v>0</v>
      </c>
      <c r="Y159" s="61">
        <f t="shared" si="31"/>
        <v>0</v>
      </c>
      <c r="Z159" s="61">
        <f t="shared" si="31"/>
        <v>0</v>
      </c>
      <c r="AA159" s="61">
        <f t="shared" si="31"/>
        <v>0</v>
      </c>
      <c r="AB159" s="61">
        <f t="shared" si="31"/>
        <v>0</v>
      </c>
      <c r="AC159" s="61">
        <f t="shared" si="31"/>
        <v>0</v>
      </c>
      <c r="AD159" s="61">
        <f t="shared" si="31"/>
        <v>0</v>
      </c>
      <c r="AE159" s="61">
        <f t="shared" si="31"/>
        <v>0</v>
      </c>
      <c r="AF159" s="61">
        <f t="shared" si="31"/>
        <v>0</v>
      </c>
      <c r="AG159" s="61">
        <f t="shared" si="31"/>
        <v>0</v>
      </c>
      <c r="AH159" s="61">
        <f t="shared" si="31"/>
        <v>0</v>
      </c>
      <c r="AI159" s="61">
        <f t="shared" si="31"/>
        <v>0</v>
      </c>
      <c r="AJ159" s="61">
        <f t="shared" si="31"/>
        <v>0</v>
      </c>
      <c r="AK159" s="61">
        <f t="shared" si="31"/>
        <v>0</v>
      </c>
      <c r="AL159" s="61">
        <f t="shared" si="31"/>
        <v>0</v>
      </c>
      <c r="AM159" s="61">
        <f t="shared" si="33"/>
        <v>0</v>
      </c>
      <c r="AN159" s="61">
        <f t="shared" si="33"/>
        <v>0</v>
      </c>
      <c r="AO159" s="61">
        <f t="shared" si="33"/>
        <v>0</v>
      </c>
      <c r="AP159" s="61">
        <f t="shared" si="33"/>
        <v>0</v>
      </c>
      <c r="AQ159" s="61"/>
    </row>
    <row r="160" spans="2:43" x14ac:dyDescent="0.25">
      <c r="B160" s="54">
        <v>0.83333333336486204</v>
      </c>
      <c r="C160" s="54">
        <v>1.1875000001018701</v>
      </c>
      <c r="D160" s="60"/>
      <c r="E160" s="91"/>
      <c r="G160" s="91">
        <f>SUMMARY!AK73</f>
        <v>0</v>
      </c>
      <c r="H160" s="92">
        <f t="shared" si="28"/>
        <v>0</v>
      </c>
      <c r="I160" s="180">
        <f>AM$132-AM$133</f>
        <v>0</v>
      </c>
      <c r="M160" s="61">
        <f t="shared" si="32"/>
        <v>0</v>
      </c>
      <c r="N160" s="61">
        <f t="shared" si="32"/>
        <v>0</v>
      </c>
      <c r="O160" s="61">
        <f t="shared" si="32"/>
        <v>0</v>
      </c>
      <c r="P160" s="61">
        <f t="shared" si="32"/>
        <v>0</v>
      </c>
      <c r="Q160" s="61">
        <f t="shared" si="32"/>
        <v>0</v>
      </c>
      <c r="R160" s="61">
        <f t="shared" si="32"/>
        <v>0</v>
      </c>
      <c r="S160" s="61">
        <f t="shared" si="32"/>
        <v>0</v>
      </c>
      <c r="T160" s="61">
        <f t="shared" si="32"/>
        <v>0</v>
      </c>
      <c r="U160" s="61">
        <f t="shared" si="32"/>
        <v>0</v>
      </c>
      <c r="V160" s="61">
        <f t="shared" si="32"/>
        <v>0</v>
      </c>
      <c r="W160" s="61">
        <f t="shared" si="31"/>
        <v>0</v>
      </c>
      <c r="X160" s="61">
        <f t="shared" si="31"/>
        <v>0</v>
      </c>
      <c r="Y160" s="61">
        <f t="shared" si="31"/>
        <v>0</v>
      </c>
      <c r="Z160" s="61">
        <f t="shared" si="31"/>
        <v>0</v>
      </c>
      <c r="AA160" s="61">
        <f t="shared" si="31"/>
        <v>0</v>
      </c>
      <c r="AB160" s="61">
        <f t="shared" si="31"/>
        <v>0</v>
      </c>
      <c r="AC160" s="61">
        <f t="shared" si="31"/>
        <v>0</v>
      </c>
      <c r="AD160" s="61">
        <f t="shared" si="31"/>
        <v>0</v>
      </c>
      <c r="AE160" s="61">
        <f t="shared" si="31"/>
        <v>0</v>
      </c>
      <c r="AF160" s="61">
        <f t="shared" si="31"/>
        <v>0</v>
      </c>
      <c r="AG160" s="61">
        <f t="shared" si="31"/>
        <v>0</v>
      </c>
      <c r="AH160" s="61">
        <f t="shared" si="31"/>
        <v>0</v>
      </c>
      <c r="AI160" s="61">
        <f t="shared" si="31"/>
        <v>0</v>
      </c>
      <c r="AJ160" s="61">
        <f t="shared" si="31"/>
        <v>0</v>
      </c>
      <c r="AK160" s="61">
        <f t="shared" si="31"/>
        <v>0</v>
      </c>
      <c r="AL160" s="61">
        <f t="shared" si="31"/>
        <v>0</v>
      </c>
      <c r="AM160" s="61">
        <f t="shared" si="33"/>
        <v>0</v>
      </c>
      <c r="AN160" s="61">
        <f t="shared" si="33"/>
        <v>0</v>
      </c>
      <c r="AO160" s="61">
        <f t="shared" si="33"/>
        <v>0</v>
      </c>
      <c r="AP160" s="61">
        <f t="shared" si="33"/>
        <v>0</v>
      </c>
      <c r="AQ160" s="61"/>
    </row>
    <row r="161" spans="2:43" x14ac:dyDescent="0.25">
      <c r="B161" s="54">
        <v>0.85416666670062102</v>
      </c>
      <c r="C161" s="54">
        <v>1.2083333334376301</v>
      </c>
      <c r="D161" s="60"/>
      <c r="E161" s="91"/>
      <c r="G161" s="91">
        <f>SUMMARY!AK74</f>
        <v>0</v>
      </c>
      <c r="H161" s="92">
        <f t="shared" si="28"/>
        <v>0</v>
      </c>
      <c r="I161" s="180">
        <f>AN$132-AN$133</f>
        <v>0</v>
      </c>
      <c r="M161" s="61">
        <f t="shared" si="32"/>
        <v>0</v>
      </c>
      <c r="N161" s="61">
        <f t="shared" si="32"/>
        <v>0</v>
      </c>
      <c r="O161" s="61">
        <f t="shared" si="32"/>
        <v>0</v>
      </c>
      <c r="P161" s="61">
        <f t="shared" si="32"/>
        <v>0</v>
      </c>
      <c r="Q161" s="61">
        <f t="shared" si="32"/>
        <v>0</v>
      </c>
      <c r="R161" s="61">
        <f t="shared" si="32"/>
        <v>0</v>
      </c>
      <c r="S161" s="61">
        <f t="shared" si="32"/>
        <v>0</v>
      </c>
      <c r="T161" s="61">
        <f t="shared" si="32"/>
        <v>0</v>
      </c>
      <c r="U161" s="61">
        <f t="shared" si="32"/>
        <v>0</v>
      </c>
      <c r="V161" s="61">
        <f t="shared" si="32"/>
        <v>0</v>
      </c>
      <c r="W161" s="61">
        <f t="shared" si="31"/>
        <v>0</v>
      </c>
      <c r="X161" s="61">
        <f t="shared" si="31"/>
        <v>0</v>
      </c>
      <c r="Y161" s="61">
        <f t="shared" si="31"/>
        <v>0</v>
      </c>
      <c r="Z161" s="61">
        <f t="shared" si="31"/>
        <v>0</v>
      </c>
      <c r="AA161" s="61">
        <f t="shared" si="31"/>
        <v>0</v>
      </c>
      <c r="AB161" s="61">
        <f t="shared" si="31"/>
        <v>0</v>
      </c>
      <c r="AC161" s="61">
        <f t="shared" si="31"/>
        <v>0</v>
      </c>
      <c r="AD161" s="61">
        <f t="shared" si="31"/>
        <v>0</v>
      </c>
      <c r="AE161" s="61">
        <f t="shared" si="31"/>
        <v>0</v>
      </c>
      <c r="AF161" s="61">
        <f t="shared" si="31"/>
        <v>0</v>
      </c>
      <c r="AG161" s="61">
        <f t="shared" si="31"/>
        <v>0</v>
      </c>
      <c r="AH161" s="61">
        <f t="shared" si="31"/>
        <v>0</v>
      </c>
      <c r="AI161" s="61">
        <f t="shared" si="31"/>
        <v>0</v>
      </c>
      <c r="AJ161" s="61">
        <f t="shared" si="31"/>
        <v>0</v>
      </c>
      <c r="AK161" s="61">
        <f t="shared" si="31"/>
        <v>0</v>
      </c>
      <c r="AL161" s="61">
        <f t="shared" si="31"/>
        <v>0</v>
      </c>
      <c r="AM161" s="61">
        <f t="shared" si="33"/>
        <v>0</v>
      </c>
      <c r="AN161" s="61">
        <f t="shared" si="33"/>
        <v>0</v>
      </c>
      <c r="AO161" s="61">
        <f t="shared" si="33"/>
        <v>0</v>
      </c>
      <c r="AP161" s="61">
        <f t="shared" si="33"/>
        <v>0</v>
      </c>
      <c r="AQ161" s="61"/>
    </row>
    <row r="162" spans="2:43" x14ac:dyDescent="0.25">
      <c r="B162" s="54">
        <v>0.87500000003637901</v>
      </c>
      <c r="C162" s="54">
        <v>1.22916666677339</v>
      </c>
      <c r="D162" s="60"/>
      <c r="E162" s="91"/>
      <c r="G162" s="91">
        <f>SUMMARY!AK75</f>
        <v>0</v>
      </c>
      <c r="H162" s="92">
        <f t="shared" si="28"/>
        <v>0</v>
      </c>
      <c r="I162" s="180">
        <f>AO$132-AO$133</f>
        <v>0</v>
      </c>
      <c r="M162" s="61">
        <f t="shared" si="32"/>
        <v>0</v>
      </c>
      <c r="N162" s="61">
        <f t="shared" si="32"/>
        <v>0</v>
      </c>
      <c r="O162" s="61">
        <f t="shared" si="32"/>
        <v>0</v>
      </c>
      <c r="P162" s="61">
        <f t="shared" si="32"/>
        <v>0</v>
      </c>
      <c r="Q162" s="61">
        <f t="shared" si="32"/>
        <v>0</v>
      </c>
      <c r="R162" s="61">
        <f t="shared" si="32"/>
        <v>0</v>
      </c>
      <c r="S162" s="61">
        <f t="shared" si="32"/>
        <v>0</v>
      </c>
      <c r="T162" s="61">
        <f t="shared" si="32"/>
        <v>0</v>
      </c>
      <c r="U162" s="61">
        <f t="shared" si="32"/>
        <v>0</v>
      </c>
      <c r="V162" s="61">
        <f t="shared" si="32"/>
        <v>0</v>
      </c>
      <c r="W162" s="61">
        <f t="shared" si="31"/>
        <v>0</v>
      </c>
      <c r="X162" s="61">
        <f t="shared" si="31"/>
        <v>0</v>
      </c>
      <c r="Y162" s="61">
        <f t="shared" si="31"/>
        <v>0</v>
      </c>
      <c r="Z162" s="61">
        <f t="shared" si="31"/>
        <v>0</v>
      </c>
      <c r="AA162" s="61">
        <f t="shared" si="31"/>
        <v>0</v>
      </c>
      <c r="AB162" s="61">
        <f t="shared" si="31"/>
        <v>0</v>
      </c>
      <c r="AC162" s="61">
        <f t="shared" si="31"/>
        <v>0</v>
      </c>
      <c r="AD162" s="61">
        <f t="shared" si="31"/>
        <v>0</v>
      </c>
      <c r="AE162" s="61">
        <f t="shared" si="31"/>
        <v>0</v>
      </c>
      <c r="AF162" s="61">
        <f t="shared" si="31"/>
        <v>0</v>
      </c>
      <c r="AG162" s="61">
        <f t="shared" si="31"/>
        <v>0</v>
      </c>
      <c r="AH162" s="61">
        <f t="shared" si="31"/>
        <v>0</v>
      </c>
      <c r="AI162" s="61">
        <f t="shared" si="31"/>
        <v>0</v>
      </c>
      <c r="AJ162" s="61">
        <f t="shared" si="31"/>
        <v>0</v>
      </c>
      <c r="AK162" s="61">
        <f t="shared" si="31"/>
        <v>0</v>
      </c>
      <c r="AL162" s="61">
        <f t="shared" si="31"/>
        <v>0</v>
      </c>
      <c r="AM162" s="61">
        <f t="shared" si="33"/>
        <v>0</v>
      </c>
      <c r="AN162" s="61">
        <f t="shared" si="33"/>
        <v>0</v>
      </c>
      <c r="AO162" s="61">
        <f t="shared" si="33"/>
        <v>0</v>
      </c>
      <c r="AP162" s="61">
        <f t="shared" si="33"/>
        <v>0</v>
      </c>
      <c r="AQ162" s="61"/>
    </row>
    <row r="163" spans="2:43" x14ac:dyDescent="0.25">
      <c r="B163" s="54">
        <v>0.895833333372138</v>
      </c>
      <c r="C163" s="54">
        <v>1.25000000010915</v>
      </c>
      <c r="D163" s="60"/>
      <c r="E163" s="91"/>
      <c r="G163" s="91">
        <f>SUMMARY!AK76</f>
        <v>0</v>
      </c>
      <c r="H163" s="92">
        <f t="shared" si="28"/>
        <v>0</v>
      </c>
      <c r="I163" s="180">
        <f>AP$132-AP$133</f>
        <v>0</v>
      </c>
      <c r="M163" s="61">
        <f t="shared" si="32"/>
        <v>0</v>
      </c>
      <c r="N163" s="61">
        <f t="shared" si="32"/>
        <v>0</v>
      </c>
      <c r="O163" s="61">
        <f t="shared" si="32"/>
        <v>0</v>
      </c>
      <c r="P163" s="61">
        <f t="shared" si="32"/>
        <v>0</v>
      </c>
      <c r="Q163" s="61">
        <f t="shared" si="32"/>
        <v>0</v>
      </c>
      <c r="R163" s="61">
        <f t="shared" si="32"/>
        <v>0</v>
      </c>
      <c r="S163" s="61">
        <f t="shared" si="32"/>
        <v>0</v>
      </c>
      <c r="T163" s="61">
        <f t="shared" si="32"/>
        <v>0</v>
      </c>
      <c r="U163" s="61">
        <f t="shared" si="32"/>
        <v>0</v>
      </c>
      <c r="V163" s="61">
        <f t="shared" si="32"/>
        <v>0</v>
      </c>
      <c r="W163" s="61">
        <f t="shared" si="31"/>
        <v>0</v>
      </c>
      <c r="X163" s="61">
        <f t="shared" si="31"/>
        <v>0</v>
      </c>
      <c r="Y163" s="61">
        <f t="shared" si="31"/>
        <v>0</v>
      </c>
      <c r="Z163" s="61">
        <f t="shared" si="31"/>
        <v>0</v>
      </c>
      <c r="AA163" s="61">
        <f t="shared" si="31"/>
        <v>0</v>
      </c>
      <c r="AB163" s="61">
        <f t="shared" si="31"/>
        <v>0</v>
      </c>
      <c r="AC163" s="61">
        <f t="shared" si="31"/>
        <v>0</v>
      </c>
      <c r="AD163" s="61">
        <f t="shared" si="31"/>
        <v>0</v>
      </c>
      <c r="AE163" s="61">
        <f t="shared" si="31"/>
        <v>0</v>
      </c>
      <c r="AF163" s="61">
        <f t="shared" si="31"/>
        <v>0</v>
      </c>
      <c r="AG163" s="61">
        <f t="shared" si="31"/>
        <v>0</v>
      </c>
      <c r="AH163" s="61">
        <f t="shared" si="31"/>
        <v>0</v>
      </c>
      <c r="AI163" s="61">
        <f t="shared" si="31"/>
        <v>0</v>
      </c>
      <c r="AJ163" s="61">
        <f t="shared" si="31"/>
        <v>0</v>
      </c>
      <c r="AK163" s="61">
        <f t="shared" si="31"/>
        <v>0</v>
      </c>
      <c r="AL163" s="61">
        <f t="shared" si="31"/>
        <v>0</v>
      </c>
      <c r="AM163" s="61">
        <f t="shared" si="33"/>
        <v>0</v>
      </c>
      <c r="AN163" s="61">
        <f t="shared" si="33"/>
        <v>0</v>
      </c>
      <c r="AO163" s="61">
        <f t="shared" si="33"/>
        <v>0</v>
      </c>
      <c r="AP163" s="61">
        <f t="shared" si="33"/>
        <v>0</v>
      </c>
      <c r="AQ163" s="61"/>
    </row>
    <row r="164" spans="2:43" x14ac:dyDescent="0.25">
      <c r="E164" s="91"/>
      <c r="G164" s="91"/>
      <c r="I164" s="180">
        <f>NCC!$Q$36</f>
        <v>0</v>
      </c>
    </row>
    <row r="170" spans="2:43" s="52" customFormat="1" x14ac:dyDescent="0.25">
      <c r="E170" s="53"/>
      <c r="F170" s="53"/>
      <c r="G170" s="53"/>
      <c r="H170" s="53"/>
      <c r="I170" s="53"/>
      <c r="J170" s="53"/>
      <c r="K170" s="58" t="s">
        <v>32</v>
      </c>
      <c r="L170" s="53"/>
      <c r="M170" s="84">
        <f>G175</f>
        <v>0</v>
      </c>
      <c r="N170" s="84">
        <f>M170+G176</f>
        <v>0</v>
      </c>
      <c r="O170" s="84">
        <f>N170+G177</f>
        <v>0</v>
      </c>
      <c r="P170" s="84">
        <f>+O170+G178</f>
        <v>0</v>
      </c>
      <c r="Q170" s="84">
        <f>P170+G179</f>
        <v>0</v>
      </c>
      <c r="R170" s="84">
        <f>Q170+G180</f>
        <v>0</v>
      </c>
      <c r="S170" s="84">
        <f>R170+G181</f>
        <v>0</v>
      </c>
      <c r="T170" s="84">
        <f>S170+G182</f>
        <v>0</v>
      </c>
      <c r="U170" s="84">
        <f>T170+G183-G175</f>
        <v>0</v>
      </c>
      <c r="V170" s="84">
        <f>U170+G184-G176</f>
        <v>0</v>
      </c>
      <c r="W170" s="84">
        <f>V170+G185-G177</f>
        <v>0</v>
      </c>
      <c r="X170" s="84">
        <f>W170+G186-G178</f>
        <v>0</v>
      </c>
      <c r="Y170" s="84">
        <f>X170+G187-G179</f>
        <v>0</v>
      </c>
      <c r="Z170" s="84">
        <f>Y170+G188-G180</f>
        <v>0</v>
      </c>
      <c r="AA170" s="84">
        <f>Z170+G189-G181</f>
        <v>0</v>
      </c>
      <c r="AB170" s="84">
        <f>AA170+G190-G182</f>
        <v>0</v>
      </c>
      <c r="AC170" s="84">
        <f>AB170+G191-G183</f>
        <v>0</v>
      </c>
      <c r="AD170" s="84">
        <f>AC170+G192-G184</f>
        <v>0</v>
      </c>
      <c r="AE170" s="84">
        <f>AD170+G193-G185</f>
        <v>0</v>
      </c>
      <c r="AF170" s="84">
        <f>AE170+G194-G186</f>
        <v>0</v>
      </c>
      <c r="AG170" s="84">
        <f>AF170+G195-G187</f>
        <v>0</v>
      </c>
      <c r="AH170" s="84">
        <f>AG170+G196-G188</f>
        <v>0</v>
      </c>
      <c r="AI170" s="84">
        <f>AH170+G197-G189</f>
        <v>0</v>
      </c>
      <c r="AJ170" s="84">
        <f>AI170+G198-G190</f>
        <v>0</v>
      </c>
      <c r="AK170" s="84">
        <f>AJ170+G199-G191</f>
        <v>0</v>
      </c>
      <c r="AL170" s="84">
        <f>AK170+G200-G192</f>
        <v>0</v>
      </c>
      <c r="AM170" s="84">
        <f>AL170+G201-G193</f>
        <v>0</v>
      </c>
      <c r="AN170" s="84">
        <f>AM170+G202-G194</f>
        <v>0</v>
      </c>
      <c r="AO170" s="84">
        <f>AN170+G203-G195</f>
        <v>0</v>
      </c>
      <c r="AP170" s="84">
        <f>AO170+G204-G196</f>
        <v>0</v>
      </c>
      <c r="AQ170" s="84">
        <f>SUM(M170:AP170)/8.5</f>
        <v>0</v>
      </c>
    </row>
    <row r="171" spans="2:43" x14ac:dyDescent="0.25">
      <c r="J171" s="57"/>
      <c r="K171" s="58" t="s">
        <v>31</v>
      </c>
      <c r="M171" s="84">
        <f>F175</f>
        <v>0</v>
      </c>
      <c r="N171" s="84">
        <f>M171+F176</f>
        <v>0</v>
      </c>
      <c r="O171" s="84">
        <f>N171+F177</f>
        <v>0</v>
      </c>
      <c r="P171" s="84">
        <f>O171+F178</f>
        <v>0</v>
      </c>
      <c r="Q171" s="84">
        <f>P171+F179</f>
        <v>0</v>
      </c>
      <c r="R171" s="84">
        <f>Q171+F180</f>
        <v>0</v>
      </c>
      <c r="S171" s="84">
        <f>R171+F181</f>
        <v>0</v>
      </c>
      <c r="T171" s="84">
        <f>S171+F182</f>
        <v>0</v>
      </c>
      <c r="U171" s="84">
        <f>T171+F183</f>
        <v>0</v>
      </c>
      <c r="V171" s="84">
        <f>U171</f>
        <v>0</v>
      </c>
      <c r="W171" s="84">
        <f>V171</f>
        <v>0</v>
      </c>
      <c r="X171" s="84">
        <f>W171</f>
        <v>0</v>
      </c>
      <c r="Y171" s="96"/>
      <c r="Z171" s="96"/>
      <c r="AA171" s="96"/>
      <c r="AB171" s="96"/>
      <c r="AC171" s="84">
        <f t="shared" ref="AC171:AN171" si="34">M171</f>
        <v>0</v>
      </c>
      <c r="AD171" s="84">
        <f t="shared" si="34"/>
        <v>0</v>
      </c>
      <c r="AE171" s="84">
        <f t="shared" si="34"/>
        <v>0</v>
      </c>
      <c r="AF171" s="84">
        <f t="shared" si="34"/>
        <v>0</v>
      </c>
      <c r="AG171" s="84">
        <f t="shared" si="34"/>
        <v>0</v>
      </c>
      <c r="AH171" s="84">
        <f t="shared" si="34"/>
        <v>0</v>
      </c>
      <c r="AI171" s="84">
        <f t="shared" si="34"/>
        <v>0</v>
      </c>
      <c r="AJ171" s="84">
        <f t="shared" si="34"/>
        <v>0</v>
      </c>
      <c r="AK171" s="84">
        <f t="shared" si="34"/>
        <v>0</v>
      </c>
      <c r="AL171" s="84">
        <f t="shared" si="34"/>
        <v>0</v>
      </c>
      <c r="AM171" s="84">
        <f t="shared" si="34"/>
        <v>0</v>
      </c>
      <c r="AN171" s="84">
        <f t="shared" si="34"/>
        <v>0</v>
      </c>
      <c r="AO171" s="84"/>
      <c r="AP171" s="84"/>
      <c r="AQ171" s="182"/>
    </row>
    <row r="172" spans="2:43" s="57" customFormat="1" ht="17.25" customHeight="1" x14ac:dyDescent="0.25">
      <c r="K172" s="58" t="s">
        <v>13</v>
      </c>
      <c r="M172" s="84"/>
      <c r="N172" s="84"/>
      <c r="O172" s="84"/>
      <c r="P172" s="84"/>
      <c r="Q172" s="84"/>
      <c r="R172" s="84"/>
      <c r="S172" s="84"/>
      <c r="T172" s="84"/>
      <c r="U172" s="84">
        <f>M171</f>
        <v>0</v>
      </c>
      <c r="V172" s="84">
        <f>N171</f>
        <v>0</v>
      </c>
      <c r="W172" s="84">
        <f>O171</f>
        <v>0</v>
      </c>
      <c r="X172" s="84">
        <f>P171</f>
        <v>0</v>
      </c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>
        <f>AC171</f>
        <v>0</v>
      </c>
      <c r="AL172" s="84">
        <f>AD171</f>
        <v>0</v>
      </c>
      <c r="AM172" s="84">
        <f>AE171</f>
        <v>0</v>
      </c>
      <c r="AN172" s="84">
        <f>AF171</f>
        <v>0</v>
      </c>
      <c r="AO172" s="84"/>
      <c r="AP172" s="85"/>
      <c r="AQ172" s="86"/>
    </row>
    <row r="173" spans="2:43" s="57" customFormat="1" ht="17.25" customHeight="1" x14ac:dyDescent="0.25">
      <c r="B173" s="57" t="s">
        <v>20</v>
      </c>
      <c r="E173" s="59" t="s">
        <v>8</v>
      </c>
      <c r="F173" s="59" t="s">
        <v>15</v>
      </c>
      <c r="G173" s="59" t="s">
        <v>32</v>
      </c>
      <c r="H173" s="59" t="s">
        <v>16</v>
      </c>
      <c r="J173" s="58" t="s">
        <v>9</v>
      </c>
      <c r="K173" s="58">
        <f>SUM(M173:AP173)/16</f>
        <v>0</v>
      </c>
      <c r="M173" s="87">
        <f t="shared" ref="M173:AP173" si="35">SUM(M175:M204)+M171+M170-M172</f>
        <v>0</v>
      </c>
      <c r="N173" s="87">
        <f t="shared" si="35"/>
        <v>0</v>
      </c>
      <c r="O173" s="87">
        <f t="shared" si="35"/>
        <v>0</v>
      </c>
      <c r="P173" s="87">
        <f t="shared" si="35"/>
        <v>0</v>
      </c>
      <c r="Q173" s="87">
        <f t="shared" si="35"/>
        <v>0</v>
      </c>
      <c r="R173" s="87">
        <f t="shared" si="35"/>
        <v>0</v>
      </c>
      <c r="S173" s="87">
        <f t="shared" si="35"/>
        <v>0</v>
      </c>
      <c r="T173" s="87">
        <f t="shared" si="35"/>
        <v>0</v>
      </c>
      <c r="U173" s="87">
        <f t="shared" si="35"/>
        <v>0</v>
      </c>
      <c r="V173" s="87">
        <f t="shared" si="35"/>
        <v>0</v>
      </c>
      <c r="W173" s="87">
        <f t="shared" si="35"/>
        <v>0</v>
      </c>
      <c r="X173" s="87">
        <f t="shared" si="35"/>
        <v>0</v>
      </c>
      <c r="Y173" s="87">
        <f t="shared" si="35"/>
        <v>0</v>
      </c>
      <c r="Z173" s="87">
        <f t="shared" si="35"/>
        <v>0</v>
      </c>
      <c r="AA173" s="87">
        <f t="shared" si="35"/>
        <v>0</v>
      </c>
      <c r="AB173" s="87">
        <f t="shared" si="35"/>
        <v>0</v>
      </c>
      <c r="AC173" s="87">
        <f t="shared" si="35"/>
        <v>0</v>
      </c>
      <c r="AD173" s="87">
        <f t="shared" si="35"/>
        <v>0</v>
      </c>
      <c r="AE173" s="87">
        <f t="shared" si="35"/>
        <v>0</v>
      </c>
      <c r="AF173" s="87">
        <f t="shared" si="35"/>
        <v>0</v>
      </c>
      <c r="AG173" s="87">
        <f t="shared" si="35"/>
        <v>0</v>
      </c>
      <c r="AH173" s="87">
        <f t="shared" si="35"/>
        <v>0</v>
      </c>
      <c r="AI173" s="87">
        <f t="shared" si="35"/>
        <v>0</v>
      </c>
      <c r="AJ173" s="87">
        <f t="shared" si="35"/>
        <v>0</v>
      </c>
      <c r="AK173" s="87">
        <f t="shared" si="35"/>
        <v>0</v>
      </c>
      <c r="AL173" s="87">
        <f t="shared" si="35"/>
        <v>0</v>
      </c>
      <c r="AM173" s="87">
        <f t="shared" si="35"/>
        <v>0</v>
      </c>
      <c r="AN173" s="87">
        <f t="shared" si="35"/>
        <v>0</v>
      </c>
      <c r="AO173" s="87">
        <f t="shared" si="35"/>
        <v>0</v>
      </c>
      <c r="AP173" s="87">
        <f t="shared" si="35"/>
        <v>0</v>
      </c>
      <c r="AQ173" s="87"/>
    </row>
    <row r="174" spans="2:43" s="88" customFormat="1" x14ac:dyDescent="0.25">
      <c r="E174" s="178">
        <f>SUM(E175:E204)</f>
        <v>0</v>
      </c>
      <c r="F174" s="178">
        <f>SUM(F175:F204)</f>
        <v>0</v>
      </c>
      <c r="G174" s="178">
        <f>SUM(G175:G204)</f>
        <v>0</v>
      </c>
      <c r="H174" s="178">
        <f>SUM(H175:H204)</f>
        <v>0</v>
      </c>
      <c r="I174" s="89"/>
      <c r="J174" s="89"/>
      <c r="K174" s="58" t="s">
        <v>7</v>
      </c>
      <c r="L174" s="89"/>
      <c r="M174" s="180">
        <f>SUMMARY!$I$6</f>
        <v>0</v>
      </c>
      <c r="N174" s="180">
        <f>SUMMARY!$I$7</f>
        <v>0</v>
      </c>
      <c r="O174" s="180">
        <f>SUMMARY!$I$8</f>
        <v>0</v>
      </c>
      <c r="P174" s="180">
        <f>SUMMARY!$I$9</f>
        <v>0</v>
      </c>
      <c r="Q174" s="180">
        <f>SUMMARY!$I$10</f>
        <v>0</v>
      </c>
      <c r="R174" s="180">
        <f>SUMMARY!$I$11</f>
        <v>0</v>
      </c>
      <c r="S174" s="180">
        <f>SUMMARY!$I$12</f>
        <v>0</v>
      </c>
      <c r="T174" s="180">
        <f>SUMMARY!$I$13</f>
        <v>0</v>
      </c>
      <c r="U174" s="180">
        <f>SUMMARY!$I$14</f>
        <v>0</v>
      </c>
      <c r="V174" s="180">
        <f>SUMMARY!$I$15</f>
        <v>0</v>
      </c>
      <c r="W174" s="180">
        <f>SUMMARY!$I$16</f>
        <v>0</v>
      </c>
      <c r="X174" s="180">
        <f>SUMMARY!$I$17</f>
        <v>0</v>
      </c>
      <c r="Y174" s="180">
        <f>SUMMARY!$I$18</f>
        <v>0</v>
      </c>
      <c r="Z174" s="180">
        <f>SUMMARY!$I$19</f>
        <v>0</v>
      </c>
      <c r="AA174" s="180">
        <f>SUMMARY!$I$20</f>
        <v>0</v>
      </c>
      <c r="AB174" s="180">
        <f>SUMMARY!$I$21</f>
        <v>0</v>
      </c>
      <c r="AC174" s="180">
        <f>SUMMARY!$I$22</f>
        <v>0</v>
      </c>
      <c r="AD174" s="180">
        <f>SUMMARY!$I$23</f>
        <v>0</v>
      </c>
      <c r="AE174" s="180">
        <f>SUMMARY!$I$24</f>
        <v>0</v>
      </c>
      <c r="AF174" s="180">
        <f>SUMMARY!$I$25</f>
        <v>0</v>
      </c>
      <c r="AG174" s="180">
        <f>SUMMARY!$I$26</f>
        <v>0</v>
      </c>
      <c r="AH174" s="180">
        <f>SUMMARY!$I$27</f>
        <v>0</v>
      </c>
      <c r="AI174" s="180">
        <f>SUMMARY!$I$28</f>
        <v>0</v>
      </c>
      <c r="AJ174" s="180">
        <f>SUMMARY!$I$29</f>
        <v>0</v>
      </c>
      <c r="AK174" s="180">
        <f>SUMMARY!$I$30</f>
        <v>0</v>
      </c>
      <c r="AL174" s="180">
        <f>SUMMARY!$I$31</f>
        <v>0</v>
      </c>
      <c r="AM174" s="180">
        <f>SUMMARY!$I$32</f>
        <v>0</v>
      </c>
      <c r="AN174" s="180">
        <f>SUMMARY!$I$33</f>
        <v>0</v>
      </c>
      <c r="AO174" s="180">
        <f>SUMMARY!$I$34</f>
        <v>0</v>
      </c>
      <c r="AP174" s="180">
        <f>SUMMARY!$I$35</f>
        <v>0</v>
      </c>
      <c r="AQ174" s="90"/>
    </row>
    <row r="175" spans="2:43" x14ac:dyDescent="0.25">
      <c r="B175" s="54">
        <v>0.29166666666424135</v>
      </c>
      <c r="C175" s="54">
        <v>0.645833333372138</v>
      </c>
      <c r="D175" s="60"/>
      <c r="E175" s="91">
        <f>SUMMARY!AA47</f>
        <v>0</v>
      </c>
      <c r="F175" s="91">
        <f>SUMMARY!AS47</f>
        <v>0</v>
      </c>
      <c r="G175" s="91">
        <f>SUMMARY!AL47</f>
        <v>0</v>
      </c>
      <c r="H175" s="92">
        <f t="shared" ref="H175:H204" si="36">SUM(E175:G175)</f>
        <v>0</v>
      </c>
      <c r="I175" s="180">
        <f>M$173-M$174</f>
        <v>0</v>
      </c>
      <c r="M175" s="61">
        <f t="shared" ref="M175:AB190" si="37">IF(AND(M$2&gt;=$B175,M$2&lt;$C175),$E175,0)</f>
        <v>0</v>
      </c>
      <c r="N175" s="61">
        <f t="shared" si="37"/>
        <v>0</v>
      </c>
      <c r="O175" s="61">
        <f t="shared" si="37"/>
        <v>0</v>
      </c>
      <c r="P175" s="61">
        <f t="shared" si="37"/>
        <v>0</v>
      </c>
      <c r="Q175" s="61">
        <f t="shared" si="37"/>
        <v>0</v>
      </c>
      <c r="R175" s="61">
        <f t="shared" si="37"/>
        <v>0</v>
      </c>
      <c r="S175" s="61">
        <f t="shared" si="37"/>
        <v>0</v>
      </c>
      <c r="T175" s="61">
        <f t="shared" si="37"/>
        <v>0</v>
      </c>
      <c r="U175" s="61">
        <f t="shared" si="37"/>
        <v>0</v>
      </c>
      <c r="V175" s="61">
        <f t="shared" si="37"/>
        <v>0</v>
      </c>
      <c r="W175" s="61">
        <f t="shared" si="37"/>
        <v>0</v>
      </c>
      <c r="X175" s="61">
        <f t="shared" si="37"/>
        <v>0</v>
      </c>
      <c r="Y175" s="61">
        <f t="shared" si="37"/>
        <v>0</v>
      </c>
      <c r="Z175" s="61">
        <f t="shared" si="37"/>
        <v>0</v>
      </c>
      <c r="AA175" s="61">
        <f t="shared" si="37"/>
        <v>0</v>
      </c>
      <c r="AB175" s="61">
        <f t="shared" si="37"/>
        <v>0</v>
      </c>
      <c r="AC175" s="61">
        <f t="shared" ref="AC175:AP190" si="38">IF(AND(AC$2&gt;=$B175,AC$2&lt;$C175),$E175,0)</f>
        <v>0</v>
      </c>
      <c r="AD175" s="61">
        <f t="shared" si="38"/>
        <v>0</v>
      </c>
      <c r="AE175" s="61">
        <f t="shared" si="38"/>
        <v>0</v>
      </c>
      <c r="AF175" s="61">
        <f t="shared" si="38"/>
        <v>0</v>
      </c>
      <c r="AG175" s="61">
        <f t="shared" si="38"/>
        <v>0</v>
      </c>
      <c r="AH175" s="61">
        <f t="shared" si="38"/>
        <v>0</v>
      </c>
      <c r="AI175" s="61">
        <f t="shared" si="38"/>
        <v>0</v>
      </c>
      <c r="AJ175" s="61">
        <f t="shared" si="38"/>
        <v>0</v>
      </c>
      <c r="AK175" s="61">
        <f t="shared" si="38"/>
        <v>0</v>
      </c>
      <c r="AL175" s="61">
        <f t="shared" si="38"/>
        <v>0</v>
      </c>
      <c r="AM175" s="61">
        <f t="shared" si="38"/>
        <v>0</v>
      </c>
      <c r="AN175" s="61">
        <f t="shared" si="38"/>
        <v>0</v>
      </c>
      <c r="AO175" s="61">
        <f t="shared" si="38"/>
        <v>0</v>
      </c>
      <c r="AP175" s="61">
        <f t="shared" si="38"/>
        <v>0</v>
      </c>
      <c r="AQ175" s="61"/>
    </row>
    <row r="176" spans="2:43" x14ac:dyDescent="0.25">
      <c r="B176" s="54">
        <v>0.3125</v>
      </c>
      <c r="C176" s="54">
        <v>0.66666666670789698</v>
      </c>
      <c r="D176" s="60"/>
      <c r="E176" s="91">
        <f>SUMMARY!AA48</f>
        <v>0</v>
      </c>
      <c r="F176" s="91">
        <f>SUMMARY!AS48</f>
        <v>0</v>
      </c>
      <c r="G176" s="91">
        <f>SUMMARY!AL48</f>
        <v>0</v>
      </c>
      <c r="H176" s="92">
        <f t="shared" si="36"/>
        <v>0</v>
      </c>
      <c r="I176" s="180">
        <f>N$173-N$174</f>
        <v>0</v>
      </c>
      <c r="M176" s="61">
        <f t="shared" si="37"/>
        <v>0</v>
      </c>
      <c r="N176" s="61">
        <f t="shared" si="37"/>
        <v>0</v>
      </c>
      <c r="O176" s="61">
        <f t="shared" si="37"/>
        <v>0</v>
      </c>
      <c r="P176" s="61">
        <f t="shared" si="37"/>
        <v>0</v>
      </c>
      <c r="Q176" s="61">
        <f t="shared" si="37"/>
        <v>0</v>
      </c>
      <c r="R176" s="61">
        <f t="shared" si="37"/>
        <v>0</v>
      </c>
      <c r="S176" s="61">
        <f t="shared" si="37"/>
        <v>0</v>
      </c>
      <c r="T176" s="61">
        <f t="shared" si="37"/>
        <v>0</v>
      </c>
      <c r="U176" s="61">
        <f t="shared" si="37"/>
        <v>0</v>
      </c>
      <c r="V176" s="61">
        <f t="shared" si="37"/>
        <v>0</v>
      </c>
      <c r="W176" s="61">
        <f t="shared" si="37"/>
        <v>0</v>
      </c>
      <c r="X176" s="61">
        <f t="shared" si="37"/>
        <v>0</v>
      </c>
      <c r="Y176" s="61">
        <f t="shared" si="37"/>
        <v>0</v>
      </c>
      <c r="Z176" s="61">
        <f t="shared" si="37"/>
        <v>0</v>
      </c>
      <c r="AA176" s="61">
        <f t="shared" si="37"/>
        <v>0</v>
      </c>
      <c r="AB176" s="61">
        <f t="shared" si="37"/>
        <v>0</v>
      </c>
      <c r="AC176" s="61">
        <f t="shared" si="38"/>
        <v>0</v>
      </c>
      <c r="AD176" s="61">
        <f t="shared" si="38"/>
        <v>0</v>
      </c>
      <c r="AE176" s="61">
        <f t="shared" si="38"/>
        <v>0</v>
      </c>
      <c r="AF176" s="61">
        <f t="shared" si="38"/>
        <v>0</v>
      </c>
      <c r="AG176" s="61">
        <f t="shared" si="38"/>
        <v>0</v>
      </c>
      <c r="AH176" s="61">
        <f t="shared" si="38"/>
        <v>0</v>
      </c>
      <c r="AI176" s="61">
        <f t="shared" si="38"/>
        <v>0</v>
      </c>
      <c r="AJ176" s="61">
        <f t="shared" si="38"/>
        <v>0</v>
      </c>
      <c r="AK176" s="61">
        <f t="shared" si="38"/>
        <v>0</v>
      </c>
      <c r="AL176" s="61">
        <f t="shared" si="38"/>
        <v>0</v>
      </c>
      <c r="AM176" s="61">
        <f t="shared" si="38"/>
        <v>0</v>
      </c>
      <c r="AN176" s="61">
        <f t="shared" si="38"/>
        <v>0</v>
      </c>
      <c r="AO176" s="61">
        <f t="shared" si="38"/>
        <v>0</v>
      </c>
      <c r="AP176" s="61">
        <f t="shared" si="38"/>
        <v>0</v>
      </c>
      <c r="AQ176" s="61"/>
    </row>
    <row r="177" spans="2:43" x14ac:dyDescent="0.25">
      <c r="B177" s="54">
        <v>0.33333333333575865</v>
      </c>
      <c r="C177" s="54">
        <v>0.68750000004365597</v>
      </c>
      <c r="D177" s="60"/>
      <c r="E177" s="91">
        <f>SUMMARY!AA49</f>
        <v>0</v>
      </c>
      <c r="F177" s="91">
        <f>SUMMARY!AS49</f>
        <v>0</v>
      </c>
      <c r="G177" s="91">
        <f>SUMMARY!AL49</f>
        <v>0</v>
      </c>
      <c r="H177" s="92">
        <f t="shared" si="36"/>
        <v>0</v>
      </c>
      <c r="I177" s="180">
        <f>O$173-O$174</f>
        <v>0</v>
      </c>
      <c r="M177" s="61">
        <f t="shared" si="37"/>
        <v>0</v>
      </c>
      <c r="N177" s="61">
        <f t="shared" si="37"/>
        <v>0</v>
      </c>
      <c r="O177" s="61">
        <f t="shared" si="37"/>
        <v>0</v>
      </c>
      <c r="P177" s="61">
        <f t="shared" si="37"/>
        <v>0</v>
      </c>
      <c r="Q177" s="61">
        <f t="shared" si="37"/>
        <v>0</v>
      </c>
      <c r="R177" s="61">
        <f t="shared" si="37"/>
        <v>0</v>
      </c>
      <c r="S177" s="61">
        <f t="shared" si="37"/>
        <v>0</v>
      </c>
      <c r="T177" s="61">
        <f t="shared" si="37"/>
        <v>0</v>
      </c>
      <c r="U177" s="61">
        <f t="shared" si="37"/>
        <v>0</v>
      </c>
      <c r="V177" s="61">
        <f t="shared" si="37"/>
        <v>0</v>
      </c>
      <c r="W177" s="61">
        <f t="shared" si="37"/>
        <v>0</v>
      </c>
      <c r="X177" s="61">
        <f t="shared" si="37"/>
        <v>0</v>
      </c>
      <c r="Y177" s="61">
        <f t="shared" si="37"/>
        <v>0</v>
      </c>
      <c r="Z177" s="61">
        <f t="shared" si="37"/>
        <v>0</v>
      </c>
      <c r="AA177" s="61">
        <f t="shared" si="37"/>
        <v>0</v>
      </c>
      <c r="AB177" s="61">
        <f t="shared" si="37"/>
        <v>0</v>
      </c>
      <c r="AC177" s="61">
        <f t="shared" si="38"/>
        <v>0</v>
      </c>
      <c r="AD177" s="61">
        <f t="shared" si="38"/>
        <v>0</v>
      </c>
      <c r="AE177" s="61">
        <f t="shared" si="38"/>
        <v>0</v>
      </c>
      <c r="AF177" s="61"/>
      <c r="AG177" s="61">
        <f t="shared" si="38"/>
        <v>0</v>
      </c>
      <c r="AH177" s="61">
        <f t="shared" si="38"/>
        <v>0</v>
      </c>
      <c r="AI177" s="61">
        <f t="shared" si="38"/>
        <v>0</v>
      </c>
      <c r="AJ177" s="61">
        <f t="shared" si="38"/>
        <v>0</v>
      </c>
      <c r="AK177" s="61">
        <f t="shared" si="38"/>
        <v>0</v>
      </c>
      <c r="AL177" s="61">
        <f t="shared" si="38"/>
        <v>0</v>
      </c>
      <c r="AM177" s="61">
        <f t="shared" si="38"/>
        <v>0</v>
      </c>
      <c r="AN177" s="61">
        <f t="shared" si="38"/>
        <v>0</v>
      </c>
      <c r="AO177" s="61">
        <f t="shared" si="38"/>
        <v>0</v>
      </c>
      <c r="AP177" s="61">
        <f t="shared" si="38"/>
        <v>0</v>
      </c>
      <c r="AQ177" s="61"/>
    </row>
    <row r="178" spans="2:43" x14ac:dyDescent="0.25">
      <c r="B178" s="54">
        <v>0.35416666666424135</v>
      </c>
      <c r="C178" s="54">
        <v>0.70833333337941495</v>
      </c>
      <c r="D178" s="60"/>
      <c r="E178" s="91">
        <f>SUMMARY!AA50</f>
        <v>0</v>
      </c>
      <c r="F178" s="91">
        <f>SUMMARY!AS50</f>
        <v>0</v>
      </c>
      <c r="G178" s="91">
        <f>SUMMARY!AL50</f>
        <v>0</v>
      </c>
      <c r="H178" s="92">
        <f t="shared" si="36"/>
        <v>0</v>
      </c>
      <c r="I178" s="180">
        <f>P$173-P$174</f>
        <v>0</v>
      </c>
      <c r="M178" s="61">
        <f t="shared" si="37"/>
        <v>0</v>
      </c>
      <c r="N178" s="61">
        <f t="shared" si="37"/>
        <v>0</v>
      </c>
      <c r="O178" s="61">
        <f t="shared" si="37"/>
        <v>0</v>
      </c>
      <c r="P178" s="61">
        <f t="shared" si="37"/>
        <v>0</v>
      </c>
      <c r="Q178" s="61">
        <f t="shared" si="37"/>
        <v>0</v>
      </c>
      <c r="R178" s="61">
        <f t="shared" si="37"/>
        <v>0</v>
      </c>
      <c r="S178" s="61">
        <f t="shared" si="37"/>
        <v>0</v>
      </c>
      <c r="T178" s="61">
        <f t="shared" si="37"/>
        <v>0</v>
      </c>
      <c r="U178" s="61">
        <f t="shared" si="37"/>
        <v>0</v>
      </c>
      <c r="V178" s="61">
        <f t="shared" si="37"/>
        <v>0</v>
      </c>
      <c r="W178" s="61">
        <f t="shared" si="37"/>
        <v>0</v>
      </c>
      <c r="X178" s="61">
        <f t="shared" si="37"/>
        <v>0</v>
      </c>
      <c r="Y178" s="61">
        <f t="shared" si="37"/>
        <v>0</v>
      </c>
      <c r="Z178" s="61">
        <f t="shared" si="37"/>
        <v>0</v>
      </c>
      <c r="AA178" s="61">
        <f t="shared" si="37"/>
        <v>0</v>
      </c>
      <c r="AB178" s="61">
        <f t="shared" si="37"/>
        <v>0</v>
      </c>
      <c r="AC178" s="61">
        <f t="shared" si="38"/>
        <v>0</v>
      </c>
      <c r="AD178" s="61">
        <f t="shared" si="38"/>
        <v>0</v>
      </c>
      <c r="AE178" s="61">
        <f t="shared" si="38"/>
        <v>0</v>
      </c>
      <c r="AF178" s="61">
        <f t="shared" si="38"/>
        <v>0</v>
      </c>
      <c r="AG178" s="61"/>
      <c r="AH178" s="61">
        <f t="shared" si="38"/>
        <v>0</v>
      </c>
      <c r="AI178" s="61">
        <f t="shared" si="38"/>
        <v>0</v>
      </c>
      <c r="AJ178" s="61">
        <f t="shared" si="38"/>
        <v>0</v>
      </c>
      <c r="AK178" s="61">
        <f t="shared" si="38"/>
        <v>0</v>
      </c>
      <c r="AL178" s="61">
        <f t="shared" si="38"/>
        <v>0</v>
      </c>
      <c r="AM178" s="61">
        <f t="shared" si="38"/>
        <v>0</v>
      </c>
      <c r="AN178" s="61">
        <f t="shared" si="38"/>
        <v>0</v>
      </c>
      <c r="AO178" s="61">
        <f t="shared" si="38"/>
        <v>0</v>
      </c>
      <c r="AP178" s="61">
        <f t="shared" si="38"/>
        <v>0</v>
      </c>
      <c r="AQ178" s="61"/>
    </row>
    <row r="179" spans="2:43" x14ac:dyDescent="0.25">
      <c r="B179" s="54">
        <v>0.375</v>
      </c>
      <c r="C179" s="54">
        <v>0.72916666671517405</v>
      </c>
      <c r="D179" s="60"/>
      <c r="E179" s="91">
        <f>SUMMARY!AA51</f>
        <v>0</v>
      </c>
      <c r="F179" s="91">
        <f>SUMMARY!AS51</f>
        <v>0</v>
      </c>
      <c r="G179" s="91">
        <f>SUMMARY!AL51</f>
        <v>0</v>
      </c>
      <c r="H179" s="92">
        <f>SUM(E179:G179)</f>
        <v>0</v>
      </c>
      <c r="I179" s="180">
        <f>Q$173-Q$174</f>
        <v>0</v>
      </c>
      <c r="M179" s="61">
        <f t="shared" si="37"/>
        <v>0</v>
      </c>
      <c r="N179" s="61">
        <f t="shared" si="37"/>
        <v>0</v>
      </c>
      <c r="O179" s="61">
        <f t="shared" si="37"/>
        <v>0</v>
      </c>
      <c r="P179" s="61">
        <f t="shared" si="37"/>
        <v>0</v>
      </c>
      <c r="Q179" s="61">
        <f t="shared" si="37"/>
        <v>0</v>
      </c>
      <c r="R179" s="61">
        <f t="shared" si="37"/>
        <v>0</v>
      </c>
      <c r="S179" s="61">
        <f t="shared" si="37"/>
        <v>0</v>
      </c>
      <c r="T179" s="61">
        <f t="shared" si="37"/>
        <v>0</v>
      </c>
      <c r="U179" s="61">
        <f t="shared" si="37"/>
        <v>0</v>
      </c>
      <c r="V179" s="61">
        <f t="shared" si="37"/>
        <v>0</v>
      </c>
      <c r="W179" s="61">
        <f t="shared" si="37"/>
        <v>0</v>
      </c>
      <c r="X179" s="61">
        <f t="shared" si="37"/>
        <v>0</v>
      </c>
      <c r="Y179" s="61">
        <f t="shared" si="37"/>
        <v>0</v>
      </c>
      <c r="Z179" s="61">
        <f t="shared" si="37"/>
        <v>0</v>
      </c>
      <c r="AA179" s="61">
        <f t="shared" si="37"/>
        <v>0</v>
      </c>
      <c r="AB179" s="61">
        <f t="shared" si="37"/>
        <v>0</v>
      </c>
      <c r="AC179" s="61">
        <f t="shared" si="38"/>
        <v>0</v>
      </c>
      <c r="AD179" s="61">
        <f t="shared" si="38"/>
        <v>0</v>
      </c>
      <c r="AE179" s="61">
        <f t="shared" si="38"/>
        <v>0</v>
      </c>
      <c r="AF179" s="61">
        <f t="shared" si="38"/>
        <v>0</v>
      </c>
      <c r="AG179" s="61">
        <f t="shared" si="38"/>
        <v>0</v>
      </c>
      <c r="AH179" s="61"/>
      <c r="AI179" s="61">
        <f t="shared" si="38"/>
        <v>0</v>
      </c>
      <c r="AJ179" s="61">
        <f t="shared" si="38"/>
        <v>0</v>
      </c>
      <c r="AK179" s="61">
        <f t="shared" si="38"/>
        <v>0</v>
      </c>
      <c r="AL179" s="61">
        <f t="shared" si="38"/>
        <v>0</v>
      </c>
      <c r="AM179" s="61">
        <f t="shared" si="38"/>
        <v>0</v>
      </c>
      <c r="AN179" s="61">
        <f t="shared" si="38"/>
        <v>0</v>
      </c>
      <c r="AO179" s="61">
        <f t="shared" si="38"/>
        <v>0</v>
      </c>
      <c r="AP179" s="61">
        <f t="shared" si="38"/>
        <v>0</v>
      </c>
      <c r="AQ179" s="61"/>
    </row>
    <row r="180" spans="2:43" x14ac:dyDescent="0.25">
      <c r="B180" s="54">
        <v>0.39583333333575865</v>
      </c>
      <c r="C180" s="54">
        <v>0.75000000005093304</v>
      </c>
      <c r="D180" s="60"/>
      <c r="E180" s="91">
        <f>SUMMARY!AA52</f>
        <v>0</v>
      </c>
      <c r="F180" s="91">
        <f>SUMMARY!AS52</f>
        <v>0</v>
      </c>
      <c r="G180" s="91">
        <f>SUMMARY!AL52</f>
        <v>0</v>
      </c>
      <c r="H180" s="92">
        <f t="shared" si="36"/>
        <v>0</v>
      </c>
      <c r="I180" s="180">
        <f>R$173-R$174</f>
        <v>0</v>
      </c>
      <c r="M180" s="61">
        <f t="shared" si="37"/>
        <v>0</v>
      </c>
      <c r="N180" s="61">
        <f t="shared" si="37"/>
        <v>0</v>
      </c>
      <c r="O180" s="61">
        <f t="shared" si="37"/>
        <v>0</v>
      </c>
      <c r="P180" s="61">
        <f t="shared" si="37"/>
        <v>0</v>
      </c>
      <c r="Q180" s="61">
        <f t="shared" si="37"/>
        <v>0</v>
      </c>
      <c r="R180" s="61">
        <f t="shared" si="37"/>
        <v>0</v>
      </c>
      <c r="S180" s="61">
        <f t="shared" si="37"/>
        <v>0</v>
      </c>
      <c r="T180" s="61">
        <f t="shared" si="37"/>
        <v>0</v>
      </c>
      <c r="U180" s="61">
        <f t="shared" si="37"/>
        <v>0</v>
      </c>
      <c r="V180" s="61">
        <f t="shared" si="37"/>
        <v>0</v>
      </c>
      <c r="W180" s="61">
        <f t="shared" si="37"/>
        <v>0</v>
      </c>
      <c r="X180" s="61">
        <f t="shared" si="37"/>
        <v>0</v>
      </c>
      <c r="Y180" s="61">
        <f t="shared" si="37"/>
        <v>0</v>
      </c>
      <c r="Z180" s="61">
        <f t="shared" si="37"/>
        <v>0</v>
      </c>
      <c r="AA180" s="61">
        <f t="shared" si="37"/>
        <v>0</v>
      </c>
      <c r="AB180" s="61">
        <f t="shared" si="37"/>
        <v>0</v>
      </c>
      <c r="AC180" s="61">
        <f t="shared" si="38"/>
        <v>0</v>
      </c>
      <c r="AD180" s="61">
        <f t="shared" si="38"/>
        <v>0</v>
      </c>
      <c r="AE180" s="61">
        <f t="shared" si="38"/>
        <v>0</v>
      </c>
      <c r="AF180" s="61">
        <f t="shared" si="38"/>
        <v>0</v>
      </c>
      <c r="AG180" s="61">
        <f t="shared" si="38"/>
        <v>0</v>
      </c>
      <c r="AH180" s="61">
        <f t="shared" si="38"/>
        <v>0</v>
      </c>
      <c r="AI180" s="61"/>
      <c r="AJ180" s="61">
        <f t="shared" si="38"/>
        <v>0</v>
      </c>
      <c r="AK180" s="61">
        <f t="shared" si="38"/>
        <v>0</v>
      </c>
      <c r="AL180" s="61">
        <f t="shared" si="38"/>
        <v>0</v>
      </c>
      <c r="AM180" s="61">
        <f t="shared" si="38"/>
        <v>0</v>
      </c>
      <c r="AN180" s="61">
        <f t="shared" si="38"/>
        <v>0</v>
      </c>
      <c r="AO180" s="61">
        <f t="shared" si="38"/>
        <v>0</v>
      </c>
      <c r="AP180" s="61">
        <f t="shared" si="38"/>
        <v>0</v>
      </c>
      <c r="AQ180" s="61"/>
    </row>
    <row r="181" spans="2:43" x14ac:dyDescent="0.25">
      <c r="B181" s="54">
        <v>0.41666666666424135</v>
      </c>
      <c r="C181" s="54">
        <v>0.77083333338669202</v>
      </c>
      <c r="D181" s="60"/>
      <c r="E181" s="91">
        <f>SUMMARY!AA53</f>
        <v>0</v>
      </c>
      <c r="F181" s="91">
        <f>SUMMARY!AS53</f>
        <v>0</v>
      </c>
      <c r="G181" s="91">
        <f>SUMMARY!AL53</f>
        <v>0</v>
      </c>
      <c r="H181" s="92">
        <f t="shared" si="36"/>
        <v>0</v>
      </c>
      <c r="I181" s="180">
        <f>S$173-S$174</f>
        <v>0</v>
      </c>
      <c r="M181" s="61">
        <f t="shared" si="37"/>
        <v>0</v>
      </c>
      <c r="N181" s="61">
        <f t="shared" si="37"/>
        <v>0</v>
      </c>
      <c r="O181" s="61">
        <f t="shared" si="37"/>
        <v>0</v>
      </c>
      <c r="P181" s="61">
        <f t="shared" si="37"/>
        <v>0</v>
      </c>
      <c r="Q181" s="61">
        <f t="shared" si="37"/>
        <v>0</v>
      </c>
      <c r="R181" s="61">
        <f t="shared" si="37"/>
        <v>0</v>
      </c>
      <c r="S181" s="61">
        <f t="shared" si="37"/>
        <v>0</v>
      </c>
      <c r="T181" s="61">
        <f t="shared" si="37"/>
        <v>0</v>
      </c>
      <c r="U181" s="61">
        <f t="shared" si="37"/>
        <v>0</v>
      </c>
      <c r="V181" s="61">
        <f t="shared" si="37"/>
        <v>0</v>
      </c>
      <c r="W181" s="61">
        <f t="shared" si="37"/>
        <v>0</v>
      </c>
      <c r="X181" s="61">
        <f t="shared" si="37"/>
        <v>0</v>
      </c>
      <c r="Y181" s="61">
        <f t="shared" si="37"/>
        <v>0</v>
      </c>
      <c r="Z181" s="61">
        <f t="shared" si="37"/>
        <v>0</v>
      </c>
      <c r="AA181" s="61">
        <f t="shared" si="37"/>
        <v>0</v>
      </c>
      <c r="AB181" s="61">
        <f t="shared" si="37"/>
        <v>0</v>
      </c>
      <c r="AC181" s="61">
        <f t="shared" si="38"/>
        <v>0</v>
      </c>
      <c r="AD181" s="61">
        <f t="shared" si="38"/>
        <v>0</v>
      </c>
      <c r="AE181" s="61">
        <f t="shared" si="38"/>
        <v>0</v>
      </c>
      <c r="AF181" s="61">
        <f t="shared" si="38"/>
        <v>0</v>
      </c>
      <c r="AG181" s="61">
        <f t="shared" si="38"/>
        <v>0</v>
      </c>
      <c r="AH181" s="61">
        <f t="shared" si="38"/>
        <v>0</v>
      </c>
      <c r="AI181" s="61">
        <f t="shared" si="38"/>
        <v>0</v>
      </c>
      <c r="AJ181" s="61"/>
      <c r="AK181" s="61">
        <f t="shared" si="38"/>
        <v>0</v>
      </c>
      <c r="AL181" s="61">
        <f t="shared" si="38"/>
        <v>0</v>
      </c>
      <c r="AM181" s="61">
        <f t="shared" si="38"/>
        <v>0</v>
      </c>
      <c r="AN181" s="61">
        <f t="shared" si="38"/>
        <v>0</v>
      </c>
      <c r="AO181" s="61">
        <f t="shared" si="38"/>
        <v>0</v>
      </c>
      <c r="AP181" s="61">
        <f t="shared" si="38"/>
        <v>0</v>
      </c>
      <c r="AQ181" s="61"/>
    </row>
    <row r="182" spans="2:43" x14ac:dyDescent="0.25">
      <c r="B182" s="54">
        <v>0.4375</v>
      </c>
      <c r="C182" s="54">
        <v>0.79166666672245101</v>
      </c>
      <c r="D182" s="60"/>
      <c r="E182" s="91">
        <f>SUMMARY!AA54</f>
        <v>0</v>
      </c>
      <c r="F182" s="91">
        <f>SUMMARY!AS54</f>
        <v>0</v>
      </c>
      <c r="G182" s="91">
        <f>SUMMARY!AL54</f>
        <v>0</v>
      </c>
      <c r="H182" s="92">
        <f t="shared" si="36"/>
        <v>0</v>
      </c>
      <c r="I182" s="180">
        <f>T$173-T$174</f>
        <v>0</v>
      </c>
      <c r="M182" s="61">
        <f t="shared" si="37"/>
        <v>0</v>
      </c>
      <c r="N182" s="61">
        <f t="shared" si="37"/>
        <v>0</v>
      </c>
      <c r="O182" s="61">
        <f t="shared" si="37"/>
        <v>0</v>
      </c>
      <c r="P182" s="61">
        <f t="shared" si="37"/>
        <v>0</v>
      </c>
      <c r="Q182" s="61">
        <f t="shared" si="37"/>
        <v>0</v>
      </c>
      <c r="R182" s="61">
        <f t="shared" si="37"/>
        <v>0</v>
      </c>
      <c r="S182" s="61">
        <f t="shared" si="37"/>
        <v>0</v>
      </c>
      <c r="T182" s="61">
        <f t="shared" si="37"/>
        <v>0</v>
      </c>
      <c r="U182" s="61">
        <f t="shared" si="37"/>
        <v>0</v>
      </c>
      <c r="V182" s="61">
        <f t="shared" si="37"/>
        <v>0</v>
      </c>
      <c r="W182" s="61">
        <f t="shared" si="37"/>
        <v>0</v>
      </c>
      <c r="X182" s="61">
        <f t="shared" si="37"/>
        <v>0</v>
      </c>
      <c r="Y182" s="61">
        <f t="shared" si="37"/>
        <v>0</v>
      </c>
      <c r="Z182" s="61">
        <f t="shared" si="37"/>
        <v>0</v>
      </c>
      <c r="AA182" s="61">
        <f t="shared" si="37"/>
        <v>0</v>
      </c>
      <c r="AB182" s="61">
        <f t="shared" si="37"/>
        <v>0</v>
      </c>
      <c r="AC182" s="61">
        <f t="shared" si="38"/>
        <v>0</v>
      </c>
      <c r="AD182" s="61">
        <f t="shared" si="38"/>
        <v>0</v>
      </c>
      <c r="AE182" s="61">
        <f t="shared" si="38"/>
        <v>0</v>
      </c>
      <c r="AF182" s="61">
        <f t="shared" si="38"/>
        <v>0</v>
      </c>
      <c r="AG182" s="61">
        <f t="shared" si="38"/>
        <v>0</v>
      </c>
      <c r="AH182" s="61">
        <f t="shared" si="38"/>
        <v>0</v>
      </c>
      <c r="AI182" s="61">
        <f t="shared" si="38"/>
        <v>0</v>
      </c>
      <c r="AJ182" s="61">
        <f t="shared" si="38"/>
        <v>0</v>
      </c>
      <c r="AK182" s="61"/>
      <c r="AL182" s="61">
        <f>IF(AND(AL$2&gt;=$B182,AL$2&lt;$C182),$E182,0)</f>
        <v>0</v>
      </c>
      <c r="AM182" s="61">
        <f>IF(AND(AM$2&gt;=$B182,AM$2&lt;$C182),$E182,0)</f>
        <v>0</v>
      </c>
      <c r="AN182" s="61">
        <f>IF(AND(AN$2&gt;=$B182,AN$2&lt;$C182),$E182,0)</f>
        <v>0</v>
      </c>
      <c r="AO182" s="61">
        <f>IF(AND(AO$2&gt;=$B182,AO$2&lt;$C182),$E182,0)</f>
        <v>0</v>
      </c>
      <c r="AP182" s="61">
        <f>IF(AND(AP$2&gt;=$B182,AP$2&lt;$C182),$E182,0)</f>
        <v>0</v>
      </c>
      <c r="AQ182" s="61"/>
    </row>
    <row r="183" spans="2:43" x14ac:dyDescent="0.25">
      <c r="B183" s="54">
        <v>0.45833333333575865</v>
      </c>
      <c r="C183" s="54">
        <v>0.81250000005820999</v>
      </c>
      <c r="D183" s="60"/>
      <c r="E183" s="91">
        <f>SUMMARY!AA55</f>
        <v>0</v>
      </c>
      <c r="F183" s="91">
        <f>SUMMARY!AS55</f>
        <v>0</v>
      </c>
      <c r="G183" s="91">
        <f>SUMMARY!AL55</f>
        <v>0</v>
      </c>
      <c r="H183" s="92">
        <f t="shared" si="36"/>
        <v>0</v>
      </c>
      <c r="I183" s="180">
        <f>U$173-U$174</f>
        <v>0</v>
      </c>
      <c r="M183" s="61">
        <f t="shared" si="37"/>
        <v>0</v>
      </c>
      <c r="N183" s="61">
        <f t="shared" si="37"/>
        <v>0</v>
      </c>
      <c r="O183" s="61">
        <f t="shared" si="37"/>
        <v>0</v>
      </c>
      <c r="P183" s="61">
        <f t="shared" si="37"/>
        <v>0</v>
      </c>
      <c r="Q183" s="61">
        <f t="shared" si="37"/>
        <v>0</v>
      </c>
      <c r="R183" s="61">
        <f t="shared" si="37"/>
        <v>0</v>
      </c>
      <c r="S183" s="61">
        <f t="shared" si="37"/>
        <v>0</v>
      </c>
      <c r="T183" s="61">
        <f t="shared" si="37"/>
        <v>0</v>
      </c>
      <c r="U183" s="61">
        <f t="shared" si="37"/>
        <v>0</v>
      </c>
      <c r="V183" s="61">
        <f t="shared" si="37"/>
        <v>0</v>
      </c>
      <c r="W183" s="61">
        <f t="shared" si="37"/>
        <v>0</v>
      </c>
      <c r="X183" s="61">
        <f t="shared" si="37"/>
        <v>0</v>
      </c>
      <c r="Y183" s="61">
        <f t="shared" si="37"/>
        <v>0</v>
      </c>
      <c r="Z183" s="61">
        <f t="shared" si="37"/>
        <v>0</v>
      </c>
      <c r="AA183" s="61">
        <f t="shared" si="37"/>
        <v>0</v>
      </c>
      <c r="AB183" s="61">
        <f t="shared" si="37"/>
        <v>0</v>
      </c>
      <c r="AC183" s="61">
        <f t="shared" si="38"/>
        <v>0</v>
      </c>
      <c r="AD183" s="61">
        <f t="shared" si="38"/>
        <v>0</v>
      </c>
      <c r="AE183" s="61">
        <f t="shared" si="38"/>
        <v>0</v>
      </c>
      <c r="AF183" s="61">
        <f t="shared" si="38"/>
        <v>0</v>
      </c>
      <c r="AG183" s="61">
        <f t="shared" si="38"/>
        <v>0</v>
      </c>
      <c r="AH183" s="61">
        <f t="shared" si="38"/>
        <v>0</v>
      </c>
      <c r="AI183" s="61">
        <f t="shared" si="38"/>
        <v>0</v>
      </c>
      <c r="AJ183" s="61">
        <f t="shared" si="38"/>
        <v>0</v>
      </c>
      <c r="AK183" s="61">
        <f t="shared" si="38"/>
        <v>0</v>
      </c>
      <c r="AL183" s="61"/>
      <c r="AM183" s="61">
        <f>IF(AND(AM$2&gt;=$B183,AM$2&lt;$C183),$E183,0)</f>
        <v>0</v>
      </c>
      <c r="AN183" s="61">
        <f>IF(AND(AN$2&gt;=$B183,AN$2&lt;$C183),$E183,0)</f>
        <v>0</v>
      </c>
      <c r="AO183" s="61">
        <f>IF(AND(AO$2&gt;=$B183,AO$2&lt;$C183),$E183,0)</f>
        <v>0</v>
      </c>
      <c r="AP183" s="61">
        <f>IF(AND(AP$2&gt;=$B183,AP$2&lt;$C183),$E183,0)</f>
        <v>0</v>
      </c>
      <c r="AQ183" s="61"/>
    </row>
    <row r="184" spans="2:43" x14ac:dyDescent="0.25">
      <c r="B184" s="54">
        <v>0.47916666666424135</v>
      </c>
      <c r="C184" s="54">
        <v>0.83333333339396898</v>
      </c>
      <c r="D184" s="60"/>
      <c r="E184" s="91">
        <f>SUMMARY!AA56</f>
        <v>0</v>
      </c>
      <c r="G184" s="91">
        <f>SUMMARY!AL56</f>
        <v>0</v>
      </c>
      <c r="H184" s="92">
        <f t="shared" si="36"/>
        <v>0</v>
      </c>
      <c r="I184" s="180">
        <f>V$173-V$174</f>
        <v>0</v>
      </c>
      <c r="M184" s="61">
        <f t="shared" si="37"/>
        <v>0</v>
      </c>
      <c r="N184" s="61">
        <f t="shared" si="37"/>
        <v>0</v>
      </c>
      <c r="O184" s="61">
        <f t="shared" si="37"/>
        <v>0</v>
      </c>
      <c r="P184" s="61">
        <f t="shared" si="37"/>
        <v>0</v>
      </c>
      <c r="Q184" s="61">
        <f t="shared" si="37"/>
        <v>0</v>
      </c>
      <c r="R184" s="61">
        <f t="shared" si="37"/>
        <v>0</v>
      </c>
      <c r="S184" s="61">
        <f t="shared" si="37"/>
        <v>0</v>
      </c>
      <c r="T184" s="61">
        <f t="shared" si="37"/>
        <v>0</v>
      </c>
      <c r="U184" s="61">
        <f t="shared" si="37"/>
        <v>0</v>
      </c>
      <c r="V184" s="61">
        <f t="shared" si="37"/>
        <v>0</v>
      </c>
      <c r="W184" s="61">
        <f t="shared" si="37"/>
        <v>0</v>
      </c>
      <c r="X184" s="61">
        <f t="shared" si="37"/>
        <v>0</v>
      </c>
      <c r="Y184" s="61">
        <f t="shared" si="37"/>
        <v>0</v>
      </c>
      <c r="Z184" s="61">
        <f t="shared" si="37"/>
        <v>0</v>
      </c>
      <c r="AA184" s="61">
        <f t="shared" si="37"/>
        <v>0</v>
      </c>
      <c r="AB184" s="61">
        <f t="shared" si="37"/>
        <v>0</v>
      </c>
      <c r="AC184" s="61">
        <f t="shared" si="38"/>
        <v>0</v>
      </c>
      <c r="AD184" s="61">
        <f t="shared" si="38"/>
        <v>0</v>
      </c>
      <c r="AE184" s="61">
        <f t="shared" si="38"/>
        <v>0</v>
      </c>
      <c r="AF184" s="61">
        <f t="shared" si="38"/>
        <v>0</v>
      </c>
      <c r="AG184" s="61">
        <f t="shared" si="38"/>
        <v>0</v>
      </c>
      <c r="AH184" s="61">
        <f t="shared" si="38"/>
        <v>0</v>
      </c>
      <c r="AI184" s="61">
        <f t="shared" si="38"/>
        <v>0</v>
      </c>
      <c r="AJ184" s="61">
        <f t="shared" si="38"/>
        <v>0</v>
      </c>
      <c r="AK184" s="61">
        <f t="shared" si="38"/>
        <v>0</v>
      </c>
      <c r="AL184" s="61">
        <f t="shared" si="38"/>
        <v>0</v>
      </c>
      <c r="AM184" s="61"/>
      <c r="AN184" s="61">
        <f>IF(AND(AN$2&gt;=$B184,AN$2&lt;$C184),$E184,0)</f>
        <v>0</v>
      </c>
      <c r="AO184" s="61">
        <f>IF(AND(AO$2&gt;=$B184,AO$2&lt;$C184),$E184,0)</f>
        <v>0</v>
      </c>
      <c r="AP184" s="61">
        <f>IF(AND(AP$2&gt;=$B184,AP$2&lt;$C184),$E184,0)</f>
        <v>0</v>
      </c>
      <c r="AQ184" s="61"/>
    </row>
    <row r="185" spans="2:43" x14ac:dyDescent="0.25">
      <c r="B185" s="54">
        <v>0.5</v>
      </c>
      <c r="C185" s="54">
        <v>0.85416666672972796</v>
      </c>
      <c r="D185" s="60"/>
      <c r="E185" s="91">
        <f>SUMMARY!AA57</f>
        <v>0</v>
      </c>
      <c r="G185" s="91">
        <f>SUMMARY!AL57</f>
        <v>0</v>
      </c>
      <c r="H185" s="92">
        <f t="shared" si="36"/>
        <v>0</v>
      </c>
      <c r="I185" s="180">
        <f>W$173-W$174</f>
        <v>0</v>
      </c>
      <c r="M185" s="61">
        <f t="shared" si="37"/>
        <v>0</v>
      </c>
      <c r="N185" s="61">
        <f t="shared" si="37"/>
        <v>0</v>
      </c>
      <c r="O185" s="61">
        <f t="shared" si="37"/>
        <v>0</v>
      </c>
      <c r="P185" s="61">
        <f t="shared" si="37"/>
        <v>0</v>
      </c>
      <c r="Q185" s="61">
        <f t="shared" si="37"/>
        <v>0</v>
      </c>
      <c r="R185" s="61">
        <f t="shared" si="37"/>
        <v>0</v>
      </c>
      <c r="S185" s="61">
        <f t="shared" si="37"/>
        <v>0</v>
      </c>
      <c r="T185" s="61">
        <f t="shared" si="37"/>
        <v>0</v>
      </c>
      <c r="U185" s="61">
        <f t="shared" si="37"/>
        <v>0</v>
      </c>
      <c r="V185" s="61">
        <f t="shared" si="37"/>
        <v>0</v>
      </c>
      <c r="W185" s="61">
        <f t="shared" si="37"/>
        <v>0</v>
      </c>
      <c r="X185" s="61">
        <f t="shared" si="37"/>
        <v>0</v>
      </c>
      <c r="Y185" s="61">
        <f t="shared" si="37"/>
        <v>0</v>
      </c>
      <c r="Z185" s="61">
        <f t="shared" si="37"/>
        <v>0</v>
      </c>
      <c r="AA185" s="61">
        <f t="shared" si="37"/>
        <v>0</v>
      </c>
      <c r="AB185" s="61">
        <f t="shared" si="37"/>
        <v>0</v>
      </c>
      <c r="AC185" s="61">
        <f t="shared" si="38"/>
        <v>0</v>
      </c>
      <c r="AD185" s="61">
        <f t="shared" si="38"/>
        <v>0</v>
      </c>
      <c r="AE185" s="61">
        <f t="shared" si="38"/>
        <v>0</v>
      </c>
      <c r="AF185" s="61">
        <f t="shared" si="38"/>
        <v>0</v>
      </c>
      <c r="AG185" s="61">
        <f t="shared" si="38"/>
        <v>0</v>
      </c>
      <c r="AH185" s="61">
        <f t="shared" si="38"/>
        <v>0</v>
      </c>
      <c r="AI185" s="61">
        <f t="shared" si="38"/>
        <v>0</v>
      </c>
      <c r="AJ185" s="61">
        <f t="shared" si="38"/>
        <v>0</v>
      </c>
      <c r="AK185" s="61">
        <f t="shared" si="38"/>
        <v>0</v>
      </c>
      <c r="AL185" s="61">
        <f t="shared" si="38"/>
        <v>0</v>
      </c>
      <c r="AM185" s="61">
        <f t="shared" si="38"/>
        <v>0</v>
      </c>
      <c r="AN185" s="61"/>
      <c r="AO185" s="61">
        <f>IF(AND(AO$2&gt;=$B185,AO$2&lt;$C185),$E185,0)</f>
        <v>0</v>
      </c>
      <c r="AP185" s="61">
        <f>IF(AND(AP$2&gt;=$B185,AP$2&lt;$C185),$E185,0)</f>
        <v>0</v>
      </c>
      <c r="AQ185" s="61"/>
    </row>
    <row r="186" spans="2:43" x14ac:dyDescent="0.25">
      <c r="B186" s="54">
        <v>0.52083333333575865</v>
      </c>
      <c r="C186" s="54">
        <v>0.87500000006548695</v>
      </c>
      <c r="D186" s="60"/>
      <c r="E186" s="91">
        <f>SUMMARY!AA58</f>
        <v>0</v>
      </c>
      <c r="G186" s="91">
        <f>SUMMARY!AL58</f>
        <v>0</v>
      </c>
      <c r="H186" s="92">
        <f t="shared" si="36"/>
        <v>0</v>
      </c>
      <c r="I186" s="180">
        <f>X$173-X$174</f>
        <v>0</v>
      </c>
      <c r="M186" s="61">
        <f t="shared" si="37"/>
        <v>0</v>
      </c>
      <c r="N186" s="61">
        <f t="shared" si="37"/>
        <v>0</v>
      </c>
      <c r="O186" s="61">
        <f t="shared" si="37"/>
        <v>0</v>
      </c>
      <c r="P186" s="61">
        <f t="shared" si="37"/>
        <v>0</v>
      </c>
      <c r="Q186" s="61">
        <f t="shared" si="37"/>
        <v>0</v>
      </c>
      <c r="R186" s="61">
        <f t="shared" si="37"/>
        <v>0</v>
      </c>
      <c r="S186" s="61">
        <f t="shared" si="37"/>
        <v>0</v>
      </c>
      <c r="T186" s="61">
        <f t="shared" si="37"/>
        <v>0</v>
      </c>
      <c r="U186" s="61">
        <f t="shared" si="37"/>
        <v>0</v>
      </c>
      <c r="V186" s="61">
        <f t="shared" si="37"/>
        <v>0</v>
      </c>
      <c r="W186" s="61">
        <f t="shared" si="37"/>
        <v>0</v>
      </c>
      <c r="X186" s="61">
        <f t="shared" si="37"/>
        <v>0</v>
      </c>
      <c r="Y186" s="61">
        <f t="shared" si="37"/>
        <v>0</v>
      </c>
      <c r="Z186" s="61">
        <f t="shared" si="37"/>
        <v>0</v>
      </c>
      <c r="AA186" s="61">
        <f t="shared" si="37"/>
        <v>0</v>
      </c>
      <c r="AB186" s="61">
        <f t="shared" si="37"/>
        <v>0</v>
      </c>
      <c r="AC186" s="61">
        <f t="shared" si="38"/>
        <v>0</v>
      </c>
      <c r="AD186" s="61">
        <f t="shared" si="38"/>
        <v>0</v>
      </c>
      <c r="AE186" s="61">
        <f t="shared" si="38"/>
        <v>0</v>
      </c>
      <c r="AF186" s="61">
        <f t="shared" si="38"/>
        <v>0</v>
      </c>
      <c r="AG186" s="61">
        <f t="shared" si="38"/>
        <v>0</v>
      </c>
      <c r="AH186" s="61">
        <f t="shared" si="38"/>
        <v>0</v>
      </c>
      <c r="AI186" s="61">
        <f t="shared" si="38"/>
        <v>0</v>
      </c>
      <c r="AJ186" s="61">
        <f t="shared" si="38"/>
        <v>0</v>
      </c>
      <c r="AK186" s="61">
        <f t="shared" si="38"/>
        <v>0</v>
      </c>
      <c r="AL186" s="61">
        <f t="shared" si="38"/>
        <v>0</v>
      </c>
      <c r="AM186" s="61">
        <f t="shared" si="38"/>
        <v>0</v>
      </c>
      <c r="AN186" s="61">
        <f t="shared" si="38"/>
        <v>0</v>
      </c>
      <c r="AO186" s="61"/>
      <c r="AP186" s="61">
        <f>IF(AND(AP$2&gt;=$B186,AP$2&lt;$C186),$E186,0)</f>
        <v>0</v>
      </c>
      <c r="AQ186" s="61"/>
    </row>
    <row r="187" spans="2:43" x14ac:dyDescent="0.25">
      <c r="B187" s="54">
        <v>0.54166666666424135</v>
      </c>
      <c r="C187" s="54">
        <v>0.89583333340124605</v>
      </c>
      <c r="D187" s="60"/>
      <c r="E187" s="91">
        <f>SUMMARY!AA59</f>
        <v>0</v>
      </c>
      <c r="G187" s="91">
        <f>SUMMARY!AL59</f>
        <v>0</v>
      </c>
      <c r="H187" s="92">
        <f t="shared" si="36"/>
        <v>0</v>
      </c>
      <c r="I187" s="180">
        <f>Y$173-Y$174</f>
        <v>0</v>
      </c>
      <c r="M187" s="61">
        <f t="shared" si="37"/>
        <v>0</v>
      </c>
      <c r="N187" s="61">
        <f t="shared" si="37"/>
        <v>0</v>
      </c>
      <c r="O187" s="61">
        <f t="shared" si="37"/>
        <v>0</v>
      </c>
      <c r="P187" s="61">
        <f t="shared" si="37"/>
        <v>0</v>
      </c>
      <c r="Q187" s="61">
        <f t="shared" si="37"/>
        <v>0</v>
      </c>
      <c r="R187" s="61">
        <f t="shared" si="37"/>
        <v>0</v>
      </c>
      <c r="S187" s="61">
        <f t="shared" si="37"/>
        <v>0</v>
      </c>
      <c r="T187" s="61">
        <f t="shared" si="37"/>
        <v>0</v>
      </c>
      <c r="U187" s="61">
        <f t="shared" si="37"/>
        <v>0</v>
      </c>
      <c r="V187" s="61">
        <f t="shared" si="37"/>
        <v>0</v>
      </c>
      <c r="W187" s="61">
        <f t="shared" si="37"/>
        <v>0</v>
      </c>
      <c r="X187" s="61">
        <f t="shared" si="37"/>
        <v>0</v>
      </c>
      <c r="Y187" s="61">
        <f t="shared" si="37"/>
        <v>0</v>
      </c>
      <c r="Z187" s="61">
        <f t="shared" si="37"/>
        <v>0</v>
      </c>
      <c r="AA187" s="61">
        <f t="shared" si="37"/>
        <v>0</v>
      </c>
      <c r="AB187" s="61">
        <f t="shared" si="37"/>
        <v>0</v>
      </c>
      <c r="AC187" s="61">
        <f t="shared" si="38"/>
        <v>0</v>
      </c>
      <c r="AD187" s="61">
        <f t="shared" si="38"/>
        <v>0</v>
      </c>
      <c r="AE187" s="61">
        <f t="shared" si="38"/>
        <v>0</v>
      </c>
      <c r="AF187" s="61">
        <f t="shared" si="38"/>
        <v>0</v>
      </c>
      <c r="AG187" s="61">
        <f t="shared" si="38"/>
        <v>0</v>
      </c>
      <c r="AH187" s="61">
        <f t="shared" si="38"/>
        <v>0</v>
      </c>
      <c r="AI187" s="61">
        <f t="shared" si="38"/>
        <v>0</v>
      </c>
      <c r="AJ187" s="61">
        <f t="shared" si="38"/>
        <v>0</v>
      </c>
      <c r="AK187" s="61">
        <f t="shared" si="38"/>
        <v>0</v>
      </c>
      <c r="AL187" s="61">
        <f t="shared" si="38"/>
        <v>0</v>
      </c>
      <c r="AM187" s="61">
        <f t="shared" si="38"/>
        <v>0</v>
      </c>
      <c r="AN187" s="61">
        <f t="shared" si="38"/>
        <v>0</v>
      </c>
      <c r="AO187" s="61">
        <f t="shared" si="38"/>
        <v>0</v>
      </c>
      <c r="AP187" s="61"/>
      <c r="AQ187" s="61"/>
    </row>
    <row r="188" spans="2:43" x14ac:dyDescent="0.25">
      <c r="B188" s="54">
        <v>0.5625</v>
      </c>
      <c r="C188" s="54">
        <v>0.91666666673700503</v>
      </c>
      <c r="D188" s="60"/>
      <c r="E188" s="91">
        <f>SUMMARY!AA60</f>
        <v>0</v>
      </c>
      <c r="G188" s="91">
        <f>SUMMARY!AL60</f>
        <v>0</v>
      </c>
      <c r="H188" s="92">
        <f t="shared" si="36"/>
        <v>0</v>
      </c>
      <c r="I188" s="180">
        <f>Z$173-Z$174</f>
        <v>0</v>
      </c>
      <c r="M188" s="61">
        <f t="shared" si="37"/>
        <v>0</v>
      </c>
      <c r="N188" s="61">
        <f t="shared" si="37"/>
        <v>0</v>
      </c>
      <c r="O188" s="61">
        <f t="shared" si="37"/>
        <v>0</v>
      </c>
      <c r="P188" s="61">
        <f t="shared" si="37"/>
        <v>0</v>
      </c>
      <c r="Q188" s="61">
        <f t="shared" si="37"/>
        <v>0</v>
      </c>
      <c r="R188" s="61">
        <f t="shared" si="37"/>
        <v>0</v>
      </c>
      <c r="S188" s="61">
        <f t="shared" si="37"/>
        <v>0</v>
      </c>
      <c r="T188" s="61">
        <f t="shared" si="37"/>
        <v>0</v>
      </c>
      <c r="U188" s="61">
        <f t="shared" si="37"/>
        <v>0</v>
      </c>
      <c r="V188" s="61">
        <f t="shared" si="37"/>
        <v>0</v>
      </c>
      <c r="W188" s="61">
        <f t="shared" si="37"/>
        <v>0</v>
      </c>
      <c r="X188" s="61">
        <f t="shared" si="37"/>
        <v>0</v>
      </c>
      <c r="Y188" s="61">
        <f t="shared" si="37"/>
        <v>0</v>
      </c>
      <c r="Z188" s="61">
        <f t="shared" si="37"/>
        <v>0</v>
      </c>
      <c r="AA188" s="61">
        <f t="shared" si="37"/>
        <v>0</v>
      </c>
      <c r="AB188" s="61">
        <f t="shared" si="37"/>
        <v>0</v>
      </c>
      <c r="AC188" s="61">
        <f t="shared" si="38"/>
        <v>0</v>
      </c>
      <c r="AD188" s="61">
        <f t="shared" si="38"/>
        <v>0</v>
      </c>
      <c r="AE188" s="61">
        <f t="shared" si="38"/>
        <v>0</v>
      </c>
      <c r="AF188" s="61">
        <f t="shared" si="38"/>
        <v>0</v>
      </c>
      <c r="AG188" s="61">
        <f t="shared" si="38"/>
        <v>0</v>
      </c>
      <c r="AH188" s="61">
        <f t="shared" si="38"/>
        <v>0</v>
      </c>
      <c r="AI188" s="61">
        <f t="shared" si="38"/>
        <v>0</v>
      </c>
      <c r="AJ188" s="61">
        <f t="shared" si="38"/>
        <v>0</v>
      </c>
      <c r="AK188" s="61">
        <f t="shared" si="38"/>
        <v>0</v>
      </c>
      <c r="AL188" s="61">
        <f t="shared" si="38"/>
        <v>0</v>
      </c>
      <c r="AM188" s="61">
        <f t="shared" si="38"/>
        <v>0</v>
      </c>
      <c r="AN188" s="61">
        <f t="shared" si="38"/>
        <v>0</v>
      </c>
      <c r="AO188" s="61">
        <f t="shared" si="38"/>
        <v>0</v>
      </c>
      <c r="AP188" s="61">
        <f t="shared" si="38"/>
        <v>0</v>
      </c>
      <c r="AQ188" s="61"/>
    </row>
    <row r="189" spans="2:43" x14ac:dyDescent="0.25">
      <c r="B189" s="54">
        <v>0.58333333333575899</v>
      </c>
      <c r="C189" s="54">
        <v>0.93750000007276402</v>
      </c>
      <c r="D189" s="60"/>
      <c r="E189" s="91"/>
      <c r="G189" s="91">
        <f>SUMMARY!AL61</f>
        <v>0</v>
      </c>
      <c r="H189" s="92">
        <f t="shared" si="36"/>
        <v>0</v>
      </c>
      <c r="I189" s="180">
        <f>AA$173-AA$174</f>
        <v>0</v>
      </c>
      <c r="M189" s="61">
        <f t="shared" si="37"/>
        <v>0</v>
      </c>
      <c r="N189" s="61">
        <f t="shared" si="37"/>
        <v>0</v>
      </c>
      <c r="O189" s="61">
        <f t="shared" si="37"/>
        <v>0</v>
      </c>
      <c r="P189" s="61">
        <f t="shared" si="37"/>
        <v>0</v>
      </c>
      <c r="Q189" s="61">
        <f t="shared" si="37"/>
        <v>0</v>
      </c>
      <c r="R189" s="61">
        <f t="shared" si="37"/>
        <v>0</v>
      </c>
      <c r="S189" s="61">
        <f t="shared" si="37"/>
        <v>0</v>
      </c>
      <c r="T189" s="61">
        <f t="shared" si="37"/>
        <v>0</v>
      </c>
      <c r="U189" s="61">
        <f t="shared" si="37"/>
        <v>0</v>
      </c>
      <c r="V189" s="61">
        <f t="shared" si="37"/>
        <v>0</v>
      </c>
      <c r="W189" s="61">
        <f t="shared" si="37"/>
        <v>0</v>
      </c>
      <c r="X189" s="61">
        <f t="shared" si="37"/>
        <v>0</v>
      </c>
      <c r="Y189" s="61">
        <f t="shared" si="37"/>
        <v>0</v>
      </c>
      <c r="Z189" s="61">
        <f t="shared" si="37"/>
        <v>0</v>
      </c>
      <c r="AA189" s="61">
        <f t="shared" si="37"/>
        <v>0</v>
      </c>
      <c r="AB189" s="61">
        <f t="shared" si="37"/>
        <v>0</v>
      </c>
      <c r="AC189" s="61">
        <f t="shared" si="38"/>
        <v>0</v>
      </c>
      <c r="AD189" s="61">
        <f t="shared" si="38"/>
        <v>0</v>
      </c>
      <c r="AE189" s="61">
        <f t="shared" si="38"/>
        <v>0</v>
      </c>
      <c r="AF189" s="61">
        <f t="shared" si="38"/>
        <v>0</v>
      </c>
      <c r="AG189" s="61">
        <f t="shared" si="38"/>
        <v>0</v>
      </c>
      <c r="AH189" s="61">
        <f t="shared" si="38"/>
        <v>0</v>
      </c>
      <c r="AI189" s="61">
        <f t="shared" si="38"/>
        <v>0</v>
      </c>
      <c r="AJ189" s="61">
        <f t="shared" si="38"/>
        <v>0</v>
      </c>
      <c r="AK189" s="61">
        <f t="shared" si="38"/>
        <v>0</v>
      </c>
      <c r="AL189" s="61">
        <f t="shared" si="38"/>
        <v>0</v>
      </c>
      <c r="AM189" s="61">
        <f t="shared" si="38"/>
        <v>0</v>
      </c>
      <c r="AN189" s="61">
        <f t="shared" si="38"/>
        <v>0</v>
      </c>
      <c r="AO189" s="61">
        <f t="shared" si="38"/>
        <v>0</v>
      </c>
      <c r="AP189" s="61">
        <f t="shared" si="38"/>
        <v>0</v>
      </c>
      <c r="AQ189" s="61"/>
    </row>
    <row r="190" spans="2:43" x14ac:dyDescent="0.25">
      <c r="B190" s="54">
        <v>0.60416666667151697</v>
      </c>
      <c r="C190" s="54">
        <v>0.958333333408523</v>
      </c>
      <c r="D190" s="60"/>
      <c r="E190" s="91"/>
      <c r="G190" s="91">
        <f>SUMMARY!AL62</f>
        <v>0</v>
      </c>
      <c r="H190" s="92">
        <f t="shared" si="36"/>
        <v>0</v>
      </c>
      <c r="I190" s="180">
        <f>AB$173-AB$174</f>
        <v>0</v>
      </c>
      <c r="M190" s="61">
        <f t="shared" si="37"/>
        <v>0</v>
      </c>
      <c r="N190" s="61">
        <f t="shared" si="37"/>
        <v>0</v>
      </c>
      <c r="O190" s="61">
        <f t="shared" si="37"/>
        <v>0</v>
      </c>
      <c r="P190" s="61">
        <f t="shared" si="37"/>
        <v>0</v>
      </c>
      <c r="Q190" s="61">
        <f t="shared" si="37"/>
        <v>0</v>
      </c>
      <c r="R190" s="61">
        <f t="shared" si="37"/>
        <v>0</v>
      </c>
      <c r="S190" s="61">
        <f t="shared" si="37"/>
        <v>0</v>
      </c>
      <c r="T190" s="61">
        <f t="shared" si="37"/>
        <v>0</v>
      </c>
      <c r="U190" s="61">
        <f t="shared" si="37"/>
        <v>0</v>
      </c>
      <c r="V190" s="61">
        <f t="shared" si="37"/>
        <v>0</v>
      </c>
      <c r="W190" s="61">
        <f t="shared" si="37"/>
        <v>0</v>
      </c>
      <c r="X190" s="61">
        <f t="shared" si="37"/>
        <v>0</v>
      </c>
      <c r="Y190" s="61">
        <f t="shared" si="37"/>
        <v>0</v>
      </c>
      <c r="Z190" s="61">
        <f t="shared" si="37"/>
        <v>0</v>
      </c>
      <c r="AA190" s="61">
        <f t="shared" si="37"/>
        <v>0</v>
      </c>
      <c r="AB190" s="61">
        <f t="shared" ref="W190:AL204" si="39">IF(AND(AB$2&gt;=$B190,AB$2&lt;$C190),$E190,0)</f>
        <v>0</v>
      </c>
      <c r="AC190" s="61">
        <f t="shared" si="39"/>
        <v>0</v>
      </c>
      <c r="AD190" s="61">
        <f t="shared" si="39"/>
        <v>0</v>
      </c>
      <c r="AE190" s="61">
        <f t="shared" si="39"/>
        <v>0</v>
      </c>
      <c r="AF190" s="61">
        <f t="shared" si="38"/>
        <v>0</v>
      </c>
      <c r="AG190" s="61">
        <f t="shared" si="38"/>
        <v>0</v>
      </c>
      <c r="AH190" s="61">
        <f t="shared" si="38"/>
        <v>0</v>
      </c>
      <c r="AI190" s="61">
        <f t="shared" si="38"/>
        <v>0</v>
      </c>
      <c r="AJ190" s="61">
        <f t="shared" si="38"/>
        <v>0</v>
      </c>
      <c r="AK190" s="61">
        <f t="shared" si="38"/>
        <v>0</v>
      </c>
      <c r="AL190" s="61">
        <f t="shared" si="38"/>
        <v>0</v>
      </c>
      <c r="AM190" s="61">
        <f t="shared" si="38"/>
        <v>0</v>
      </c>
      <c r="AN190" s="61">
        <f t="shared" si="38"/>
        <v>0</v>
      </c>
      <c r="AO190" s="61">
        <f t="shared" si="38"/>
        <v>0</v>
      </c>
      <c r="AP190" s="61">
        <f t="shared" si="38"/>
        <v>0</v>
      </c>
      <c r="AQ190" s="61"/>
    </row>
    <row r="191" spans="2:43" x14ac:dyDescent="0.25">
      <c r="B191" s="54">
        <v>0.62500000000727596</v>
      </c>
      <c r="C191" s="54">
        <v>0.97916666674428199</v>
      </c>
      <c r="D191" s="60"/>
      <c r="E191" s="91"/>
      <c r="G191" s="91">
        <f>SUMMARY!AL63</f>
        <v>0</v>
      </c>
      <c r="H191" s="92">
        <f t="shared" si="36"/>
        <v>0</v>
      </c>
      <c r="I191" s="180">
        <f>AC$173-AC$174</f>
        <v>0</v>
      </c>
      <c r="M191" s="61">
        <f t="shared" ref="M191:V204" si="40">IF(AND(M$2&gt;=$B191,M$2&lt;$C191),$E191,0)</f>
        <v>0</v>
      </c>
      <c r="N191" s="61">
        <f t="shared" si="40"/>
        <v>0</v>
      </c>
      <c r="O191" s="61">
        <f t="shared" si="40"/>
        <v>0</v>
      </c>
      <c r="P191" s="61">
        <f t="shared" si="40"/>
        <v>0</v>
      </c>
      <c r="Q191" s="61">
        <f t="shared" si="40"/>
        <v>0</v>
      </c>
      <c r="R191" s="61">
        <f t="shared" si="40"/>
        <v>0</v>
      </c>
      <c r="S191" s="61">
        <f t="shared" si="40"/>
        <v>0</v>
      </c>
      <c r="T191" s="61">
        <f t="shared" si="40"/>
        <v>0</v>
      </c>
      <c r="U191" s="61">
        <f t="shared" si="40"/>
        <v>0</v>
      </c>
      <c r="V191" s="61">
        <f t="shared" si="40"/>
        <v>0</v>
      </c>
      <c r="W191" s="61">
        <f t="shared" si="39"/>
        <v>0</v>
      </c>
      <c r="X191" s="61">
        <f t="shared" si="39"/>
        <v>0</v>
      </c>
      <c r="Y191" s="61">
        <f t="shared" si="39"/>
        <v>0</v>
      </c>
      <c r="Z191" s="61">
        <f t="shared" si="39"/>
        <v>0</v>
      </c>
      <c r="AA191" s="61">
        <f t="shared" si="39"/>
        <v>0</v>
      </c>
      <c r="AB191" s="61">
        <f t="shared" si="39"/>
        <v>0</v>
      </c>
      <c r="AC191" s="61">
        <f t="shared" si="39"/>
        <v>0</v>
      </c>
      <c r="AD191" s="61">
        <f t="shared" si="39"/>
        <v>0</v>
      </c>
      <c r="AE191" s="61">
        <f t="shared" si="39"/>
        <v>0</v>
      </c>
      <c r="AF191" s="61">
        <f t="shared" si="39"/>
        <v>0</v>
      </c>
      <c r="AG191" s="61">
        <f t="shared" si="39"/>
        <v>0</v>
      </c>
      <c r="AH191" s="61">
        <f t="shared" si="39"/>
        <v>0</v>
      </c>
      <c r="AI191" s="61">
        <f t="shared" si="39"/>
        <v>0</v>
      </c>
      <c r="AJ191" s="61">
        <f t="shared" si="39"/>
        <v>0</v>
      </c>
      <c r="AK191" s="61">
        <f t="shared" si="39"/>
        <v>0</v>
      </c>
      <c r="AL191" s="61">
        <f t="shared" si="39"/>
        <v>0</v>
      </c>
      <c r="AM191" s="61">
        <f t="shared" ref="AM191:AP204" si="41">IF(AND(AM$2&gt;=$B191,AM$2&lt;$C191),$E191,0)</f>
        <v>0</v>
      </c>
      <c r="AN191" s="61">
        <f t="shared" si="41"/>
        <v>0</v>
      </c>
      <c r="AO191" s="61">
        <f t="shared" si="41"/>
        <v>0</v>
      </c>
      <c r="AP191" s="61">
        <f t="shared" si="41"/>
        <v>0</v>
      </c>
      <c r="AQ191" s="61"/>
    </row>
    <row r="192" spans="2:43" x14ac:dyDescent="0.25">
      <c r="B192" s="54">
        <v>0.64583333334303406</v>
      </c>
      <c r="C192" s="54">
        <v>1.00000000008004</v>
      </c>
      <c r="D192" s="60"/>
      <c r="E192" s="91"/>
      <c r="G192" s="91">
        <f>SUMMARY!AL64</f>
        <v>0</v>
      </c>
      <c r="H192" s="92">
        <f t="shared" si="36"/>
        <v>0</v>
      </c>
      <c r="I192" s="180">
        <f>AD$173-AD$174</f>
        <v>0</v>
      </c>
      <c r="M192" s="61">
        <f t="shared" si="40"/>
        <v>0</v>
      </c>
      <c r="N192" s="61">
        <f t="shared" si="40"/>
        <v>0</v>
      </c>
      <c r="O192" s="61">
        <f t="shared" si="40"/>
        <v>0</v>
      </c>
      <c r="P192" s="61">
        <f t="shared" si="40"/>
        <v>0</v>
      </c>
      <c r="Q192" s="61">
        <f t="shared" si="40"/>
        <v>0</v>
      </c>
      <c r="R192" s="61">
        <f t="shared" si="40"/>
        <v>0</v>
      </c>
      <c r="S192" s="61">
        <f t="shared" si="40"/>
        <v>0</v>
      </c>
      <c r="T192" s="61">
        <f t="shared" si="40"/>
        <v>0</v>
      </c>
      <c r="U192" s="61">
        <f t="shared" si="40"/>
        <v>0</v>
      </c>
      <c r="V192" s="61">
        <f t="shared" si="40"/>
        <v>0</v>
      </c>
      <c r="W192" s="61">
        <f t="shared" si="39"/>
        <v>0</v>
      </c>
      <c r="X192" s="61">
        <f t="shared" si="39"/>
        <v>0</v>
      </c>
      <c r="Y192" s="61">
        <f t="shared" si="39"/>
        <v>0</v>
      </c>
      <c r="Z192" s="61">
        <f t="shared" si="39"/>
        <v>0</v>
      </c>
      <c r="AA192" s="61">
        <f t="shared" si="39"/>
        <v>0</v>
      </c>
      <c r="AB192" s="61">
        <f t="shared" si="39"/>
        <v>0</v>
      </c>
      <c r="AC192" s="61">
        <f t="shared" si="39"/>
        <v>0</v>
      </c>
      <c r="AD192" s="61">
        <f t="shared" si="39"/>
        <v>0</v>
      </c>
      <c r="AE192" s="61">
        <f t="shared" si="39"/>
        <v>0</v>
      </c>
      <c r="AF192" s="61">
        <f t="shared" si="39"/>
        <v>0</v>
      </c>
      <c r="AG192" s="61">
        <f t="shared" si="39"/>
        <v>0</v>
      </c>
      <c r="AH192" s="61">
        <f t="shared" si="39"/>
        <v>0</v>
      </c>
      <c r="AI192" s="61">
        <f t="shared" si="39"/>
        <v>0</v>
      </c>
      <c r="AJ192" s="61">
        <f t="shared" si="39"/>
        <v>0</v>
      </c>
      <c r="AK192" s="61">
        <f t="shared" si="39"/>
        <v>0</v>
      </c>
      <c r="AL192" s="61">
        <f t="shared" si="39"/>
        <v>0</v>
      </c>
      <c r="AM192" s="61">
        <f t="shared" si="41"/>
        <v>0</v>
      </c>
      <c r="AN192" s="61">
        <f t="shared" si="41"/>
        <v>0</v>
      </c>
      <c r="AO192" s="61">
        <f t="shared" si="41"/>
        <v>0</v>
      </c>
      <c r="AP192" s="61">
        <f t="shared" si="41"/>
        <v>0</v>
      </c>
      <c r="AQ192" s="61"/>
    </row>
    <row r="193" spans="2:43" x14ac:dyDescent="0.25">
      <c r="B193" s="54">
        <v>0.66666666667879304</v>
      </c>
      <c r="C193" s="54">
        <v>1.0208333334158</v>
      </c>
      <c r="D193" s="60"/>
      <c r="E193" s="91"/>
      <c r="G193" s="91">
        <f>SUMMARY!AL65</f>
        <v>0</v>
      </c>
      <c r="H193" s="92">
        <f t="shared" si="36"/>
        <v>0</v>
      </c>
      <c r="I193" s="180">
        <f>AE$173-AE$174</f>
        <v>0</v>
      </c>
      <c r="M193" s="61">
        <f t="shared" si="40"/>
        <v>0</v>
      </c>
      <c r="N193" s="61">
        <f t="shared" si="40"/>
        <v>0</v>
      </c>
      <c r="O193" s="61">
        <f t="shared" si="40"/>
        <v>0</v>
      </c>
      <c r="P193" s="61">
        <f t="shared" si="40"/>
        <v>0</v>
      </c>
      <c r="Q193" s="61">
        <f t="shared" si="40"/>
        <v>0</v>
      </c>
      <c r="R193" s="61">
        <f t="shared" si="40"/>
        <v>0</v>
      </c>
      <c r="S193" s="61">
        <f t="shared" si="40"/>
        <v>0</v>
      </c>
      <c r="T193" s="61">
        <f t="shared" si="40"/>
        <v>0</v>
      </c>
      <c r="U193" s="61">
        <f t="shared" si="40"/>
        <v>0</v>
      </c>
      <c r="V193" s="61">
        <f t="shared" si="40"/>
        <v>0</v>
      </c>
      <c r="W193" s="61">
        <f t="shared" si="39"/>
        <v>0</v>
      </c>
      <c r="X193" s="61">
        <f t="shared" si="39"/>
        <v>0</v>
      </c>
      <c r="Y193" s="61">
        <f t="shared" si="39"/>
        <v>0</v>
      </c>
      <c r="Z193" s="61">
        <f t="shared" si="39"/>
        <v>0</v>
      </c>
      <c r="AA193" s="61">
        <f t="shared" si="39"/>
        <v>0</v>
      </c>
      <c r="AB193" s="61">
        <f t="shared" si="39"/>
        <v>0</v>
      </c>
      <c r="AC193" s="61">
        <f t="shared" si="39"/>
        <v>0</v>
      </c>
      <c r="AD193" s="61">
        <f t="shared" si="39"/>
        <v>0</v>
      </c>
      <c r="AE193" s="61">
        <f t="shared" si="39"/>
        <v>0</v>
      </c>
      <c r="AF193" s="61">
        <f t="shared" si="39"/>
        <v>0</v>
      </c>
      <c r="AG193" s="61">
        <f t="shared" si="39"/>
        <v>0</v>
      </c>
      <c r="AH193" s="61">
        <f t="shared" si="39"/>
        <v>0</v>
      </c>
      <c r="AI193" s="61">
        <f t="shared" si="39"/>
        <v>0</v>
      </c>
      <c r="AJ193" s="61">
        <f t="shared" si="39"/>
        <v>0</v>
      </c>
      <c r="AK193" s="61">
        <f t="shared" si="39"/>
        <v>0</v>
      </c>
      <c r="AL193" s="61">
        <f t="shared" si="39"/>
        <v>0</v>
      </c>
      <c r="AM193" s="61">
        <f t="shared" si="41"/>
        <v>0</v>
      </c>
      <c r="AN193" s="61">
        <f t="shared" si="41"/>
        <v>0</v>
      </c>
      <c r="AO193" s="61">
        <f t="shared" si="41"/>
        <v>0</v>
      </c>
      <c r="AP193" s="61">
        <f t="shared" si="41"/>
        <v>0</v>
      </c>
      <c r="AQ193" s="61"/>
    </row>
    <row r="194" spans="2:43" x14ac:dyDescent="0.25">
      <c r="B194" s="54">
        <v>0.68750000001455203</v>
      </c>
      <c r="C194" s="54">
        <v>1.0416666667515599</v>
      </c>
      <c r="D194" s="60"/>
      <c r="E194" s="91"/>
      <c r="G194" s="91">
        <f>SUMMARY!AL66</f>
        <v>0</v>
      </c>
      <c r="H194" s="92">
        <f t="shared" si="36"/>
        <v>0</v>
      </c>
      <c r="I194" s="180">
        <f>AF$173-AF$174</f>
        <v>0</v>
      </c>
      <c r="M194" s="61">
        <f t="shared" si="40"/>
        <v>0</v>
      </c>
      <c r="N194" s="61">
        <f t="shared" si="40"/>
        <v>0</v>
      </c>
      <c r="O194" s="61">
        <f t="shared" si="40"/>
        <v>0</v>
      </c>
      <c r="P194" s="61">
        <f t="shared" si="40"/>
        <v>0</v>
      </c>
      <c r="Q194" s="61">
        <f t="shared" si="40"/>
        <v>0</v>
      </c>
      <c r="R194" s="61">
        <f t="shared" si="40"/>
        <v>0</v>
      </c>
      <c r="S194" s="61">
        <f t="shared" si="40"/>
        <v>0</v>
      </c>
      <c r="T194" s="61">
        <f t="shared" si="40"/>
        <v>0</v>
      </c>
      <c r="U194" s="61">
        <f t="shared" si="40"/>
        <v>0</v>
      </c>
      <c r="V194" s="61">
        <f t="shared" si="40"/>
        <v>0</v>
      </c>
      <c r="W194" s="61">
        <f t="shared" si="39"/>
        <v>0</v>
      </c>
      <c r="X194" s="61">
        <f t="shared" si="39"/>
        <v>0</v>
      </c>
      <c r="Y194" s="61">
        <f t="shared" si="39"/>
        <v>0</v>
      </c>
      <c r="Z194" s="61">
        <f t="shared" si="39"/>
        <v>0</v>
      </c>
      <c r="AA194" s="61">
        <f t="shared" si="39"/>
        <v>0</v>
      </c>
      <c r="AB194" s="61">
        <f t="shared" si="39"/>
        <v>0</v>
      </c>
      <c r="AC194" s="61">
        <f t="shared" si="39"/>
        <v>0</v>
      </c>
      <c r="AD194" s="61">
        <f t="shared" si="39"/>
        <v>0</v>
      </c>
      <c r="AE194" s="61">
        <f t="shared" si="39"/>
        <v>0</v>
      </c>
      <c r="AF194" s="61">
        <f t="shared" si="39"/>
        <v>0</v>
      </c>
      <c r="AG194" s="61">
        <f t="shared" si="39"/>
        <v>0</v>
      </c>
      <c r="AH194" s="61">
        <f t="shared" si="39"/>
        <v>0</v>
      </c>
      <c r="AI194" s="61">
        <f t="shared" si="39"/>
        <v>0</v>
      </c>
      <c r="AJ194" s="61">
        <f t="shared" si="39"/>
        <v>0</v>
      </c>
      <c r="AK194" s="61">
        <f t="shared" si="39"/>
        <v>0</v>
      </c>
      <c r="AL194" s="61">
        <f t="shared" si="39"/>
        <v>0</v>
      </c>
      <c r="AM194" s="61">
        <f t="shared" si="41"/>
        <v>0</v>
      </c>
      <c r="AN194" s="61">
        <f t="shared" si="41"/>
        <v>0</v>
      </c>
      <c r="AO194" s="61">
        <f t="shared" si="41"/>
        <v>0</v>
      </c>
      <c r="AP194" s="61">
        <f t="shared" si="41"/>
        <v>0</v>
      </c>
      <c r="AQ194" s="61"/>
    </row>
    <row r="195" spans="2:43" x14ac:dyDescent="0.25">
      <c r="B195" s="54">
        <v>0.70833333335031001</v>
      </c>
      <c r="C195" s="54">
        <v>1.0625000000873199</v>
      </c>
      <c r="D195" s="60"/>
      <c r="E195" s="91"/>
      <c r="G195" s="91">
        <f>SUMMARY!AL67</f>
        <v>0</v>
      </c>
      <c r="H195" s="92">
        <f t="shared" si="36"/>
        <v>0</v>
      </c>
      <c r="I195" s="180">
        <f>AG$173-AG$174</f>
        <v>0</v>
      </c>
      <c r="M195" s="61">
        <f t="shared" si="40"/>
        <v>0</v>
      </c>
      <c r="N195" s="61">
        <f t="shared" si="40"/>
        <v>0</v>
      </c>
      <c r="O195" s="61">
        <f t="shared" si="40"/>
        <v>0</v>
      </c>
      <c r="P195" s="61">
        <f t="shared" si="40"/>
        <v>0</v>
      </c>
      <c r="Q195" s="61">
        <f t="shared" si="40"/>
        <v>0</v>
      </c>
      <c r="R195" s="61">
        <f t="shared" si="40"/>
        <v>0</v>
      </c>
      <c r="S195" s="61">
        <f t="shared" si="40"/>
        <v>0</v>
      </c>
      <c r="T195" s="61">
        <f t="shared" si="40"/>
        <v>0</v>
      </c>
      <c r="U195" s="61">
        <f t="shared" si="40"/>
        <v>0</v>
      </c>
      <c r="V195" s="61">
        <f t="shared" si="40"/>
        <v>0</v>
      </c>
      <c r="W195" s="61">
        <f t="shared" si="39"/>
        <v>0</v>
      </c>
      <c r="X195" s="61">
        <f t="shared" si="39"/>
        <v>0</v>
      </c>
      <c r="Y195" s="61">
        <f t="shared" si="39"/>
        <v>0</v>
      </c>
      <c r="Z195" s="61">
        <f t="shared" si="39"/>
        <v>0</v>
      </c>
      <c r="AA195" s="61">
        <f t="shared" si="39"/>
        <v>0</v>
      </c>
      <c r="AB195" s="61">
        <f t="shared" si="39"/>
        <v>0</v>
      </c>
      <c r="AC195" s="61">
        <f t="shared" si="39"/>
        <v>0</v>
      </c>
      <c r="AD195" s="61">
        <f t="shared" si="39"/>
        <v>0</v>
      </c>
      <c r="AE195" s="61">
        <f t="shared" si="39"/>
        <v>0</v>
      </c>
      <c r="AF195" s="61">
        <f t="shared" si="39"/>
        <v>0</v>
      </c>
      <c r="AG195" s="61">
        <f t="shared" si="39"/>
        <v>0</v>
      </c>
      <c r="AH195" s="61">
        <f t="shared" si="39"/>
        <v>0</v>
      </c>
      <c r="AI195" s="61">
        <f t="shared" si="39"/>
        <v>0</v>
      </c>
      <c r="AJ195" s="61">
        <f t="shared" si="39"/>
        <v>0</v>
      </c>
      <c r="AK195" s="61">
        <f t="shared" si="39"/>
        <v>0</v>
      </c>
      <c r="AL195" s="61">
        <f t="shared" si="39"/>
        <v>0</v>
      </c>
      <c r="AM195" s="61">
        <f t="shared" si="41"/>
        <v>0</v>
      </c>
      <c r="AN195" s="61">
        <f t="shared" si="41"/>
        <v>0</v>
      </c>
      <c r="AO195" s="61">
        <f t="shared" si="41"/>
        <v>0</v>
      </c>
      <c r="AP195" s="61">
        <f t="shared" si="41"/>
        <v>0</v>
      </c>
      <c r="AQ195" s="61"/>
    </row>
    <row r="196" spans="2:43" x14ac:dyDescent="0.25">
      <c r="B196" s="54">
        <v>0.729166666686069</v>
      </c>
      <c r="C196" s="54">
        <v>1.0833333334230799</v>
      </c>
      <c r="D196" s="60"/>
      <c r="E196" s="91"/>
      <c r="G196" s="91">
        <f>SUMMARY!AL68</f>
        <v>0</v>
      </c>
      <c r="H196" s="92">
        <f t="shared" si="36"/>
        <v>0</v>
      </c>
      <c r="I196" s="180">
        <f>AH$173-AH$174</f>
        <v>0</v>
      </c>
      <c r="M196" s="61">
        <f t="shared" si="40"/>
        <v>0</v>
      </c>
      <c r="N196" s="61">
        <f t="shared" si="40"/>
        <v>0</v>
      </c>
      <c r="O196" s="61">
        <f t="shared" si="40"/>
        <v>0</v>
      </c>
      <c r="P196" s="61">
        <f t="shared" si="40"/>
        <v>0</v>
      </c>
      <c r="Q196" s="61">
        <f t="shared" si="40"/>
        <v>0</v>
      </c>
      <c r="R196" s="61">
        <f t="shared" si="40"/>
        <v>0</v>
      </c>
      <c r="S196" s="61">
        <f t="shared" si="40"/>
        <v>0</v>
      </c>
      <c r="T196" s="61">
        <f t="shared" si="40"/>
        <v>0</v>
      </c>
      <c r="U196" s="61">
        <f t="shared" si="40"/>
        <v>0</v>
      </c>
      <c r="V196" s="61">
        <f t="shared" si="40"/>
        <v>0</v>
      </c>
      <c r="W196" s="61">
        <f t="shared" si="39"/>
        <v>0</v>
      </c>
      <c r="X196" s="61">
        <f t="shared" si="39"/>
        <v>0</v>
      </c>
      <c r="Y196" s="61">
        <f t="shared" si="39"/>
        <v>0</v>
      </c>
      <c r="Z196" s="61">
        <f t="shared" si="39"/>
        <v>0</v>
      </c>
      <c r="AA196" s="61">
        <f t="shared" si="39"/>
        <v>0</v>
      </c>
      <c r="AB196" s="61">
        <f t="shared" si="39"/>
        <v>0</v>
      </c>
      <c r="AC196" s="61">
        <f t="shared" si="39"/>
        <v>0</v>
      </c>
      <c r="AD196" s="61">
        <f t="shared" si="39"/>
        <v>0</v>
      </c>
      <c r="AE196" s="61">
        <f t="shared" si="39"/>
        <v>0</v>
      </c>
      <c r="AF196" s="61">
        <f t="shared" si="39"/>
        <v>0</v>
      </c>
      <c r="AG196" s="61">
        <f t="shared" si="39"/>
        <v>0</v>
      </c>
      <c r="AH196" s="61">
        <f t="shared" si="39"/>
        <v>0</v>
      </c>
      <c r="AI196" s="61">
        <f t="shared" si="39"/>
        <v>0</v>
      </c>
      <c r="AJ196" s="61">
        <f t="shared" si="39"/>
        <v>0</v>
      </c>
      <c r="AK196" s="61">
        <f t="shared" si="39"/>
        <v>0</v>
      </c>
      <c r="AL196" s="61">
        <f t="shared" si="39"/>
        <v>0</v>
      </c>
      <c r="AM196" s="61">
        <f t="shared" si="41"/>
        <v>0</v>
      </c>
      <c r="AN196" s="61">
        <f t="shared" si="41"/>
        <v>0</v>
      </c>
      <c r="AO196" s="61">
        <f t="shared" si="41"/>
        <v>0</v>
      </c>
      <c r="AP196" s="61">
        <f t="shared" si="41"/>
        <v>0</v>
      </c>
      <c r="AQ196" s="61"/>
    </row>
    <row r="197" spans="2:43" x14ac:dyDescent="0.25">
      <c r="B197" s="54">
        <v>0.75000000002182798</v>
      </c>
      <c r="C197" s="54">
        <v>1.1041666667588399</v>
      </c>
      <c r="D197" s="60"/>
      <c r="E197" s="91"/>
      <c r="G197" s="91">
        <f>SUMMARY!AL69</f>
        <v>0</v>
      </c>
      <c r="H197" s="92">
        <f t="shared" si="36"/>
        <v>0</v>
      </c>
      <c r="I197" s="180">
        <f>AI$173-AI$174</f>
        <v>0</v>
      </c>
      <c r="M197" s="61">
        <f t="shared" si="40"/>
        <v>0</v>
      </c>
      <c r="N197" s="61">
        <f t="shared" si="40"/>
        <v>0</v>
      </c>
      <c r="O197" s="61">
        <f t="shared" si="40"/>
        <v>0</v>
      </c>
      <c r="P197" s="61">
        <f t="shared" si="40"/>
        <v>0</v>
      </c>
      <c r="Q197" s="61">
        <f t="shared" si="40"/>
        <v>0</v>
      </c>
      <c r="R197" s="61">
        <f t="shared" si="40"/>
        <v>0</v>
      </c>
      <c r="S197" s="61">
        <f t="shared" si="40"/>
        <v>0</v>
      </c>
      <c r="T197" s="61">
        <f t="shared" si="40"/>
        <v>0</v>
      </c>
      <c r="U197" s="61">
        <f t="shared" si="40"/>
        <v>0</v>
      </c>
      <c r="V197" s="61">
        <f t="shared" si="40"/>
        <v>0</v>
      </c>
      <c r="W197" s="61">
        <f t="shared" si="39"/>
        <v>0</v>
      </c>
      <c r="X197" s="61">
        <f t="shared" si="39"/>
        <v>0</v>
      </c>
      <c r="Y197" s="61">
        <f t="shared" si="39"/>
        <v>0</v>
      </c>
      <c r="Z197" s="61">
        <f t="shared" si="39"/>
        <v>0</v>
      </c>
      <c r="AA197" s="61">
        <f t="shared" si="39"/>
        <v>0</v>
      </c>
      <c r="AB197" s="61">
        <f t="shared" si="39"/>
        <v>0</v>
      </c>
      <c r="AC197" s="61">
        <f t="shared" si="39"/>
        <v>0</v>
      </c>
      <c r="AD197" s="61">
        <f t="shared" si="39"/>
        <v>0</v>
      </c>
      <c r="AE197" s="61">
        <f t="shared" si="39"/>
        <v>0</v>
      </c>
      <c r="AF197" s="61">
        <f t="shared" si="39"/>
        <v>0</v>
      </c>
      <c r="AG197" s="61">
        <f t="shared" si="39"/>
        <v>0</v>
      </c>
      <c r="AH197" s="61">
        <f t="shared" si="39"/>
        <v>0</v>
      </c>
      <c r="AI197" s="61">
        <f t="shared" si="39"/>
        <v>0</v>
      </c>
      <c r="AJ197" s="61">
        <f t="shared" si="39"/>
        <v>0</v>
      </c>
      <c r="AK197" s="61">
        <f t="shared" si="39"/>
        <v>0</v>
      </c>
      <c r="AL197" s="61">
        <f t="shared" si="39"/>
        <v>0</v>
      </c>
      <c r="AM197" s="61">
        <f t="shared" si="41"/>
        <v>0</v>
      </c>
      <c r="AN197" s="61">
        <f t="shared" si="41"/>
        <v>0</v>
      </c>
      <c r="AO197" s="61">
        <f t="shared" si="41"/>
        <v>0</v>
      </c>
      <c r="AP197" s="61">
        <f t="shared" si="41"/>
        <v>0</v>
      </c>
      <c r="AQ197" s="61"/>
    </row>
    <row r="198" spans="2:43" x14ac:dyDescent="0.25">
      <c r="B198" s="54">
        <v>0.77083333335758597</v>
      </c>
      <c r="C198" s="54">
        <v>1.1250000000945899</v>
      </c>
      <c r="D198" s="60"/>
      <c r="E198" s="91"/>
      <c r="G198" s="91">
        <f>SUMMARY!AL70</f>
        <v>0</v>
      </c>
      <c r="H198" s="92">
        <f t="shared" si="36"/>
        <v>0</v>
      </c>
      <c r="I198" s="180">
        <f>AJ$173-AJ$174</f>
        <v>0</v>
      </c>
      <c r="M198" s="61">
        <f t="shared" si="40"/>
        <v>0</v>
      </c>
      <c r="N198" s="61">
        <f t="shared" si="40"/>
        <v>0</v>
      </c>
      <c r="O198" s="61">
        <f t="shared" si="40"/>
        <v>0</v>
      </c>
      <c r="P198" s="61">
        <f t="shared" si="40"/>
        <v>0</v>
      </c>
      <c r="Q198" s="61">
        <f t="shared" si="40"/>
        <v>0</v>
      </c>
      <c r="R198" s="61">
        <f t="shared" si="40"/>
        <v>0</v>
      </c>
      <c r="S198" s="61">
        <f t="shared" si="40"/>
        <v>0</v>
      </c>
      <c r="T198" s="61">
        <f t="shared" si="40"/>
        <v>0</v>
      </c>
      <c r="U198" s="61">
        <f t="shared" si="40"/>
        <v>0</v>
      </c>
      <c r="V198" s="61">
        <f t="shared" si="40"/>
        <v>0</v>
      </c>
      <c r="W198" s="61">
        <f t="shared" si="39"/>
        <v>0</v>
      </c>
      <c r="X198" s="61">
        <f t="shared" si="39"/>
        <v>0</v>
      </c>
      <c r="Y198" s="61">
        <f t="shared" si="39"/>
        <v>0</v>
      </c>
      <c r="Z198" s="61">
        <f t="shared" si="39"/>
        <v>0</v>
      </c>
      <c r="AA198" s="61">
        <f t="shared" si="39"/>
        <v>0</v>
      </c>
      <c r="AB198" s="61">
        <f t="shared" si="39"/>
        <v>0</v>
      </c>
      <c r="AC198" s="61">
        <f t="shared" si="39"/>
        <v>0</v>
      </c>
      <c r="AD198" s="61">
        <f t="shared" si="39"/>
        <v>0</v>
      </c>
      <c r="AE198" s="61">
        <f t="shared" si="39"/>
        <v>0</v>
      </c>
      <c r="AF198" s="61">
        <f t="shared" si="39"/>
        <v>0</v>
      </c>
      <c r="AG198" s="61">
        <f t="shared" si="39"/>
        <v>0</v>
      </c>
      <c r="AH198" s="61">
        <f t="shared" si="39"/>
        <v>0</v>
      </c>
      <c r="AI198" s="61">
        <f t="shared" si="39"/>
        <v>0</v>
      </c>
      <c r="AJ198" s="61">
        <f t="shared" si="39"/>
        <v>0</v>
      </c>
      <c r="AK198" s="61">
        <f t="shared" si="39"/>
        <v>0</v>
      </c>
      <c r="AL198" s="61">
        <f t="shared" si="39"/>
        <v>0</v>
      </c>
      <c r="AM198" s="61">
        <f t="shared" si="41"/>
        <v>0</v>
      </c>
      <c r="AN198" s="61">
        <f t="shared" si="41"/>
        <v>0</v>
      </c>
      <c r="AO198" s="61">
        <f t="shared" si="41"/>
        <v>0</v>
      </c>
      <c r="AP198" s="61">
        <f t="shared" si="41"/>
        <v>0</v>
      </c>
      <c r="AQ198" s="61"/>
    </row>
    <row r="199" spans="2:43" x14ac:dyDescent="0.25">
      <c r="B199" s="54">
        <v>0.79166666669334496</v>
      </c>
      <c r="C199" s="54">
        <v>1.1458333334303501</v>
      </c>
      <c r="D199" s="60"/>
      <c r="E199" s="91"/>
      <c r="G199" s="91">
        <f>SUMMARY!AL71</f>
        <v>0</v>
      </c>
      <c r="H199" s="92">
        <f t="shared" si="36"/>
        <v>0</v>
      </c>
      <c r="I199" s="180">
        <f>AK$173-AK$174</f>
        <v>0</v>
      </c>
      <c r="M199" s="61">
        <f t="shared" si="40"/>
        <v>0</v>
      </c>
      <c r="N199" s="61">
        <f t="shared" si="40"/>
        <v>0</v>
      </c>
      <c r="O199" s="61">
        <f t="shared" si="40"/>
        <v>0</v>
      </c>
      <c r="P199" s="61">
        <f t="shared" si="40"/>
        <v>0</v>
      </c>
      <c r="Q199" s="61">
        <f t="shared" si="40"/>
        <v>0</v>
      </c>
      <c r="R199" s="61">
        <f t="shared" si="40"/>
        <v>0</v>
      </c>
      <c r="S199" s="61">
        <f t="shared" si="40"/>
        <v>0</v>
      </c>
      <c r="T199" s="61">
        <f t="shared" si="40"/>
        <v>0</v>
      </c>
      <c r="U199" s="61">
        <f t="shared" si="40"/>
        <v>0</v>
      </c>
      <c r="V199" s="61">
        <f t="shared" si="40"/>
        <v>0</v>
      </c>
      <c r="W199" s="61">
        <f t="shared" si="39"/>
        <v>0</v>
      </c>
      <c r="X199" s="61">
        <f t="shared" si="39"/>
        <v>0</v>
      </c>
      <c r="Y199" s="61">
        <f t="shared" si="39"/>
        <v>0</v>
      </c>
      <c r="Z199" s="61">
        <f t="shared" si="39"/>
        <v>0</v>
      </c>
      <c r="AA199" s="61">
        <f t="shared" si="39"/>
        <v>0</v>
      </c>
      <c r="AB199" s="61">
        <f t="shared" si="39"/>
        <v>0</v>
      </c>
      <c r="AC199" s="61">
        <f t="shared" si="39"/>
        <v>0</v>
      </c>
      <c r="AD199" s="61">
        <f t="shared" si="39"/>
        <v>0</v>
      </c>
      <c r="AE199" s="61">
        <f t="shared" si="39"/>
        <v>0</v>
      </c>
      <c r="AF199" s="61">
        <f t="shared" si="39"/>
        <v>0</v>
      </c>
      <c r="AG199" s="61">
        <f t="shared" si="39"/>
        <v>0</v>
      </c>
      <c r="AH199" s="61">
        <f t="shared" si="39"/>
        <v>0</v>
      </c>
      <c r="AI199" s="61">
        <f t="shared" si="39"/>
        <v>0</v>
      </c>
      <c r="AJ199" s="61">
        <f t="shared" si="39"/>
        <v>0</v>
      </c>
      <c r="AK199" s="61">
        <f t="shared" si="39"/>
        <v>0</v>
      </c>
      <c r="AL199" s="61">
        <f t="shared" si="39"/>
        <v>0</v>
      </c>
      <c r="AM199" s="61">
        <f t="shared" si="41"/>
        <v>0</v>
      </c>
      <c r="AN199" s="61">
        <f t="shared" si="41"/>
        <v>0</v>
      </c>
      <c r="AO199" s="61">
        <f t="shared" si="41"/>
        <v>0</v>
      </c>
      <c r="AP199" s="61">
        <f t="shared" si="41"/>
        <v>0</v>
      </c>
      <c r="AQ199" s="61"/>
    </row>
    <row r="200" spans="2:43" x14ac:dyDescent="0.25">
      <c r="B200" s="54">
        <v>0.81250000002910305</v>
      </c>
      <c r="C200" s="54">
        <v>1.1666666667661101</v>
      </c>
      <c r="D200" s="60"/>
      <c r="E200" s="91"/>
      <c r="G200" s="91">
        <f>SUMMARY!AL72</f>
        <v>0</v>
      </c>
      <c r="H200" s="92">
        <f t="shared" si="36"/>
        <v>0</v>
      </c>
      <c r="I200" s="180">
        <f>AL$173-AL$174</f>
        <v>0</v>
      </c>
      <c r="M200" s="61">
        <f t="shared" si="40"/>
        <v>0</v>
      </c>
      <c r="N200" s="61">
        <f t="shared" si="40"/>
        <v>0</v>
      </c>
      <c r="O200" s="61">
        <f t="shared" si="40"/>
        <v>0</v>
      </c>
      <c r="P200" s="61">
        <f t="shared" si="40"/>
        <v>0</v>
      </c>
      <c r="Q200" s="61">
        <f t="shared" si="40"/>
        <v>0</v>
      </c>
      <c r="R200" s="61">
        <f t="shared" si="40"/>
        <v>0</v>
      </c>
      <c r="S200" s="61">
        <f t="shared" si="40"/>
        <v>0</v>
      </c>
      <c r="T200" s="61">
        <f t="shared" si="40"/>
        <v>0</v>
      </c>
      <c r="U200" s="61">
        <f t="shared" si="40"/>
        <v>0</v>
      </c>
      <c r="V200" s="61">
        <f t="shared" si="40"/>
        <v>0</v>
      </c>
      <c r="W200" s="61">
        <f t="shared" si="39"/>
        <v>0</v>
      </c>
      <c r="X200" s="61">
        <f t="shared" si="39"/>
        <v>0</v>
      </c>
      <c r="Y200" s="61">
        <f t="shared" si="39"/>
        <v>0</v>
      </c>
      <c r="Z200" s="61">
        <f t="shared" si="39"/>
        <v>0</v>
      </c>
      <c r="AA200" s="61">
        <f t="shared" si="39"/>
        <v>0</v>
      </c>
      <c r="AB200" s="61">
        <f t="shared" si="39"/>
        <v>0</v>
      </c>
      <c r="AC200" s="61">
        <f t="shared" si="39"/>
        <v>0</v>
      </c>
      <c r="AD200" s="61">
        <f t="shared" si="39"/>
        <v>0</v>
      </c>
      <c r="AE200" s="61">
        <f t="shared" si="39"/>
        <v>0</v>
      </c>
      <c r="AF200" s="61">
        <f t="shared" si="39"/>
        <v>0</v>
      </c>
      <c r="AG200" s="61">
        <f t="shared" si="39"/>
        <v>0</v>
      </c>
      <c r="AH200" s="61">
        <f t="shared" si="39"/>
        <v>0</v>
      </c>
      <c r="AI200" s="61">
        <f t="shared" si="39"/>
        <v>0</v>
      </c>
      <c r="AJ200" s="61">
        <f t="shared" si="39"/>
        <v>0</v>
      </c>
      <c r="AK200" s="61">
        <f t="shared" si="39"/>
        <v>0</v>
      </c>
      <c r="AL200" s="61">
        <f t="shared" si="39"/>
        <v>0</v>
      </c>
      <c r="AM200" s="61">
        <f t="shared" si="41"/>
        <v>0</v>
      </c>
      <c r="AN200" s="61">
        <f t="shared" si="41"/>
        <v>0</v>
      </c>
      <c r="AO200" s="61">
        <f t="shared" si="41"/>
        <v>0</v>
      </c>
      <c r="AP200" s="61">
        <f t="shared" si="41"/>
        <v>0</v>
      </c>
      <c r="AQ200" s="61"/>
    </row>
    <row r="201" spans="2:43" x14ac:dyDescent="0.25">
      <c r="B201" s="54">
        <v>0.83333333336486204</v>
      </c>
      <c r="C201" s="54">
        <v>1.1875000001018701</v>
      </c>
      <c r="D201" s="60"/>
      <c r="E201" s="91"/>
      <c r="G201" s="91">
        <f>SUMMARY!AL73</f>
        <v>0</v>
      </c>
      <c r="H201" s="92">
        <f t="shared" si="36"/>
        <v>0</v>
      </c>
      <c r="I201" s="180">
        <f>AM$173-AM$174</f>
        <v>0</v>
      </c>
      <c r="M201" s="61">
        <f t="shared" si="40"/>
        <v>0</v>
      </c>
      <c r="N201" s="61">
        <f t="shared" si="40"/>
        <v>0</v>
      </c>
      <c r="O201" s="61">
        <f t="shared" si="40"/>
        <v>0</v>
      </c>
      <c r="P201" s="61">
        <f t="shared" si="40"/>
        <v>0</v>
      </c>
      <c r="Q201" s="61">
        <f t="shared" si="40"/>
        <v>0</v>
      </c>
      <c r="R201" s="61">
        <f t="shared" si="40"/>
        <v>0</v>
      </c>
      <c r="S201" s="61">
        <f t="shared" si="40"/>
        <v>0</v>
      </c>
      <c r="T201" s="61">
        <f t="shared" si="40"/>
        <v>0</v>
      </c>
      <c r="U201" s="61">
        <f t="shared" si="40"/>
        <v>0</v>
      </c>
      <c r="V201" s="61">
        <f t="shared" si="40"/>
        <v>0</v>
      </c>
      <c r="W201" s="61">
        <f t="shared" si="39"/>
        <v>0</v>
      </c>
      <c r="X201" s="61">
        <f t="shared" si="39"/>
        <v>0</v>
      </c>
      <c r="Y201" s="61">
        <f t="shared" si="39"/>
        <v>0</v>
      </c>
      <c r="Z201" s="61">
        <f t="shared" si="39"/>
        <v>0</v>
      </c>
      <c r="AA201" s="61">
        <f t="shared" si="39"/>
        <v>0</v>
      </c>
      <c r="AB201" s="61">
        <f t="shared" si="39"/>
        <v>0</v>
      </c>
      <c r="AC201" s="61">
        <f t="shared" si="39"/>
        <v>0</v>
      </c>
      <c r="AD201" s="61">
        <f t="shared" si="39"/>
        <v>0</v>
      </c>
      <c r="AE201" s="61">
        <f t="shared" si="39"/>
        <v>0</v>
      </c>
      <c r="AF201" s="61">
        <f t="shared" si="39"/>
        <v>0</v>
      </c>
      <c r="AG201" s="61">
        <f t="shared" si="39"/>
        <v>0</v>
      </c>
      <c r="AH201" s="61">
        <f t="shared" si="39"/>
        <v>0</v>
      </c>
      <c r="AI201" s="61">
        <f t="shared" si="39"/>
        <v>0</v>
      </c>
      <c r="AJ201" s="61">
        <f t="shared" si="39"/>
        <v>0</v>
      </c>
      <c r="AK201" s="61">
        <f t="shared" si="39"/>
        <v>0</v>
      </c>
      <c r="AL201" s="61">
        <f t="shared" si="39"/>
        <v>0</v>
      </c>
      <c r="AM201" s="61">
        <f t="shared" si="41"/>
        <v>0</v>
      </c>
      <c r="AN201" s="61">
        <f t="shared" si="41"/>
        <v>0</v>
      </c>
      <c r="AO201" s="61">
        <f t="shared" si="41"/>
        <v>0</v>
      </c>
      <c r="AP201" s="61">
        <f t="shared" si="41"/>
        <v>0</v>
      </c>
      <c r="AQ201" s="61"/>
    </row>
    <row r="202" spans="2:43" x14ac:dyDescent="0.25">
      <c r="B202" s="54">
        <v>0.85416666670062102</v>
      </c>
      <c r="C202" s="54">
        <v>1.2083333334376301</v>
      </c>
      <c r="D202" s="60"/>
      <c r="E202" s="91"/>
      <c r="G202" s="91">
        <f>SUMMARY!AL74</f>
        <v>0</v>
      </c>
      <c r="H202" s="92">
        <f t="shared" si="36"/>
        <v>0</v>
      </c>
      <c r="I202" s="180">
        <f>AN$173-AN$174</f>
        <v>0</v>
      </c>
      <c r="M202" s="61">
        <f t="shared" si="40"/>
        <v>0</v>
      </c>
      <c r="N202" s="61">
        <f t="shared" si="40"/>
        <v>0</v>
      </c>
      <c r="O202" s="61">
        <f t="shared" si="40"/>
        <v>0</v>
      </c>
      <c r="P202" s="61">
        <f t="shared" si="40"/>
        <v>0</v>
      </c>
      <c r="Q202" s="61">
        <f t="shared" si="40"/>
        <v>0</v>
      </c>
      <c r="R202" s="61">
        <f t="shared" si="40"/>
        <v>0</v>
      </c>
      <c r="S202" s="61">
        <f t="shared" si="40"/>
        <v>0</v>
      </c>
      <c r="T202" s="61">
        <f t="shared" si="40"/>
        <v>0</v>
      </c>
      <c r="U202" s="61">
        <f t="shared" si="40"/>
        <v>0</v>
      </c>
      <c r="V202" s="61">
        <f t="shared" si="40"/>
        <v>0</v>
      </c>
      <c r="W202" s="61">
        <f t="shared" si="39"/>
        <v>0</v>
      </c>
      <c r="X202" s="61">
        <f t="shared" si="39"/>
        <v>0</v>
      </c>
      <c r="Y202" s="61">
        <f t="shared" si="39"/>
        <v>0</v>
      </c>
      <c r="Z202" s="61">
        <f t="shared" si="39"/>
        <v>0</v>
      </c>
      <c r="AA202" s="61">
        <f t="shared" si="39"/>
        <v>0</v>
      </c>
      <c r="AB202" s="61">
        <f t="shared" si="39"/>
        <v>0</v>
      </c>
      <c r="AC202" s="61">
        <f t="shared" si="39"/>
        <v>0</v>
      </c>
      <c r="AD202" s="61">
        <f t="shared" si="39"/>
        <v>0</v>
      </c>
      <c r="AE202" s="61">
        <f t="shared" si="39"/>
        <v>0</v>
      </c>
      <c r="AF202" s="61">
        <f t="shared" si="39"/>
        <v>0</v>
      </c>
      <c r="AG202" s="61">
        <f t="shared" si="39"/>
        <v>0</v>
      </c>
      <c r="AH202" s="61">
        <f t="shared" si="39"/>
        <v>0</v>
      </c>
      <c r="AI202" s="61">
        <f t="shared" si="39"/>
        <v>0</v>
      </c>
      <c r="AJ202" s="61">
        <f t="shared" si="39"/>
        <v>0</v>
      </c>
      <c r="AK202" s="61">
        <f t="shared" si="39"/>
        <v>0</v>
      </c>
      <c r="AL202" s="61">
        <f t="shared" si="39"/>
        <v>0</v>
      </c>
      <c r="AM202" s="61">
        <f t="shared" si="41"/>
        <v>0</v>
      </c>
      <c r="AN202" s="61">
        <f t="shared" si="41"/>
        <v>0</v>
      </c>
      <c r="AO202" s="61">
        <f t="shared" si="41"/>
        <v>0</v>
      </c>
      <c r="AP202" s="61">
        <f t="shared" si="41"/>
        <v>0</v>
      </c>
      <c r="AQ202" s="61"/>
    </row>
    <row r="203" spans="2:43" x14ac:dyDescent="0.25">
      <c r="B203" s="54">
        <v>0.87500000003637901</v>
      </c>
      <c r="C203" s="54">
        <v>1.22916666677339</v>
      </c>
      <c r="D203" s="60"/>
      <c r="E203" s="91"/>
      <c r="G203" s="91">
        <f>SUMMARY!AL75</f>
        <v>0</v>
      </c>
      <c r="H203" s="92">
        <f t="shared" si="36"/>
        <v>0</v>
      </c>
      <c r="I203" s="180">
        <f>AO$173-AO$174</f>
        <v>0</v>
      </c>
      <c r="M203" s="61">
        <f t="shared" si="40"/>
        <v>0</v>
      </c>
      <c r="N203" s="61">
        <f t="shared" si="40"/>
        <v>0</v>
      </c>
      <c r="O203" s="61">
        <f t="shared" si="40"/>
        <v>0</v>
      </c>
      <c r="P203" s="61">
        <f t="shared" si="40"/>
        <v>0</v>
      </c>
      <c r="Q203" s="61">
        <f t="shared" si="40"/>
        <v>0</v>
      </c>
      <c r="R203" s="61">
        <f t="shared" si="40"/>
        <v>0</v>
      </c>
      <c r="S203" s="61">
        <f t="shared" si="40"/>
        <v>0</v>
      </c>
      <c r="T203" s="61">
        <f t="shared" si="40"/>
        <v>0</v>
      </c>
      <c r="U203" s="61">
        <f t="shared" si="40"/>
        <v>0</v>
      </c>
      <c r="V203" s="61">
        <f t="shared" si="40"/>
        <v>0</v>
      </c>
      <c r="W203" s="61">
        <f t="shared" si="39"/>
        <v>0</v>
      </c>
      <c r="X203" s="61">
        <f t="shared" si="39"/>
        <v>0</v>
      </c>
      <c r="Y203" s="61">
        <f t="shared" si="39"/>
        <v>0</v>
      </c>
      <c r="Z203" s="61">
        <f t="shared" si="39"/>
        <v>0</v>
      </c>
      <c r="AA203" s="61">
        <f t="shared" si="39"/>
        <v>0</v>
      </c>
      <c r="AB203" s="61">
        <f t="shared" si="39"/>
        <v>0</v>
      </c>
      <c r="AC203" s="61">
        <f t="shared" si="39"/>
        <v>0</v>
      </c>
      <c r="AD203" s="61">
        <f t="shared" si="39"/>
        <v>0</v>
      </c>
      <c r="AE203" s="61">
        <f t="shared" si="39"/>
        <v>0</v>
      </c>
      <c r="AF203" s="61">
        <f t="shared" si="39"/>
        <v>0</v>
      </c>
      <c r="AG203" s="61">
        <f t="shared" si="39"/>
        <v>0</v>
      </c>
      <c r="AH203" s="61">
        <f t="shared" si="39"/>
        <v>0</v>
      </c>
      <c r="AI203" s="61">
        <f t="shared" si="39"/>
        <v>0</v>
      </c>
      <c r="AJ203" s="61">
        <f t="shared" si="39"/>
        <v>0</v>
      </c>
      <c r="AK203" s="61">
        <f t="shared" si="39"/>
        <v>0</v>
      </c>
      <c r="AL203" s="61">
        <f t="shared" si="39"/>
        <v>0</v>
      </c>
      <c r="AM203" s="61">
        <f t="shared" si="41"/>
        <v>0</v>
      </c>
      <c r="AN203" s="61">
        <f t="shared" si="41"/>
        <v>0</v>
      </c>
      <c r="AO203" s="61">
        <f t="shared" si="41"/>
        <v>0</v>
      </c>
      <c r="AP203" s="61">
        <f t="shared" si="41"/>
        <v>0</v>
      </c>
      <c r="AQ203" s="61"/>
    </row>
    <row r="204" spans="2:43" x14ac:dyDescent="0.25">
      <c r="B204" s="54">
        <v>0.895833333372138</v>
      </c>
      <c r="C204" s="54">
        <v>1.25000000010915</v>
      </c>
      <c r="D204" s="60"/>
      <c r="E204" s="91"/>
      <c r="G204" s="91">
        <f>SUMMARY!AL76</f>
        <v>0</v>
      </c>
      <c r="H204" s="92">
        <f t="shared" si="36"/>
        <v>0</v>
      </c>
      <c r="I204" s="180">
        <f>AP$173-AP$174</f>
        <v>0</v>
      </c>
      <c r="M204" s="61">
        <f t="shared" si="40"/>
        <v>0</v>
      </c>
      <c r="N204" s="61">
        <f t="shared" si="40"/>
        <v>0</v>
      </c>
      <c r="O204" s="61">
        <f t="shared" si="40"/>
        <v>0</v>
      </c>
      <c r="P204" s="61">
        <f t="shared" si="40"/>
        <v>0</v>
      </c>
      <c r="Q204" s="61">
        <f t="shared" si="40"/>
        <v>0</v>
      </c>
      <c r="R204" s="61">
        <f t="shared" si="40"/>
        <v>0</v>
      </c>
      <c r="S204" s="61">
        <f t="shared" si="40"/>
        <v>0</v>
      </c>
      <c r="T204" s="61">
        <f t="shared" si="40"/>
        <v>0</v>
      </c>
      <c r="U204" s="61">
        <f t="shared" si="40"/>
        <v>0</v>
      </c>
      <c r="V204" s="61">
        <f t="shared" si="40"/>
        <v>0</v>
      </c>
      <c r="W204" s="61">
        <f t="shared" si="39"/>
        <v>0</v>
      </c>
      <c r="X204" s="61">
        <f t="shared" si="39"/>
        <v>0</v>
      </c>
      <c r="Y204" s="61">
        <f t="shared" si="39"/>
        <v>0</v>
      </c>
      <c r="Z204" s="61">
        <f t="shared" si="39"/>
        <v>0</v>
      </c>
      <c r="AA204" s="61">
        <f t="shared" si="39"/>
        <v>0</v>
      </c>
      <c r="AB204" s="61">
        <f t="shared" si="39"/>
        <v>0</v>
      </c>
      <c r="AC204" s="61">
        <f t="shared" si="39"/>
        <v>0</v>
      </c>
      <c r="AD204" s="61">
        <f t="shared" si="39"/>
        <v>0</v>
      </c>
      <c r="AE204" s="61">
        <f t="shared" si="39"/>
        <v>0</v>
      </c>
      <c r="AF204" s="61">
        <f t="shared" si="39"/>
        <v>0</v>
      </c>
      <c r="AG204" s="61">
        <f t="shared" si="39"/>
        <v>0</v>
      </c>
      <c r="AH204" s="61">
        <f t="shared" si="39"/>
        <v>0</v>
      </c>
      <c r="AI204" s="61">
        <f t="shared" si="39"/>
        <v>0</v>
      </c>
      <c r="AJ204" s="61">
        <f t="shared" si="39"/>
        <v>0</v>
      </c>
      <c r="AK204" s="61">
        <f t="shared" si="39"/>
        <v>0</v>
      </c>
      <c r="AL204" s="61">
        <f t="shared" si="39"/>
        <v>0</v>
      </c>
      <c r="AM204" s="61">
        <f t="shared" si="41"/>
        <v>0</v>
      </c>
      <c r="AN204" s="61">
        <f t="shared" si="41"/>
        <v>0</v>
      </c>
      <c r="AO204" s="61">
        <f t="shared" si="41"/>
        <v>0</v>
      </c>
      <c r="AP204" s="61">
        <f t="shared" si="41"/>
        <v>0</v>
      </c>
      <c r="AQ204" s="61"/>
    </row>
    <row r="205" spans="2:43" x14ac:dyDescent="0.25">
      <c r="E205" s="91"/>
      <c r="G205" s="91"/>
      <c r="I205" s="180">
        <f>NCC!$R$36</f>
        <v>0</v>
      </c>
    </row>
    <row r="211" spans="2:43" s="52" customFormat="1" x14ac:dyDescent="0.25">
      <c r="E211" s="53"/>
      <c r="F211" s="53"/>
      <c r="G211" s="53"/>
      <c r="H211" s="53"/>
      <c r="I211" s="53"/>
      <c r="J211" s="53"/>
      <c r="K211" s="58" t="s">
        <v>32</v>
      </c>
      <c r="L211" s="53"/>
      <c r="M211" s="84">
        <f>G216</f>
        <v>0</v>
      </c>
      <c r="N211" s="84">
        <f>M211+G217</f>
        <v>0</v>
      </c>
      <c r="O211" s="84">
        <f>N211+G218</f>
        <v>0</v>
      </c>
      <c r="P211" s="84">
        <f>+O211+G219</f>
        <v>0</v>
      </c>
      <c r="Q211" s="84">
        <f>P211+G220</f>
        <v>0</v>
      </c>
      <c r="R211" s="84">
        <f>Q211+G221</f>
        <v>0</v>
      </c>
      <c r="S211" s="84">
        <f>R211+G222</f>
        <v>0</v>
      </c>
      <c r="T211" s="84">
        <f>S211+G223</f>
        <v>0</v>
      </c>
      <c r="U211" s="84">
        <f>T211+G224-G216</f>
        <v>0</v>
      </c>
      <c r="V211" s="84">
        <f>U211+G225-G217</f>
        <v>0</v>
      </c>
      <c r="W211" s="84">
        <f>V211+G226-G218</f>
        <v>0</v>
      </c>
      <c r="X211" s="84">
        <f>W211+G227-G219</f>
        <v>0</v>
      </c>
      <c r="Y211" s="84">
        <f>X211+G228-G220</f>
        <v>0</v>
      </c>
      <c r="Z211" s="84">
        <f>Y211+G229-G221</f>
        <v>0</v>
      </c>
      <c r="AA211" s="84">
        <f>Z211+G230-G222</f>
        <v>0</v>
      </c>
      <c r="AB211" s="84">
        <f>AA211+G231-G223</f>
        <v>0</v>
      </c>
      <c r="AC211" s="84">
        <f>AB211+G232-G224</f>
        <v>0</v>
      </c>
      <c r="AD211" s="84">
        <f>AC211+G233-G225</f>
        <v>0</v>
      </c>
      <c r="AE211" s="84">
        <f>AD211+G234-G226</f>
        <v>0</v>
      </c>
      <c r="AF211" s="84">
        <f>AE211+G235-G227</f>
        <v>0</v>
      </c>
      <c r="AG211" s="84">
        <f>AF211+G236-G228</f>
        <v>0</v>
      </c>
      <c r="AH211" s="84">
        <f>AG211+G237-G229</f>
        <v>0</v>
      </c>
      <c r="AI211" s="84">
        <f>AH211+G238-G230</f>
        <v>0</v>
      </c>
      <c r="AJ211" s="84">
        <f>AI211+G239-G231</f>
        <v>0</v>
      </c>
      <c r="AK211" s="84">
        <f>AJ211+G240-G232</f>
        <v>0</v>
      </c>
      <c r="AL211" s="84">
        <f>AK211+G241-G233</f>
        <v>0</v>
      </c>
      <c r="AM211" s="84">
        <f>AL211+G242-G234</f>
        <v>0</v>
      </c>
      <c r="AN211" s="84">
        <f>AM211+G243-G235</f>
        <v>0</v>
      </c>
      <c r="AO211" s="84">
        <f>AN211+G244-G236</f>
        <v>0</v>
      </c>
      <c r="AP211" s="84">
        <f>AO211+G245-G237</f>
        <v>0</v>
      </c>
      <c r="AQ211" s="84">
        <f>SUM(M211:AP211)/8.5</f>
        <v>0</v>
      </c>
    </row>
    <row r="212" spans="2:43" x14ac:dyDescent="0.25">
      <c r="J212" s="57"/>
      <c r="K212" s="58" t="s">
        <v>31</v>
      </c>
      <c r="M212" s="84">
        <f>F216</f>
        <v>0</v>
      </c>
      <c r="N212" s="84">
        <f>M212+F217</f>
        <v>0</v>
      </c>
      <c r="O212" s="84">
        <f>N212+F218</f>
        <v>0</v>
      </c>
      <c r="P212" s="84">
        <f>+O212+F219</f>
        <v>0</v>
      </c>
      <c r="Q212" s="84">
        <f>P212+F220</f>
        <v>0</v>
      </c>
      <c r="R212" s="84">
        <f>Q212+F221</f>
        <v>0</v>
      </c>
      <c r="S212" s="84">
        <f>R212+F222</f>
        <v>0</v>
      </c>
      <c r="T212" s="84">
        <f>S212+F223</f>
        <v>0</v>
      </c>
      <c r="U212" s="84">
        <f>T212+F224</f>
        <v>0</v>
      </c>
      <c r="V212" s="84">
        <f>U212+F225</f>
        <v>0</v>
      </c>
      <c r="W212" s="84">
        <f>V212+F226</f>
        <v>0</v>
      </c>
      <c r="X212" s="84">
        <f>W212+F227</f>
        <v>0</v>
      </c>
      <c r="Y212" s="84">
        <f>X212+F228-F216</f>
        <v>0</v>
      </c>
      <c r="Z212" s="84">
        <f>Y212+F229-F217</f>
        <v>0</v>
      </c>
      <c r="AA212" s="84">
        <f>Z212+F230-F218</f>
        <v>0</v>
      </c>
      <c r="AB212" s="84">
        <f>AA212+F231-F219</f>
        <v>0</v>
      </c>
      <c r="AC212" s="84">
        <f>AB212+F232-F220</f>
        <v>0</v>
      </c>
      <c r="AD212" s="84">
        <f>AC212+F233-F221</f>
        <v>0</v>
      </c>
      <c r="AE212" s="84">
        <f>AD212+F234-F222</f>
        <v>0</v>
      </c>
      <c r="AF212" s="84">
        <f>AE212+F235-F223</f>
        <v>0</v>
      </c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2:43" s="57" customFormat="1" ht="17.25" customHeight="1" x14ac:dyDescent="0.25">
      <c r="K213" s="58" t="s">
        <v>13</v>
      </c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5"/>
      <c r="AQ213" s="86"/>
    </row>
    <row r="214" spans="2:43" s="57" customFormat="1" ht="17.25" customHeight="1" x14ac:dyDescent="0.25">
      <c r="B214" s="57" t="s">
        <v>11</v>
      </c>
      <c r="E214" s="59" t="s">
        <v>8</v>
      </c>
      <c r="F214" s="59" t="s">
        <v>15</v>
      </c>
      <c r="G214" s="59" t="s">
        <v>32</v>
      </c>
      <c r="H214" s="59" t="s">
        <v>16</v>
      </c>
      <c r="J214" s="58" t="s">
        <v>9</v>
      </c>
      <c r="K214" s="58">
        <f>SUM(M214:AP214)/16</f>
        <v>0</v>
      </c>
      <c r="M214" s="87">
        <f t="shared" ref="M214:AP214" si="42">SUM(M216:M245)+M212+M211-M213</f>
        <v>0</v>
      </c>
      <c r="N214" s="87">
        <f t="shared" si="42"/>
        <v>0</v>
      </c>
      <c r="O214" s="87">
        <f t="shared" si="42"/>
        <v>0</v>
      </c>
      <c r="P214" s="87">
        <f t="shared" si="42"/>
        <v>0</v>
      </c>
      <c r="Q214" s="87">
        <f t="shared" si="42"/>
        <v>0</v>
      </c>
      <c r="R214" s="87">
        <f t="shared" si="42"/>
        <v>0</v>
      </c>
      <c r="S214" s="87">
        <f t="shared" si="42"/>
        <v>0</v>
      </c>
      <c r="T214" s="87">
        <f t="shared" si="42"/>
        <v>0</v>
      </c>
      <c r="U214" s="87">
        <f t="shared" si="42"/>
        <v>0</v>
      </c>
      <c r="V214" s="87">
        <f t="shared" si="42"/>
        <v>0</v>
      </c>
      <c r="W214" s="87">
        <f t="shared" si="42"/>
        <v>0</v>
      </c>
      <c r="X214" s="87">
        <f t="shared" si="42"/>
        <v>0</v>
      </c>
      <c r="Y214" s="87">
        <f t="shared" si="42"/>
        <v>0</v>
      </c>
      <c r="Z214" s="87">
        <f t="shared" si="42"/>
        <v>0</v>
      </c>
      <c r="AA214" s="87">
        <f t="shared" si="42"/>
        <v>0</v>
      </c>
      <c r="AB214" s="87">
        <f t="shared" si="42"/>
        <v>0</v>
      </c>
      <c r="AC214" s="87">
        <f t="shared" si="42"/>
        <v>0</v>
      </c>
      <c r="AD214" s="87">
        <f t="shared" si="42"/>
        <v>0</v>
      </c>
      <c r="AE214" s="87">
        <f t="shared" si="42"/>
        <v>0</v>
      </c>
      <c r="AF214" s="87">
        <f t="shared" si="42"/>
        <v>0</v>
      </c>
      <c r="AG214" s="87">
        <f t="shared" si="42"/>
        <v>0</v>
      </c>
      <c r="AH214" s="87">
        <f t="shared" si="42"/>
        <v>0</v>
      </c>
      <c r="AI214" s="87">
        <f t="shared" si="42"/>
        <v>0</v>
      </c>
      <c r="AJ214" s="87">
        <f t="shared" si="42"/>
        <v>0</v>
      </c>
      <c r="AK214" s="87">
        <f t="shared" si="42"/>
        <v>0</v>
      </c>
      <c r="AL214" s="87">
        <f t="shared" si="42"/>
        <v>0</v>
      </c>
      <c r="AM214" s="87">
        <f t="shared" si="42"/>
        <v>0</v>
      </c>
      <c r="AN214" s="87">
        <f t="shared" si="42"/>
        <v>0</v>
      </c>
      <c r="AO214" s="87">
        <f t="shared" si="42"/>
        <v>0</v>
      </c>
      <c r="AP214" s="87">
        <f t="shared" si="42"/>
        <v>0</v>
      </c>
      <c r="AQ214" s="87"/>
    </row>
    <row r="215" spans="2:43" s="88" customFormat="1" x14ac:dyDescent="0.25">
      <c r="E215" s="178">
        <f>SUM(E216:E245)</f>
        <v>0</v>
      </c>
      <c r="F215" s="178">
        <f>SUM(F216:F245)</f>
        <v>0</v>
      </c>
      <c r="G215" s="178">
        <f>SUM(G216:G245)</f>
        <v>0</v>
      </c>
      <c r="H215" s="178">
        <f>SUM(H216:H245)</f>
        <v>0</v>
      </c>
      <c r="I215" s="89"/>
      <c r="J215" s="89"/>
      <c r="K215" s="58" t="s">
        <v>7</v>
      </c>
      <c r="L215" s="89"/>
      <c r="M215" s="180">
        <f>SUMMARY!$J$6</f>
        <v>0</v>
      </c>
      <c r="N215" s="180">
        <f>SUMMARY!$J$7</f>
        <v>0</v>
      </c>
      <c r="O215" s="180">
        <f>SUMMARY!$J$8</f>
        <v>0</v>
      </c>
      <c r="P215" s="180">
        <f>SUMMARY!$J$9</f>
        <v>0</v>
      </c>
      <c r="Q215" s="180">
        <f>SUMMARY!$J$10</f>
        <v>0</v>
      </c>
      <c r="R215" s="180">
        <f>SUMMARY!$J$11</f>
        <v>0</v>
      </c>
      <c r="S215" s="180">
        <f>SUMMARY!$J$12</f>
        <v>0</v>
      </c>
      <c r="T215" s="180">
        <f>SUMMARY!$J$13</f>
        <v>0</v>
      </c>
      <c r="U215" s="180">
        <f>SUMMARY!$J$14</f>
        <v>0</v>
      </c>
      <c r="V215" s="180">
        <f>SUMMARY!$J$15</f>
        <v>0</v>
      </c>
      <c r="W215" s="180">
        <f>SUMMARY!$J$16</f>
        <v>0</v>
      </c>
      <c r="X215" s="180">
        <f>SUMMARY!$J$17</f>
        <v>0</v>
      </c>
      <c r="Y215" s="180">
        <f>SUMMARY!$J$18</f>
        <v>0</v>
      </c>
      <c r="Z215" s="180">
        <f>SUMMARY!$J$19</f>
        <v>0</v>
      </c>
      <c r="AA215" s="180">
        <f>SUMMARY!$J$20</f>
        <v>0</v>
      </c>
      <c r="AB215" s="180">
        <f>SUMMARY!$J$21</f>
        <v>0</v>
      </c>
      <c r="AC215" s="180">
        <f>SUMMARY!$J$22</f>
        <v>0</v>
      </c>
      <c r="AD215" s="180">
        <f>SUMMARY!$J$23</f>
        <v>0</v>
      </c>
      <c r="AE215" s="180">
        <f>SUMMARY!$J$24</f>
        <v>0</v>
      </c>
      <c r="AF215" s="180">
        <f>SUMMARY!$J$25</f>
        <v>0</v>
      </c>
      <c r="AG215" s="180">
        <f>SUMMARY!$J$26</f>
        <v>0</v>
      </c>
      <c r="AH215" s="180">
        <f>SUMMARY!$J$27</f>
        <v>0</v>
      </c>
      <c r="AI215" s="180">
        <f>SUMMARY!$J$28</f>
        <v>0</v>
      </c>
      <c r="AJ215" s="180">
        <f>SUMMARY!$J$29</f>
        <v>0</v>
      </c>
      <c r="AK215" s="180">
        <f>SUMMARY!$J$30</f>
        <v>0</v>
      </c>
      <c r="AL215" s="180">
        <f>SUMMARY!$J$31</f>
        <v>0</v>
      </c>
      <c r="AM215" s="180">
        <f>SUMMARY!$J$32</f>
        <v>0</v>
      </c>
      <c r="AN215" s="180">
        <f>SUMMARY!$J$33</f>
        <v>0</v>
      </c>
      <c r="AO215" s="180">
        <f>SUMMARY!$J$34</f>
        <v>0</v>
      </c>
      <c r="AP215" s="180">
        <f>SUMMARY!$J$35</f>
        <v>0</v>
      </c>
      <c r="AQ215" s="90"/>
    </row>
    <row r="216" spans="2:43" x14ac:dyDescent="0.25">
      <c r="B216" s="54">
        <v>0.29166666666424135</v>
      </c>
      <c r="C216" s="54">
        <v>0.645833333372138</v>
      </c>
      <c r="D216" s="60"/>
      <c r="E216" s="91"/>
      <c r="F216" s="91"/>
      <c r="G216" s="91"/>
      <c r="H216" s="92">
        <f t="shared" ref="H216:H245" si="43">SUM(E216:G216)</f>
        <v>0</v>
      </c>
      <c r="I216" s="180">
        <f>M$214-M$215</f>
        <v>0</v>
      </c>
      <c r="M216" s="61">
        <f t="shared" ref="M216:AB231" si="44">IF(AND(M$2&gt;=$B216,M$2&lt;$C216),$E216,0)</f>
        <v>0</v>
      </c>
      <c r="N216" s="61">
        <f t="shared" si="44"/>
        <v>0</v>
      </c>
      <c r="O216" s="61">
        <f t="shared" si="44"/>
        <v>0</v>
      </c>
      <c r="P216" s="61">
        <f t="shared" si="44"/>
        <v>0</v>
      </c>
      <c r="Q216" s="61">
        <f t="shared" si="44"/>
        <v>0</v>
      </c>
      <c r="R216" s="61">
        <f t="shared" si="44"/>
        <v>0</v>
      </c>
      <c r="S216" s="61">
        <f t="shared" si="44"/>
        <v>0</v>
      </c>
      <c r="T216" s="61">
        <f t="shared" si="44"/>
        <v>0</v>
      </c>
      <c r="U216" s="61">
        <f t="shared" si="44"/>
        <v>0</v>
      </c>
      <c r="V216" s="61">
        <f t="shared" si="44"/>
        <v>0</v>
      </c>
      <c r="W216" s="61">
        <f t="shared" si="44"/>
        <v>0</v>
      </c>
      <c r="X216" s="61">
        <f t="shared" si="44"/>
        <v>0</v>
      </c>
      <c r="Y216" s="61">
        <f t="shared" si="44"/>
        <v>0</v>
      </c>
      <c r="Z216" s="61">
        <f t="shared" si="44"/>
        <v>0</v>
      </c>
      <c r="AA216" s="61">
        <f t="shared" si="44"/>
        <v>0</v>
      </c>
      <c r="AB216" s="61">
        <f t="shared" si="44"/>
        <v>0</v>
      </c>
      <c r="AC216" s="61">
        <f t="shared" ref="AC216:AP231" si="45">IF(AND(AC$2&gt;=$B216,AC$2&lt;$C216),$E216,0)</f>
        <v>0</v>
      </c>
      <c r="AD216" s="61">
        <f t="shared" si="45"/>
        <v>0</v>
      </c>
      <c r="AE216" s="61">
        <f t="shared" si="45"/>
        <v>0</v>
      </c>
      <c r="AF216" s="61">
        <f t="shared" si="45"/>
        <v>0</v>
      </c>
      <c r="AG216" s="61">
        <f t="shared" si="45"/>
        <v>0</v>
      </c>
      <c r="AH216" s="61">
        <f t="shared" si="45"/>
        <v>0</v>
      </c>
      <c r="AI216" s="61">
        <f t="shared" si="45"/>
        <v>0</v>
      </c>
      <c r="AJ216" s="61">
        <f t="shared" si="45"/>
        <v>0</v>
      </c>
      <c r="AK216" s="61">
        <f t="shared" si="45"/>
        <v>0</v>
      </c>
      <c r="AL216" s="61">
        <f t="shared" si="45"/>
        <v>0</v>
      </c>
      <c r="AM216" s="61">
        <f t="shared" si="45"/>
        <v>0</v>
      </c>
      <c r="AN216" s="61">
        <f t="shared" si="45"/>
        <v>0</v>
      </c>
      <c r="AO216" s="61">
        <f t="shared" si="45"/>
        <v>0</v>
      </c>
      <c r="AP216" s="61">
        <f t="shared" si="45"/>
        <v>0</v>
      </c>
      <c r="AQ216" s="61"/>
    </row>
    <row r="217" spans="2:43" x14ac:dyDescent="0.25">
      <c r="B217" s="54">
        <v>0.3125</v>
      </c>
      <c r="C217" s="54">
        <v>0.66666666670789698</v>
      </c>
      <c r="D217" s="60"/>
      <c r="E217" s="91"/>
      <c r="F217" s="91"/>
      <c r="G217" s="91"/>
      <c r="H217" s="92">
        <f t="shared" si="43"/>
        <v>0</v>
      </c>
      <c r="I217" s="180">
        <f>N$214-N$215</f>
        <v>0</v>
      </c>
      <c r="M217" s="61">
        <f t="shared" si="44"/>
        <v>0</v>
      </c>
      <c r="N217" s="61">
        <f t="shared" si="44"/>
        <v>0</v>
      </c>
      <c r="O217" s="61">
        <f t="shared" si="44"/>
        <v>0</v>
      </c>
      <c r="P217" s="61">
        <f t="shared" si="44"/>
        <v>0</v>
      </c>
      <c r="Q217" s="61">
        <f t="shared" si="44"/>
        <v>0</v>
      </c>
      <c r="R217" s="61">
        <f t="shared" si="44"/>
        <v>0</v>
      </c>
      <c r="S217" s="61">
        <f t="shared" si="44"/>
        <v>0</v>
      </c>
      <c r="T217" s="61">
        <f t="shared" si="44"/>
        <v>0</v>
      </c>
      <c r="U217" s="61">
        <f t="shared" si="44"/>
        <v>0</v>
      </c>
      <c r="V217" s="61">
        <f t="shared" si="44"/>
        <v>0</v>
      </c>
      <c r="W217" s="61">
        <f t="shared" si="44"/>
        <v>0</v>
      </c>
      <c r="X217" s="61">
        <f t="shared" si="44"/>
        <v>0</v>
      </c>
      <c r="Y217" s="61">
        <f t="shared" si="44"/>
        <v>0</v>
      </c>
      <c r="Z217" s="61">
        <f t="shared" si="44"/>
        <v>0</v>
      </c>
      <c r="AA217" s="61">
        <f t="shared" si="44"/>
        <v>0</v>
      </c>
      <c r="AB217" s="61">
        <f t="shared" si="44"/>
        <v>0</v>
      </c>
      <c r="AC217" s="61">
        <f t="shared" si="45"/>
        <v>0</v>
      </c>
      <c r="AD217" s="61">
        <f t="shared" si="45"/>
        <v>0</v>
      </c>
      <c r="AE217" s="61">
        <f t="shared" si="45"/>
        <v>0</v>
      </c>
      <c r="AF217" s="61">
        <f t="shared" si="45"/>
        <v>0</v>
      </c>
      <c r="AG217" s="61">
        <f t="shared" si="45"/>
        <v>0</v>
      </c>
      <c r="AH217" s="61">
        <f t="shared" si="45"/>
        <v>0</v>
      </c>
      <c r="AI217" s="61">
        <f t="shared" si="45"/>
        <v>0</v>
      </c>
      <c r="AJ217" s="61">
        <f t="shared" si="45"/>
        <v>0</v>
      </c>
      <c r="AK217" s="61">
        <f t="shared" si="45"/>
        <v>0</v>
      </c>
      <c r="AL217" s="61">
        <f t="shared" si="45"/>
        <v>0</v>
      </c>
      <c r="AM217" s="61">
        <f t="shared" si="45"/>
        <v>0</v>
      </c>
      <c r="AN217" s="61">
        <f t="shared" si="45"/>
        <v>0</v>
      </c>
      <c r="AO217" s="61">
        <f t="shared" si="45"/>
        <v>0</v>
      </c>
      <c r="AP217" s="61">
        <f t="shared" si="45"/>
        <v>0</v>
      </c>
      <c r="AQ217" s="61"/>
    </row>
    <row r="218" spans="2:43" x14ac:dyDescent="0.25">
      <c r="B218" s="54">
        <v>0.33333333333575865</v>
      </c>
      <c r="C218" s="54">
        <v>0.68750000004365597</v>
      </c>
      <c r="D218" s="60"/>
      <c r="E218" s="91">
        <f>SUMMARY!AB49</f>
        <v>0</v>
      </c>
      <c r="F218" s="91">
        <f>SUMMARY!AT49</f>
        <v>0</v>
      </c>
      <c r="G218" s="91">
        <f>SUMMARY!AM49</f>
        <v>0</v>
      </c>
      <c r="H218" s="92">
        <f t="shared" si="43"/>
        <v>0</v>
      </c>
      <c r="I218" s="180">
        <f>O$214-O$215</f>
        <v>0</v>
      </c>
      <c r="M218" s="61">
        <f t="shared" si="44"/>
        <v>0</v>
      </c>
      <c r="N218" s="61">
        <f t="shared" si="44"/>
        <v>0</v>
      </c>
      <c r="O218" s="61">
        <f t="shared" si="44"/>
        <v>0</v>
      </c>
      <c r="P218" s="61">
        <f t="shared" si="44"/>
        <v>0</v>
      </c>
      <c r="Q218" s="61">
        <f t="shared" si="44"/>
        <v>0</v>
      </c>
      <c r="R218" s="61">
        <f t="shared" si="44"/>
        <v>0</v>
      </c>
      <c r="S218" s="61">
        <f t="shared" si="44"/>
        <v>0</v>
      </c>
      <c r="T218" s="61">
        <f t="shared" si="44"/>
        <v>0</v>
      </c>
      <c r="U218" s="61">
        <f t="shared" si="44"/>
        <v>0</v>
      </c>
      <c r="V218" s="61">
        <f t="shared" si="44"/>
        <v>0</v>
      </c>
      <c r="W218" s="61">
        <f t="shared" si="44"/>
        <v>0</v>
      </c>
      <c r="X218" s="61">
        <f t="shared" si="44"/>
        <v>0</v>
      </c>
      <c r="Y218" s="61">
        <f t="shared" si="44"/>
        <v>0</v>
      </c>
      <c r="Z218" s="61">
        <f t="shared" si="44"/>
        <v>0</v>
      </c>
      <c r="AA218" s="61">
        <f t="shared" si="44"/>
        <v>0</v>
      </c>
      <c r="AB218" s="61">
        <f t="shared" si="44"/>
        <v>0</v>
      </c>
      <c r="AC218" s="61">
        <f t="shared" si="45"/>
        <v>0</v>
      </c>
      <c r="AD218" s="61">
        <f t="shared" si="45"/>
        <v>0</v>
      </c>
      <c r="AE218" s="61">
        <f t="shared" si="45"/>
        <v>0</v>
      </c>
      <c r="AF218" s="61"/>
      <c r="AG218" s="61">
        <f t="shared" si="45"/>
        <v>0</v>
      </c>
      <c r="AH218" s="61">
        <f t="shared" si="45"/>
        <v>0</v>
      </c>
      <c r="AI218" s="61">
        <f t="shared" si="45"/>
        <v>0</v>
      </c>
      <c r="AJ218" s="61">
        <f t="shared" si="45"/>
        <v>0</v>
      </c>
      <c r="AK218" s="61">
        <f t="shared" si="45"/>
        <v>0</v>
      </c>
      <c r="AL218" s="61">
        <f t="shared" si="45"/>
        <v>0</v>
      </c>
      <c r="AM218" s="61">
        <f t="shared" si="45"/>
        <v>0</v>
      </c>
      <c r="AN218" s="61">
        <f t="shared" si="45"/>
        <v>0</v>
      </c>
      <c r="AO218" s="61">
        <f t="shared" si="45"/>
        <v>0</v>
      </c>
      <c r="AP218" s="61">
        <f t="shared" si="45"/>
        <v>0</v>
      </c>
      <c r="AQ218" s="61"/>
    </row>
    <row r="219" spans="2:43" x14ac:dyDescent="0.25">
      <c r="B219" s="54">
        <v>0.35416666666424135</v>
      </c>
      <c r="C219" s="54">
        <v>0.70833333337941495</v>
      </c>
      <c r="D219" s="60"/>
      <c r="E219" s="91">
        <f>SUMMARY!AB50</f>
        <v>0</v>
      </c>
      <c r="F219" s="91">
        <f>SUMMARY!AT50</f>
        <v>0</v>
      </c>
      <c r="G219" s="91">
        <f>SUMMARY!AM50</f>
        <v>0</v>
      </c>
      <c r="H219" s="92">
        <f t="shared" si="43"/>
        <v>0</v>
      </c>
      <c r="I219" s="180">
        <f>P$214-P$215</f>
        <v>0</v>
      </c>
      <c r="M219" s="61">
        <f t="shared" si="44"/>
        <v>0</v>
      </c>
      <c r="N219" s="61">
        <f t="shared" si="44"/>
        <v>0</v>
      </c>
      <c r="O219" s="61">
        <f t="shared" si="44"/>
        <v>0</v>
      </c>
      <c r="P219" s="61">
        <f t="shared" si="44"/>
        <v>0</v>
      </c>
      <c r="Q219" s="61">
        <f t="shared" si="44"/>
        <v>0</v>
      </c>
      <c r="R219" s="61">
        <f t="shared" si="44"/>
        <v>0</v>
      </c>
      <c r="S219" s="61">
        <f t="shared" si="44"/>
        <v>0</v>
      </c>
      <c r="T219" s="61">
        <f t="shared" si="44"/>
        <v>0</v>
      </c>
      <c r="U219" s="61">
        <f t="shared" si="44"/>
        <v>0</v>
      </c>
      <c r="V219" s="61">
        <f t="shared" si="44"/>
        <v>0</v>
      </c>
      <c r="W219" s="61">
        <f t="shared" si="44"/>
        <v>0</v>
      </c>
      <c r="X219" s="61">
        <f t="shared" si="44"/>
        <v>0</v>
      </c>
      <c r="Y219" s="61">
        <f t="shared" si="44"/>
        <v>0</v>
      </c>
      <c r="Z219" s="61">
        <f t="shared" si="44"/>
        <v>0</v>
      </c>
      <c r="AA219" s="61">
        <f t="shared" si="44"/>
        <v>0</v>
      </c>
      <c r="AB219" s="61">
        <f t="shared" si="44"/>
        <v>0</v>
      </c>
      <c r="AC219" s="61">
        <f t="shared" si="45"/>
        <v>0</v>
      </c>
      <c r="AD219" s="61">
        <f t="shared" si="45"/>
        <v>0</v>
      </c>
      <c r="AE219" s="61">
        <f t="shared" si="45"/>
        <v>0</v>
      </c>
      <c r="AF219" s="61">
        <f t="shared" si="45"/>
        <v>0</v>
      </c>
      <c r="AG219" s="61"/>
      <c r="AH219" s="61">
        <f t="shared" si="45"/>
        <v>0</v>
      </c>
      <c r="AI219" s="61">
        <f t="shared" si="45"/>
        <v>0</v>
      </c>
      <c r="AJ219" s="61">
        <f t="shared" si="45"/>
        <v>0</v>
      </c>
      <c r="AK219" s="61">
        <f t="shared" si="45"/>
        <v>0</v>
      </c>
      <c r="AL219" s="61">
        <f t="shared" si="45"/>
        <v>0</v>
      </c>
      <c r="AM219" s="61">
        <f t="shared" si="45"/>
        <v>0</v>
      </c>
      <c r="AN219" s="61">
        <f t="shared" si="45"/>
        <v>0</v>
      </c>
      <c r="AO219" s="61">
        <f t="shared" si="45"/>
        <v>0</v>
      </c>
      <c r="AP219" s="61">
        <f t="shared" si="45"/>
        <v>0</v>
      </c>
      <c r="AQ219" s="61"/>
    </row>
    <row r="220" spans="2:43" x14ac:dyDescent="0.25">
      <c r="B220" s="54">
        <v>0.375</v>
      </c>
      <c r="C220" s="54">
        <v>0.72916666671517405</v>
      </c>
      <c r="D220" s="60"/>
      <c r="E220" s="91"/>
      <c r="F220" s="91">
        <f>SUMMARY!AT51</f>
        <v>0</v>
      </c>
      <c r="G220" s="91">
        <f>SUMMARY!AM51</f>
        <v>0</v>
      </c>
      <c r="H220" s="92">
        <f>SUM(E220:G220)</f>
        <v>0</v>
      </c>
      <c r="I220" s="180">
        <f>Q$214-Q$215</f>
        <v>0</v>
      </c>
      <c r="M220" s="61">
        <f t="shared" si="44"/>
        <v>0</v>
      </c>
      <c r="N220" s="61">
        <f t="shared" si="44"/>
        <v>0</v>
      </c>
      <c r="O220" s="61">
        <f t="shared" si="44"/>
        <v>0</v>
      </c>
      <c r="P220" s="61">
        <f t="shared" si="44"/>
        <v>0</v>
      </c>
      <c r="Q220" s="61">
        <f t="shared" si="44"/>
        <v>0</v>
      </c>
      <c r="R220" s="61">
        <f t="shared" si="44"/>
        <v>0</v>
      </c>
      <c r="S220" s="61">
        <f t="shared" si="44"/>
        <v>0</v>
      </c>
      <c r="T220" s="61">
        <f t="shared" si="44"/>
        <v>0</v>
      </c>
      <c r="U220" s="61">
        <f t="shared" si="44"/>
        <v>0</v>
      </c>
      <c r="V220" s="61">
        <f t="shared" si="44"/>
        <v>0</v>
      </c>
      <c r="W220" s="61">
        <f t="shared" si="44"/>
        <v>0</v>
      </c>
      <c r="X220" s="61">
        <f t="shared" si="44"/>
        <v>0</v>
      </c>
      <c r="Y220" s="61">
        <f t="shared" si="44"/>
        <v>0</v>
      </c>
      <c r="Z220" s="61">
        <f t="shared" si="44"/>
        <v>0</v>
      </c>
      <c r="AA220" s="61">
        <f t="shared" si="44"/>
        <v>0</v>
      </c>
      <c r="AB220" s="61">
        <f t="shared" si="44"/>
        <v>0</v>
      </c>
      <c r="AC220" s="61">
        <f t="shared" si="45"/>
        <v>0</v>
      </c>
      <c r="AD220" s="61">
        <f t="shared" si="45"/>
        <v>0</v>
      </c>
      <c r="AE220" s="61">
        <f t="shared" si="45"/>
        <v>0</v>
      </c>
      <c r="AF220" s="61">
        <f t="shared" si="45"/>
        <v>0</v>
      </c>
      <c r="AG220" s="61">
        <f t="shared" si="45"/>
        <v>0</v>
      </c>
      <c r="AH220" s="61">
        <f t="shared" si="45"/>
        <v>0</v>
      </c>
      <c r="AI220" s="61">
        <f t="shared" si="45"/>
        <v>0</v>
      </c>
      <c r="AJ220" s="61">
        <f t="shared" si="45"/>
        <v>0</v>
      </c>
      <c r="AK220" s="61">
        <f t="shared" si="45"/>
        <v>0</v>
      </c>
      <c r="AL220" s="61">
        <f t="shared" si="45"/>
        <v>0</v>
      </c>
      <c r="AM220" s="61">
        <f t="shared" si="45"/>
        <v>0</v>
      </c>
      <c r="AN220" s="61">
        <f t="shared" si="45"/>
        <v>0</v>
      </c>
      <c r="AO220" s="61">
        <f t="shared" si="45"/>
        <v>0</v>
      </c>
      <c r="AP220" s="61">
        <f t="shared" si="45"/>
        <v>0</v>
      </c>
      <c r="AQ220" s="61"/>
    </row>
    <row r="221" spans="2:43" x14ac:dyDescent="0.25">
      <c r="B221" s="54">
        <v>0.39583333333575865</v>
      </c>
      <c r="C221" s="54">
        <v>0.75000000005093304</v>
      </c>
      <c r="D221" s="60"/>
      <c r="E221" s="91"/>
      <c r="F221" s="91">
        <f>SUMMARY!AT52</f>
        <v>0</v>
      </c>
      <c r="G221" s="91">
        <f>SUMMARY!AM52</f>
        <v>0</v>
      </c>
      <c r="H221" s="92">
        <f t="shared" si="43"/>
        <v>0</v>
      </c>
      <c r="I221" s="180">
        <f>R$214-R$215</f>
        <v>0</v>
      </c>
      <c r="M221" s="61">
        <f t="shared" si="44"/>
        <v>0</v>
      </c>
      <c r="N221" s="61">
        <f t="shared" si="44"/>
        <v>0</v>
      </c>
      <c r="O221" s="61">
        <f t="shared" si="44"/>
        <v>0</v>
      </c>
      <c r="P221" s="61">
        <f t="shared" si="44"/>
        <v>0</v>
      </c>
      <c r="Q221" s="61">
        <f t="shared" si="44"/>
        <v>0</v>
      </c>
      <c r="R221" s="61">
        <f t="shared" si="44"/>
        <v>0</v>
      </c>
      <c r="S221" s="61">
        <f t="shared" si="44"/>
        <v>0</v>
      </c>
      <c r="T221" s="61">
        <f t="shared" si="44"/>
        <v>0</v>
      </c>
      <c r="U221" s="61">
        <f t="shared" si="44"/>
        <v>0</v>
      </c>
      <c r="V221" s="61">
        <f t="shared" si="44"/>
        <v>0</v>
      </c>
      <c r="W221" s="61">
        <f t="shared" si="44"/>
        <v>0</v>
      </c>
      <c r="X221" s="61">
        <f t="shared" si="44"/>
        <v>0</v>
      </c>
      <c r="Y221" s="61">
        <f t="shared" si="44"/>
        <v>0</v>
      </c>
      <c r="Z221" s="61">
        <f t="shared" si="44"/>
        <v>0</v>
      </c>
      <c r="AA221" s="61">
        <f t="shared" si="44"/>
        <v>0</v>
      </c>
      <c r="AB221" s="61">
        <f t="shared" si="44"/>
        <v>0</v>
      </c>
      <c r="AC221" s="61">
        <f t="shared" si="45"/>
        <v>0</v>
      </c>
      <c r="AD221" s="61">
        <f t="shared" si="45"/>
        <v>0</v>
      </c>
      <c r="AE221" s="61">
        <f t="shared" si="45"/>
        <v>0</v>
      </c>
      <c r="AF221" s="61">
        <f t="shared" si="45"/>
        <v>0</v>
      </c>
      <c r="AG221" s="61">
        <f t="shared" si="45"/>
        <v>0</v>
      </c>
      <c r="AH221" s="61">
        <f t="shared" si="45"/>
        <v>0</v>
      </c>
      <c r="AI221" s="61">
        <f t="shared" si="45"/>
        <v>0</v>
      </c>
      <c r="AJ221" s="61">
        <f t="shared" si="45"/>
        <v>0</v>
      </c>
      <c r="AK221" s="61">
        <f t="shared" si="45"/>
        <v>0</v>
      </c>
      <c r="AL221" s="61">
        <f t="shared" si="45"/>
        <v>0</v>
      </c>
      <c r="AM221" s="61">
        <f t="shared" si="45"/>
        <v>0</v>
      </c>
      <c r="AN221" s="61">
        <f t="shared" si="45"/>
        <v>0</v>
      </c>
      <c r="AO221" s="61">
        <f t="shared" si="45"/>
        <v>0</v>
      </c>
      <c r="AP221" s="61">
        <f t="shared" si="45"/>
        <v>0</v>
      </c>
      <c r="AQ221" s="61"/>
    </row>
    <row r="222" spans="2:43" x14ac:dyDescent="0.25">
      <c r="B222" s="54">
        <v>0.41666666666424135</v>
      </c>
      <c r="C222" s="54">
        <v>0.77083333338669202</v>
      </c>
      <c r="D222" s="60"/>
      <c r="E222" s="91"/>
      <c r="F222" s="91">
        <f>SUMMARY!AT53</f>
        <v>0</v>
      </c>
      <c r="G222" s="91">
        <f>SUMMARY!AM53</f>
        <v>0</v>
      </c>
      <c r="H222" s="92">
        <f t="shared" si="43"/>
        <v>0</v>
      </c>
      <c r="I222" s="180">
        <f>S$214-S$215</f>
        <v>0</v>
      </c>
      <c r="M222" s="61">
        <f t="shared" si="44"/>
        <v>0</v>
      </c>
      <c r="N222" s="61">
        <f t="shared" si="44"/>
        <v>0</v>
      </c>
      <c r="O222" s="61">
        <f t="shared" si="44"/>
        <v>0</v>
      </c>
      <c r="P222" s="61">
        <f t="shared" si="44"/>
        <v>0</v>
      </c>
      <c r="Q222" s="61">
        <f t="shared" si="44"/>
        <v>0</v>
      </c>
      <c r="R222" s="61">
        <f t="shared" si="44"/>
        <v>0</v>
      </c>
      <c r="S222" s="61">
        <f t="shared" si="44"/>
        <v>0</v>
      </c>
      <c r="T222" s="61">
        <f t="shared" si="44"/>
        <v>0</v>
      </c>
      <c r="U222" s="61">
        <f t="shared" si="44"/>
        <v>0</v>
      </c>
      <c r="V222" s="61">
        <f t="shared" si="44"/>
        <v>0</v>
      </c>
      <c r="W222" s="61">
        <f t="shared" si="44"/>
        <v>0</v>
      </c>
      <c r="X222" s="61">
        <f t="shared" si="44"/>
        <v>0</v>
      </c>
      <c r="Y222" s="61">
        <f t="shared" si="44"/>
        <v>0</v>
      </c>
      <c r="Z222" s="61">
        <f t="shared" si="44"/>
        <v>0</v>
      </c>
      <c r="AA222" s="61">
        <f t="shared" si="44"/>
        <v>0</v>
      </c>
      <c r="AB222" s="61">
        <f t="shared" si="44"/>
        <v>0</v>
      </c>
      <c r="AC222" s="61">
        <f t="shared" si="45"/>
        <v>0</v>
      </c>
      <c r="AD222" s="61">
        <f t="shared" si="45"/>
        <v>0</v>
      </c>
      <c r="AE222" s="61">
        <f t="shared" si="45"/>
        <v>0</v>
      </c>
      <c r="AF222" s="61">
        <f t="shared" si="45"/>
        <v>0</v>
      </c>
      <c r="AG222" s="61">
        <f t="shared" si="45"/>
        <v>0</v>
      </c>
      <c r="AH222" s="61">
        <f t="shared" si="45"/>
        <v>0</v>
      </c>
      <c r="AI222" s="61">
        <f t="shared" si="45"/>
        <v>0</v>
      </c>
      <c r="AJ222" s="61">
        <f t="shared" si="45"/>
        <v>0</v>
      </c>
      <c r="AK222" s="61">
        <f t="shared" si="45"/>
        <v>0</v>
      </c>
      <c r="AL222" s="61">
        <f t="shared" si="45"/>
        <v>0</v>
      </c>
      <c r="AM222" s="61">
        <f t="shared" si="45"/>
        <v>0</v>
      </c>
      <c r="AN222" s="61">
        <f t="shared" si="45"/>
        <v>0</v>
      </c>
      <c r="AO222" s="61">
        <f t="shared" si="45"/>
        <v>0</v>
      </c>
      <c r="AP222" s="61">
        <f t="shared" si="45"/>
        <v>0</v>
      </c>
      <c r="AQ222" s="61"/>
    </row>
    <row r="223" spans="2:43" x14ac:dyDescent="0.25">
      <c r="B223" s="54">
        <v>0.4375</v>
      </c>
      <c r="C223" s="54">
        <v>0.79166666672245101</v>
      </c>
      <c r="D223" s="60"/>
      <c r="E223" s="91"/>
      <c r="F223" s="91">
        <f>SUMMARY!AT54</f>
        <v>0</v>
      </c>
      <c r="G223" s="91">
        <f>SUMMARY!AM54</f>
        <v>0</v>
      </c>
      <c r="H223" s="92">
        <f t="shared" si="43"/>
        <v>0</v>
      </c>
      <c r="I223" s="180">
        <f>T$214-T$215</f>
        <v>0</v>
      </c>
      <c r="M223" s="61">
        <f t="shared" si="44"/>
        <v>0</v>
      </c>
      <c r="N223" s="61">
        <f t="shared" si="44"/>
        <v>0</v>
      </c>
      <c r="O223" s="61">
        <f t="shared" si="44"/>
        <v>0</v>
      </c>
      <c r="P223" s="61">
        <f t="shared" si="44"/>
        <v>0</v>
      </c>
      <c r="Q223" s="61">
        <f t="shared" si="44"/>
        <v>0</v>
      </c>
      <c r="R223" s="61">
        <f t="shared" si="44"/>
        <v>0</v>
      </c>
      <c r="S223" s="61">
        <f t="shared" si="44"/>
        <v>0</v>
      </c>
      <c r="T223" s="61">
        <f t="shared" si="44"/>
        <v>0</v>
      </c>
      <c r="U223" s="61">
        <f t="shared" si="44"/>
        <v>0</v>
      </c>
      <c r="V223" s="61">
        <f t="shared" si="44"/>
        <v>0</v>
      </c>
      <c r="W223" s="61">
        <f t="shared" si="44"/>
        <v>0</v>
      </c>
      <c r="X223" s="61">
        <f t="shared" si="44"/>
        <v>0</v>
      </c>
      <c r="Y223" s="61">
        <f t="shared" si="44"/>
        <v>0</v>
      </c>
      <c r="Z223" s="61">
        <f t="shared" si="44"/>
        <v>0</v>
      </c>
      <c r="AA223" s="61">
        <f t="shared" si="44"/>
        <v>0</v>
      </c>
      <c r="AB223" s="61">
        <f t="shared" si="44"/>
        <v>0</v>
      </c>
      <c r="AC223" s="61">
        <f t="shared" si="45"/>
        <v>0</v>
      </c>
      <c r="AD223" s="61">
        <f t="shared" si="45"/>
        <v>0</v>
      </c>
      <c r="AE223" s="61">
        <f t="shared" si="45"/>
        <v>0</v>
      </c>
      <c r="AF223" s="61">
        <f t="shared" si="45"/>
        <v>0</v>
      </c>
      <c r="AG223" s="61">
        <f t="shared" si="45"/>
        <v>0</v>
      </c>
      <c r="AH223" s="61">
        <f t="shared" si="45"/>
        <v>0</v>
      </c>
      <c r="AI223" s="61">
        <f t="shared" si="45"/>
        <v>0</v>
      </c>
      <c r="AJ223" s="61">
        <f t="shared" si="45"/>
        <v>0</v>
      </c>
      <c r="AK223" s="61">
        <f t="shared" si="45"/>
        <v>0</v>
      </c>
      <c r="AL223" s="61">
        <f t="shared" si="45"/>
        <v>0</v>
      </c>
      <c r="AM223" s="61">
        <f t="shared" si="45"/>
        <v>0</v>
      </c>
      <c r="AN223" s="61">
        <f t="shared" si="45"/>
        <v>0</v>
      </c>
      <c r="AO223" s="61">
        <f t="shared" si="45"/>
        <v>0</v>
      </c>
      <c r="AP223" s="61">
        <f t="shared" si="45"/>
        <v>0</v>
      </c>
      <c r="AQ223" s="61"/>
    </row>
    <row r="224" spans="2:43" x14ac:dyDescent="0.25">
      <c r="B224" s="54">
        <v>0.45833333333575865</v>
      </c>
      <c r="C224" s="54">
        <v>0.81250000005820999</v>
      </c>
      <c r="D224" s="60"/>
      <c r="E224" s="91"/>
      <c r="F224" s="91">
        <f>SUMMARY!AT55</f>
        <v>0</v>
      </c>
      <c r="G224" s="91">
        <f>SUMMARY!AM55</f>
        <v>0</v>
      </c>
      <c r="H224" s="92">
        <f t="shared" si="43"/>
        <v>0</v>
      </c>
      <c r="I224" s="180">
        <f>U$214-U$215</f>
        <v>0</v>
      </c>
      <c r="M224" s="61">
        <f t="shared" si="44"/>
        <v>0</v>
      </c>
      <c r="N224" s="61">
        <f t="shared" si="44"/>
        <v>0</v>
      </c>
      <c r="O224" s="61">
        <f t="shared" si="44"/>
        <v>0</v>
      </c>
      <c r="P224" s="61">
        <f t="shared" si="44"/>
        <v>0</v>
      </c>
      <c r="Q224" s="61">
        <f t="shared" si="44"/>
        <v>0</v>
      </c>
      <c r="R224" s="61">
        <f t="shared" si="44"/>
        <v>0</v>
      </c>
      <c r="S224" s="61">
        <f t="shared" si="44"/>
        <v>0</v>
      </c>
      <c r="T224" s="61">
        <f t="shared" si="44"/>
        <v>0</v>
      </c>
      <c r="U224" s="61">
        <f t="shared" si="44"/>
        <v>0</v>
      </c>
      <c r="V224" s="61">
        <f t="shared" si="44"/>
        <v>0</v>
      </c>
      <c r="W224" s="61">
        <f t="shared" si="44"/>
        <v>0</v>
      </c>
      <c r="X224" s="61">
        <f t="shared" si="44"/>
        <v>0</v>
      </c>
      <c r="Y224" s="61">
        <f t="shared" si="44"/>
        <v>0</v>
      </c>
      <c r="Z224" s="61">
        <f t="shared" si="44"/>
        <v>0</v>
      </c>
      <c r="AA224" s="61">
        <f t="shared" si="44"/>
        <v>0</v>
      </c>
      <c r="AB224" s="61">
        <f t="shared" si="44"/>
        <v>0</v>
      </c>
      <c r="AC224" s="61">
        <f t="shared" si="45"/>
        <v>0</v>
      </c>
      <c r="AD224" s="61">
        <f t="shared" si="45"/>
        <v>0</v>
      </c>
      <c r="AE224" s="61">
        <f t="shared" si="45"/>
        <v>0</v>
      </c>
      <c r="AF224" s="61">
        <f t="shared" si="45"/>
        <v>0</v>
      </c>
      <c r="AG224" s="61">
        <f t="shared" si="45"/>
        <v>0</v>
      </c>
      <c r="AH224" s="61">
        <f t="shared" si="45"/>
        <v>0</v>
      </c>
      <c r="AI224" s="61">
        <f t="shared" si="45"/>
        <v>0</v>
      </c>
      <c r="AJ224" s="61">
        <f t="shared" si="45"/>
        <v>0</v>
      </c>
      <c r="AK224" s="61">
        <f t="shared" si="45"/>
        <v>0</v>
      </c>
      <c r="AL224" s="61">
        <f t="shared" si="45"/>
        <v>0</v>
      </c>
      <c r="AM224" s="61">
        <f t="shared" si="45"/>
        <v>0</v>
      </c>
      <c r="AN224" s="61">
        <f t="shared" si="45"/>
        <v>0</v>
      </c>
      <c r="AO224" s="61">
        <f t="shared" si="45"/>
        <v>0</v>
      </c>
      <c r="AP224" s="61">
        <f t="shared" si="45"/>
        <v>0</v>
      </c>
      <c r="AQ224" s="61"/>
    </row>
    <row r="225" spans="2:43" x14ac:dyDescent="0.25">
      <c r="B225" s="54">
        <v>0.47916666666424135</v>
      </c>
      <c r="C225" s="54">
        <v>0.83333333339396898</v>
      </c>
      <c r="D225" s="60"/>
      <c r="E225" s="91"/>
      <c r="F225" s="91"/>
      <c r="G225" s="91">
        <f>SUMMARY!AM56</f>
        <v>0</v>
      </c>
      <c r="H225" s="92">
        <f t="shared" si="43"/>
        <v>0</v>
      </c>
      <c r="I225" s="180">
        <f>V$214-V$215</f>
        <v>0</v>
      </c>
      <c r="M225" s="61">
        <f t="shared" si="44"/>
        <v>0</v>
      </c>
      <c r="N225" s="61">
        <f t="shared" si="44"/>
        <v>0</v>
      </c>
      <c r="O225" s="61">
        <f t="shared" si="44"/>
        <v>0</v>
      </c>
      <c r="P225" s="61">
        <f t="shared" si="44"/>
        <v>0</v>
      </c>
      <c r="Q225" s="61">
        <f t="shared" si="44"/>
        <v>0</v>
      </c>
      <c r="R225" s="61">
        <f t="shared" si="44"/>
        <v>0</v>
      </c>
      <c r="S225" s="61">
        <f t="shared" si="44"/>
        <v>0</v>
      </c>
      <c r="T225" s="61">
        <f t="shared" si="44"/>
        <v>0</v>
      </c>
      <c r="U225" s="61">
        <f t="shared" si="44"/>
        <v>0</v>
      </c>
      <c r="V225" s="61">
        <f t="shared" si="44"/>
        <v>0</v>
      </c>
      <c r="W225" s="61">
        <f t="shared" si="44"/>
        <v>0</v>
      </c>
      <c r="X225" s="61">
        <f t="shared" si="44"/>
        <v>0</v>
      </c>
      <c r="Y225" s="61">
        <f t="shared" si="44"/>
        <v>0</v>
      </c>
      <c r="Z225" s="61">
        <f t="shared" si="44"/>
        <v>0</v>
      </c>
      <c r="AA225" s="61">
        <f t="shared" si="44"/>
        <v>0</v>
      </c>
      <c r="AB225" s="61">
        <f t="shared" si="44"/>
        <v>0</v>
      </c>
      <c r="AC225" s="61">
        <f t="shared" si="45"/>
        <v>0</v>
      </c>
      <c r="AD225" s="61">
        <f t="shared" si="45"/>
        <v>0</v>
      </c>
      <c r="AE225" s="61">
        <f t="shared" si="45"/>
        <v>0</v>
      </c>
      <c r="AF225" s="61">
        <f t="shared" si="45"/>
        <v>0</v>
      </c>
      <c r="AG225" s="61">
        <f t="shared" si="45"/>
        <v>0</v>
      </c>
      <c r="AH225" s="61">
        <f t="shared" si="45"/>
        <v>0</v>
      </c>
      <c r="AI225" s="61">
        <f t="shared" si="45"/>
        <v>0</v>
      </c>
      <c r="AJ225" s="61">
        <f t="shared" si="45"/>
        <v>0</v>
      </c>
      <c r="AK225" s="61">
        <f t="shared" si="45"/>
        <v>0</v>
      </c>
      <c r="AL225" s="61">
        <f t="shared" si="45"/>
        <v>0</v>
      </c>
      <c r="AM225" s="61">
        <f t="shared" si="45"/>
        <v>0</v>
      </c>
      <c r="AN225" s="61">
        <f t="shared" si="45"/>
        <v>0</v>
      </c>
      <c r="AO225" s="61">
        <f t="shared" si="45"/>
        <v>0</v>
      </c>
      <c r="AP225" s="61">
        <f t="shared" si="45"/>
        <v>0</v>
      </c>
      <c r="AQ225" s="61"/>
    </row>
    <row r="226" spans="2:43" x14ac:dyDescent="0.25">
      <c r="B226" s="54">
        <v>0.5</v>
      </c>
      <c r="C226" s="54">
        <v>0.85416666672972796</v>
      </c>
      <c r="D226" s="60"/>
      <c r="E226" s="91"/>
      <c r="F226" s="91"/>
      <c r="G226" s="91">
        <f>SUMMARY!AM57</f>
        <v>0</v>
      </c>
      <c r="H226" s="92">
        <f t="shared" si="43"/>
        <v>0</v>
      </c>
      <c r="I226" s="180">
        <f>W$214-W$215</f>
        <v>0</v>
      </c>
      <c r="M226" s="61">
        <f t="shared" si="44"/>
        <v>0</v>
      </c>
      <c r="N226" s="61">
        <f t="shared" si="44"/>
        <v>0</v>
      </c>
      <c r="O226" s="61">
        <f t="shared" si="44"/>
        <v>0</v>
      </c>
      <c r="P226" s="61">
        <f t="shared" si="44"/>
        <v>0</v>
      </c>
      <c r="Q226" s="61">
        <f t="shared" si="44"/>
        <v>0</v>
      </c>
      <c r="R226" s="61">
        <f t="shared" si="44"/>
        <v>0</v>
      </c>
      <c r="S226" s="61">
        <f t="shared" si="44"/>
        <v>0</v>
      </c>
      <c r="T226" s="61">
        <f t="shared" si="44"/>
        <v>0</v>
      </c>
      <c r="U226" s="61">
        <f t="shared" si="44"/>
        <v>0</v>
      </c>
      <c r="V226" s="61">
        <f t="shared" si="44"/>
        <v>0</v>
      </c>
      <c r="W226" s="61">
        <f t="shared" si="44"/>
        <v>0</v>
      </c>
      <c r="X226" s="61">
        <f t="shared" si="44"/>
        <v>0</v>
      </c>
      <c r="Y226" s="61">
        <f t="shared" si="44"/>
        <v>0</v>
      </c>
      <c r="Z226" s="61">
        <f t="shared" si="44"/>
        <v>0</v>
      </c>
      <c r="AA226" s="61">
        <f t="shared" si="44"/>
        <v>0</v>
      </c>
      <c r="AB226" s="61">
        <f t="shared" si="44"/>
        <v>0</v>
      </c>
      <c r="AC226" s="61">
        <f t="shared" si="45"/>
        <v>0</v>
      </c>
      <c r="AD226" s="61">
        <f t="shared" si="45"/>
        <v>0</v>
      </c>
      <c r="AE226" s="61">
        <f t="shared" si="45"/>
        <v>0</v>
      </c>
      <c r="AF226" s="61">
        <f t="shared" si="45"/>
        <v>0</v>
      </c>
      <c r="AG226" s="61">
        <f t="shared" si="45"/>
        <v>0</v>
      </c>
      <c r="AH226" s="61">
        <f t="shared" si="45"/>
        <v>0</v>
      </c>
      <c r="AI226" s="61">
        <f t="shared" si="45"/>
        <v>0</v>
      </c>
      <c r="AJ226" s="61">
        <f t="shared" si="45"/>
        <v>0</v>
      </c>
      <c r="AK226" s="61">
        <f t="shared" si="45"/>
        <v>0</v>
      </c>
      <c r="AL226" s="61">
        <f t="shared" si="45"/>
        <v>0</v>
      </c>
      <c r="AM226" s="61">
        <f t="shared" si="45"/>
        <v>0</v>
      </c>
      <c r="AN226" s="61">
        <f t="shared" si="45"/>
        <v>0</v>
      </c>
      <c r="AO226" s="61">
        <f t="shared" si="45"/>
        <v>0</v>
      </c>
      <c r="AP226" s="61">
        <f t="shared" si="45"/>
        <v>0</v>
      </c>
      <c r="AQ226" s="61"/>
    </row>
    <row r="227" spans="2:43" x14ac:dyDescent="0.25">
      <c r="B227" s="54">
        <v>0.52083333333575865</v>
      </c>
      <c r="C227" s="54">
        <v>0.87500000006548695</v>
      </c>
      <c r="D227" s="60"/>
      <c r="E227" s="91"/>
      <c r="F227" s="91"/>
      <c r="G227" s="91">
        <f>SUMMARY!AM58</f>
        <v>0</v>
      </c>
      <c r="H227" s="92">
        <f t="shared" si="43"/>
        <v>0</v>
      </c>
      <c r="I227" s="180">
        <f>X$214-X$215</f>
        <v>0</v>
      </c>
      <c r="M227" s="61">
        <f t="shared" si="44"/>
        <v>0</v>
      </c>
      <c r="N227" s="61">
        <f t="shared" si="44"/>
        <v>0</v>
      </c>
      <c r="O227" s="61">
        <f t="shared" si="44"/>
        <v>0</v>
      </c>
      <c r="P227" s="61">
        <f t="shared" si="44"/>
        <v>0</v>
      </c>
      <c r="Q227" s="61">
        <f t="shared" si="44"/>
        <v>0</v>
      </c>
      <c r="R227" s="61">
        <f t="shared" si="44"/>
        <v>0</v>
      </c>
      <c r="S227" s="61">
        <f t="shared" si="44"/>
        <v>0</v>
      </c>
      <c r="T227" s="61">
        <f t="shared" si="44"/>
        <v>0</v>
      </c>
      <c r="U227" s="61">
        <f t="shared" si="44"/>
        <v>0</v>
      </c>
      <c r="V227" s="61">
        <f t="shared" si="44"/>
        <v>0</v>
      </c>
      <c r="W227" s="61">
        <f t="shared" si="44"/>
        <v>0</v>
      </c>
      <c r="X227" s="61">
        <f t="shared" si="44"/>
        <v>0</v>
      </c>
      <c r="Y227" s="61">
        <f t="shared" si="44"/>
        <v>0</v>
      </c>
      <c r="Z227" s="61">
        <f t="shared" si="44"/>
        <v>0</v>
      </c>
      <c r="AA227" s="61">
        <f t="shared" si="44"/>
        <v>0</v>
      </c>
      <c r="AB227" s="61">
        <f t="shared" si="44"/>
        <v>0</v>
      </c>
      <c r="AC227" s="61">
        <f t="shared" si="45"/>
        <v>0</v>
      </c>
      <c r="AD227" s="61">
        <f t="shared" si="45"/>
        <v>0</v>
      </c>
      <c r="AE227" s="61">
        <f t="shared" si="45"/>
        <v>0</v>
      </c>
      <c r="AF227" s="61">
        <f t="shared" si="45"/>
        <v>0</v>
      </c>
      <c r="AG227" s="61">
        <f t="shared" si="45"/>
        <v>0</v>
      </c>
      <c r="AH227" s="61">
        <f t="shared" si="45"/>
        <v>0</v>
      </c>
      <c r="AI227" s="61">
        <f t="shared" si="45"/>
        <v>0</v>
      </c>
      <c r="AJ227" s="61">
        <f t="shared" si="45"/>
        <v>0</v>
      </c>
      <c r="AK227" s="61">
        <f t="shared" si="45"/>
        <v>0</v>
      </c>
      <c r="AL227" s="61">
        <f t="shared" si="45"/>
        <v>0</v>
      </c>
      <c r="AM227" s="61">
        <f t="shared" si="45"/>
        <v>0</v>
      </c>
      <c r="AN227" s="61">
        <f t="shared" si="45"/>
        <v>0</v>
      </c>
      <c r="AO227" s="61">
        <f t="shared" si="45"/>
        <v>0</v>
      </c>
      <c r="AP227" s="61">
        <f t="shared" si="45"/>
        <v>0</v>
      </c>
      <c r="AQ227" s="61"/>
    </row>
    <row r="228" spans="2:43" x14ac:dyDescent="0.25">
      <c r="B228" s="54">
        <v>0.54166666666424135</v>
      </c>
      <c r="C228" s="54">
        <v>0.89583333340124605</v>
      </c>
      <c r="D228" s="60"/>
      <c r="E228" s="91"/>
      <c r="F228" s="91"/>
      <c r="G228" s="91">
        <f>SUMMARY!AM59</f>
        <v>0</v>
      </c>
      <c r="H228" s="92">
        <f t="shared" si="43"/>
        <v>0</v>
      </c>
      <c r="I228" s="180">
        <f>Y$214-Y$215</f>
        <v>0</v>
      </c>
      <c r="M228" s="61">
        <f t="shared" si="44"/>
        <v>0</v>
      </c>
      <c r="N228" s="61">
        <f t="shared" si="44"/>
        <v>0</v>
      </c>
      <c r="O228" s="61">
        <f t="shared" si="44"/>
        <v>0</v>
      </c>
      <c r="P228" s="61">
        <f t="shared" si="44"/>
        <v>0</v>
      </c>
      <c r="Q228" s="61">
        <f t="shared" si="44"/>
        <v>0</v>
      </c>
      <c r="R228" s="61">
        <f t="shared" si="44"/>
        <v>0</v>
      </c>
      <c r="S228" s="61">
        <f t="shared" si="44"/>
        <v>0</v>
      </c>
      <c r="T228" s="61">
        <f t="shared" si="44"/>
        <v>0</v>
      </c>
      <c r="U228" s="61">
        <f t="shared" si="44"/>
        <v>0</v>
      </c>
      <c r="V228" s="61">
        <f t="shared" si="44"/>
        <v>0</v>
      </c>
      <c r="W228" s="61">
        <f t="shared" si="44"/>
        <v>0</v>
      </c>
      <c r="X228" s="61">
        <f t="shared" si="44"/>
        <v>0</v>
      </c>
      <c r="Y228" s="61">
        <f t="shared" si="44"/>
        <v>0</v>
      </c>
      <c r="Z228" s="61">
        <f t="shared" si="44"/>
        <v>0</v>
      </c>
      <c r="AA228" s="61">
        <f t="shared" si="44"/>
        <v>0</v>
      </c>
      <c r="AB228" s="61">
        <f t="shared" si="44"/>
        <v>0</v>
      </c>
      <c r="AC228" s="61">
        <f t="shared" si="45"/>
        <v>0</v>
      </c>
      <c r="AD228" s="61">
        <f t="shared" si="45"/>
        <v>0</v>
      </c>
      <c r="AE228" s="61">
        <f t="shared" si="45"/>
        <v>0</v>
      </c>
      <c r="AF228" s="61">
        <f t="shared" si="45"/>
        <v>0</v>
      </c>
      <c r="AG228" s="61">
        <f t="shared" si="45"/>
        <v>0</v>
      </c>
      <c r="AH228" s="61">
        <f t="shared" si="45"/>
        <v>0</v>
      </c>
      <c r="AI228" s="61">
        <f t="shared" si="45"/>
        <v>0</v>
      </c>
      <c r="AJ228" s="61">
        <f t="shared" si="45"/>
        <v>0</v>
      </c>
      <c r="AK228" s="61">
        <f t="shared" si="45"/>
        <v>0</v>
      </c>
      <c r="AL228" s="61">
        <f t="shared" si="45"/>
        <v>0</v>
      </c>
      <c r="AM228" s="61">
        <f t="shared" si="45"/>
        <v>0</v>
      </c>
      <c r="AN228" s="61">
        <f t="shared" si="45"/>
        <v>0</v>
      </c>
      <c r="AO228" s="61">
        <f t="shared" si="45"/>
        <v>0</v>
      </c>
      <c r="AP228" s="61">
        <f t="shared" si="45"/>
        <v>0</v>
      </c>
      <c r="AQ228" s="61"/>
    </row>
    <row r="229" spans="2:43" x14ac:dyDescent="0.25">
      <c r="B229" s="54">
        <v>0.5625</v>
      </c>
      <c r="C229" s="54">
        <v>0.91666666673700503</v>
      </c>
      <c r="D229" s="60"/>
      <c r="E229" s="91"/>
      <c r="F229" s="91"/>
      <c r="G229" s="91"/>
      <c r="H229" s="92">
        <f t="shared" si="43"/>
        <v>0</v>
      </c>
      <c r="I229" s="180">
        <f>Z$214-Z$215</f>
        <v>0</v>
      </c>
      <c r="M229" s="61">
        <f t="shared" si="44"/>
        <v>0</v>
      </c>
      <c r="N229" s="61">
        <f t="shared" si="44"/>
        <v>0</v>
      </c>
      <c r="O229" s="61">
        <f t="shared" si="44"/>
        <v>0</v>
      </c>
      <c r="P229" s="61">
        <f t="shared" si="44"/>
        <v>0</v>
      </c>
      <c r="Q229" s="61">
        <f t="shared" si="44"/>
        <v>0</v>
      </c>
      <c r="R229" s="61">
        <f t="shared" si="44"/>
        <v>0</v>
      </c>
      <c r="S229" s="61">
        <f t="shared" si="44"/>
        <v>0</v>
      </c>
      <c r="T229" s="61">
        <f t="shared" si="44"/>
        <v>0</v>
      </c>
      <c r="U229" s="61">
        <f t="shared" si="44"/>
        <v>0</v>
      </c>
      <c r="V229" s="61">
        <f t="shared" si="44"/>
        <v>0</v>
      </c>
      <c r="W229" s="61">
        <f t="shared" si="44"/>
        <v>0</v>
      </c>
      <c r="X229" s="61">
        <f t="shared" si="44"/>
        <v>0</v>
      </c>
      <c r="Y229" s="61">
        <f t="shared" si="44"/>
        <v>0</v>
      </c>
      <c r="Z229" s="61">
        <f t="shared" si="44"/>
        <v>0</v>
      </c>
      <c r="AA229" s="61">
        <f t="shared" si="44"/>
        <v>0</v>
      </c>
      <c r="AB229" s="61">
        <f t="shared" si="44"/>
        <v>0</v>
      </c>
      <c r="AC229" s="61">
        <f t="shared" si="45"/>
        <v>0</v>
      </c>
      <c r="AD229" s="61">
        <f t="shared" si="45"/>
        <v>0</v>
      </c>
      <c r="AE229" s="61">
        <f t="shared" si="45"/>
        <v>0</v>
      </c>
      <c r="AF229" s="61">
        <f t="shared" si="45"/>
        <v>0</v>
      </c>
      <c r="AG229" s="61">
        <f t="shared" si="45"/>
        <v>0</v>
      </c>
      <c r="AH229" s="61">
        <f t="shared" si="45"/>
        <v>0</v>
      </c>
      <c r="AI229" s="61">
        <f t="shared" si="45"/>
        <v>0</v>
      </c>
      <c r="AJ229" s="61">
        <f t="shared" si="45"/>
        <v>0</v>
      </c>
      <c r="AK229" s="61">
        <f t="shared" si="45"/>
        <v>0</v>
      </c>
      <c r="AL229" s="61">
        <f t="shared" si="45"/>
        <v>0</v>
      </c>
      <c r="AM229" s="61">
        <f t="shared" si="45"/>
        <v>0</v>
      </c>
      <c r="AN229" s="61">
        <f t="shared" si="45"/>
        <v>0</v>
      </c>
      <c r="AO229" s="61">
        <f t="shared" si="45"/>
        <v>0</v>
      </c>
      <c r="AP229" s="61">
        <f t="shared" si="45"/>
        <v>0</v>
      </c>
      <c r="AQ229" s="61"/>
    </row>
    <row r="230" spans="2:43" x14ac:dyDescent="0.25">
      <c r="B230" s="54">
        <v>0.58333333333575899</v>
      </c>
      <c r="C230" s="54">
        <v>0.93750000007276402</v>
      </c>
      <c r="D230" s="60"/>
      <c r="E230" s="91"/>
      <c r="F230" s="91"/>
      <c r="G230" s="91"/>
      <c r="H230" s="92">
        <f t="shared" si="43"/>
        <v>0</v>
      </c>
      <c r="I230" s="180">
        <f>AA$214-AA$215</f>
        <v>0</v>
      </c>
      <c r="M230" s="61">
        <f t="shared" si="44"/>
        <v>0</v>
      </c>
      <c r="N230" s="61">
        <f t="shared" si="44"/>
        <v>0</v>
      </c>
      <c r="O230" s="61">
        <f t="shared" si="44"/>
        <v>0</v>
      </c>
      <c r="P230" s="61">
        <f t="shared" si="44"/>
        <v>0</v>
      </c>
      <c r="Q230" s="61">
        <f t="shared" si="44"/>
        <v>0</v>
      </c>
      <c r="R230" s="61">
        <f t="shared" si="44"/>
        <v>0</v>
      </c>
      <c r="S230" s="61">
        <f t="shared" si="44"/>
        <v>0</v>
      </c>
      <c r="T230" s="61">
        <f t="shared" si="44"/>
        <v>0</v>
      </c>
      <c r="U230" s="61">
        <f t="shared" si="44"/>
        <v>0</v>
      </c>
      <c r="V230" s="61">
        <f t="shared" si="44"/>
        <v>0</v>
      </c>
      <c r="W230" s="61">
        <f t="shared" si="44"/>
        <v>0</v>
      </c>
      <c r="X230" s="61">
        <f t="shared" si="44"/>
        <v>0</v>
      </c>
      <c r="Y230" s="61">
        <f t="shared" si="44"/>
        <v>0</v>
      </c>
      <c r="Z230" s="61">
        <f t="shared" si="44"/>
        <v>0</v>
      </c>
      <c r="AA230" s="61">
        <f t="shared" si="44"/>
        <v>0</v>
      </c>
      <c r="AB230" s="61">
        <f t="shared" si="44"/>
        <v>0</v>
      </c>
      <c r="AC230" s="61">
        <f t="shared" si="45"/>
        <v>0</v>
      </c>
      <c r="AD230" s="61">
        <f t="shared" si="45"/>
        <v>0</v>
      </c>
      <c r="AE230" s="61">
        <f t="shared" si="45"/>
        <v>0</v>
      </c>
      <c r="AF230" s="61">
        <f t="shared" si="45"/>
        <v>0</v>
      </c>
      <c r="AG230" s="61">
        <f t="shared" si="45"/>
        <v>0</v>
      </c>
      <c r="AH230" s="61">
        <f t="shared" si="45"/>
        <v>0</v>
      </c>
      <c r="AI230" s="61">
        <f t="shared" si="45"/>
        <v>0</v>
      </c>
      <c r="AJ230" s="61">
        <f t="shared" si="45"/>
        <v>0</v>
      </c>
      <c r="AK230" s="61">
        <f t="shared" si="45"/>
        <v>0</v>
      </c>
      <c r="AL230" s="61">
        <f t="shared" si="45"/>
        <v>0</v>
      </c>
      <c r="AM230" s="61">
        <f t="shared" si="45"/>
        <v>0</v>
      </c>
      <c r="AN230" s="61">
        <f t="shared" si="45"/>
        <v>0</v>
      </c>
      <c r="AO230" s="61">
        <f t="shared" si="45"/>
        <v>0</v>
      </c>
      <c r="AP230" s="61">
        <f t="shared" si="45"/>
        <v>0</v>
      </c>
      <c r="AQ230" s="61"/>
    </row>
    <row r="231" spans="2:43" x14ac:dyDescent="0.25">
      <c r="B231" s="54">
        <v>0.60416666667151697</v>
      </c>
      <c r="C231" s="54">
        <v>0.958333333408523</v>
      </c>
      <c r="D231" s="60"/>
      <c r="E231" s="91"/>
      <c r="F231" s="91"/>
      <c r="G231" s="91"/>
      <c r="H231" s="92">
        <f t="shared" si="43"/>
        <v>0</v>
      </c>
      <c r="I231" s="180">
        <f>AB$214-AB$215</f>
        <v>0</v>
      </c>
      <c r="M231" s="61">
        <f t="shared" si="44"/>
        <v>0</v>
      </c>
      <c r="N231" s="61">
        <f t="shared" si="44"/>
        <v>0</v>
      </c>
      <c r="O231" s="61">
        <f t="shared" si="44"/>
        <v>0</v>
      </c>
      <c r="P231" s="61">
        <f t="shared" si="44"/>
        <v>0</v>
      </c>
      <c r="Q231" s="61">
        <f t="shared" si="44"/>
        <v>0</v>
      </c>
      <c r="R231" s="61">
        <f t="shared" si="44"/>
        <v>0</v>
      </c>
      <c r="S231" s="61">
        <f t="shared" si="44"/>
        <v>0</v>
      </c>
      <c r="T231" s="61">
        <f t="shared" si="44"/>
        <v>0</v>
      </c>
      <c r="U231" s="61">
        <f t="shared" si="44"/>
        <v>0</v>
      </c>
      <c r="V231" s="61">
        <f t="shared" si="44"/>
        <v>0</v>
      </c>
      <c r="W231" s="61">
        <f t="shared" si="44"/>
        <v>0</v>
      </c>
      <c r="X231" s="61">
        <f t="shared" si="44"/>
        <v>0</v>
      </c>
      <c r="Y231" s="61">
        <f t="shared" si="44"/>
        <v>0</v>
      </c>
      <c r="Z231" s="61">
        <f t="shared" si="44"/>
        <v>0</v>
      </c>
      <c r="AA231" s="61">
        <f t="shared" si="44"/>
        <v>0</v>
      </c>
      <c r="AB231" s="61">
        <f t="shared" ref="W231:AL245" si="46">IF(AND(AB$2&gt;=$B231,AB$2&lt;$C231),$E231,0)</f>
        <v>0</v>
      </c>
      <c r="AC231" s="61">
        <f t="shared" si="46"/>
        <v>0</v>
      </c>
      <c r="AD231" s="61">
        <f t="shared" si="46"/>
        <v>0</v>
      </c>
      <c r="AE231" s="61">
        <f t="shared" si="46"/>
        <v>0</v>
      </c>
      <c r="AF231" s="61">
        <f t="shared" si="45"/>
        <v>0</v>
      </c>
      <c r="AG231" s="61">
        <f t="shared" si="45"/>
        <v>0</v>
      </c>
      <c r="AH231" s="61">
        <f t="shared" si="45"/>
        <v>0</v>
      </c>
      <c r="AI231" s="61">
        <f t="shared" si="45"/>
        <v>0</v>
      </c>
      <c r="AJ231" s="61">
        <f t="shared" si="45"/>
        <v>0</v>
      </c>
      <c r="AK231" s="61">
        <f t="shared" si="45"/>
        <v>0</v>
      </c>
      <c r="AL231" s="61">
        <f t="shared" si="45"/>
        <v>0</v>
      </c>
      <c r="AM231" s="61">
        <f t="shared" si="45"/>
        <v>0</v>
      </c>
      <c r="AN231" s="61">
        <f t="shared" si="45"/>
        <v>0</v>
      </c>
      <c r="AO231" s="61">
        <f t="shared" si="45"/>
        <v>0</v>
      </c>
      <c r="AP231" s="61">
        <f t="shared" si="45"/>
        <v>0</v>
      </c>
      <c r="AQ231" s="61"/>
    </row>
    <row r="232" spans="2:43" x14ac:dyDescent="0.25">
      <c r="B232" s="54">
        <v>0.62500000000727596</v>
      </c>
      <c r="C232" s="54">
        <v>0.97916666674428199</v>
      </c>
      <c r="D232" s="60"/>
      <c r="E232" s="91"/>
      <c r="F232" s="91"/>
      <c r="G232" s="91"/>
      <c r="H232" s="92">
        <f t="shared" si="43"/>
        <v>0</v>
      </c>
      <c r="I232" s="180">
        <f>AC$214-AC$215</f>
        <v>0</v>
      </c>
      <c r="M232" s="61">
        <f t="shared" ref="M232:V245" si="47">IF(AND(M$2&gt;=$B232,M$2&lt;$C232),$E232,0)</f>
        <v>0</v>
      </c>
      <c r="N232" s="61">
        <f t="shared" si="47"/>
        <v>0</v>
      </c>
      <c r="O232" s="61">
        <f t="shared" si="47"/>
        <v>0</v>
      </c>
      <c r="P232" s="61">
        <f t="shared" si="47"/>
        <v>0</v>
      </c>
      <c r="Q232" s="61">
        <f t="shared" si="47"/>
        <v>0</v>
      </c>
      <c r="R232" s="61">
        <f t="shared" si="47"/>
        <v>0</v>
      </c>
      <c r="S232" s="61">
        <f t="shared" si="47"/>
        <v>0</v>
      </c>
      <c r="T232" s="61">
        <f t="shared" si="47"/>
        <v>0</v>
      </c>
      <c r="U232" s="61">
        <f t="shared" si="47"/>
        <v>0</v>
      </c>
      <c r="V232" s="61">
        <f t="shared" si="47"/>
        <v>0</v>
      </c>
      <c r="W232" s="61">
        <f t="shared" si="46"/>
        <v>0</v>
      </c>
      <c r="X232" s="61">
        <f t="shared" si="46"/>
        <v>0</v>
      </c>
      <c r="Y232" s="61">
        <f t="shared" si="46"/>
        <v>0</v>
      </c>
      <c r="Z232" s="61">
        <f t="shared" si="46"/>
        <v>0</v>
      </c>
      <c r="AA232" s="61">
        <f t="shared" si="46"/>
        <v>0</v>
      </c>
      <c r="AB232" s="61">
        <f t="shared" si="46"/>
        <v>0</v>
      </c>
      <c r="AC232" s="61">
        <f t="shared" si="46"/>
        <v>0</v>
      </c>
      <c r="AD232" s="61">
        <f t="shared" si="46"/>
        <v>0</v>
      </c>
      <c r="AE232" s="61">
        <f t="shared" si="46"/>
        <v>0</v>
      </c>
      <c r="AF232" s="61">
        <f t="shared" si="46"/>
        <v>0</v>
      </c>
      <c r="AG232" s="61">
        <f t="shared" si="46"/>
        <v>0</v>
      </c>
      <c r="AH232" s="61">
        <f t="shared" si="46"/>
        <v>0</v>
      </c>
      <c r="AI232" s="61">
        <f t="shared" si="46"/>
        <v>0</v>
      </c>
      <c r="AJ232" s="61">
        <f t="shared" si="46"/>
        <v>0</v>
      </c>
      <c r="AK232" s="61">
        <f t="shared" si="46"/>
        <v>0</v>
      </c>
      <c r="AL232" s="61">
        <f t="shared" si="46"/>
        <v>0</v>
      </c>
      <c r="AM232" s="61">
        <f t="shared" ref="AH232:AP245" si="48">IF(AND(AM$2&gt;=$B232,AM$2&lt;$C232),$E232,0)</f>
        <v>0</v>
      </c>
      <c r="AN232" s="61">
        <f t="shared" si="48"/>
        <v>0</v>
      </c>
      <c r="AO232" s="61">
        <f t="shared" si="48"/>
        <v>0</v>
      </c>
      <c r="AP232" s="61">
        <f t="shared" si="48"/>
        <v>0</v>
      </c>
      <c r="AQ232" s="61"/>
    </row>
    <row r="233" spans="2:43" x14ac:dyDescent="0.25">
      <c r="B233" s="54">
        <v>0.64583333334303406</v>
      </c>
      <c r="C233" s="54">
        <v>1.00000000008004</v>
      </c>
      <c r="D233" s="60"/>
      <c r="E233" s="91"/>
      <c r="F233" s="91"/>
      <c r="G233" s="91"/>
      <c r="H233" s="92">
        <f t="shared" si="43"/>
        <v>0</v>
      </c>
      <c r="I233" s="180">
        <f>AD$214-AD$215</f>
        <v>0</v>
      </c>
      <c r="M233" s="61">
        <f t="shared" si="47"/>
        <v>0</v>
      </c>
      <c r="N233" s="61">
        <f t="shared" si="47"/>
        <v>0</v>
      </c>
      <c r="O233" s="61">
        <f t="shared" si="47"/>
        <v>0</v>
      </c>
      <c r="P233" s="61">
        <f t="shared" si="47"/>
        <v>0</v>
      </c>
      <c r="Q233" s="61">
        <f t="shared" si="47"/>
        <v>0</v>
      </c>
      <c r="R233" s="61">
        <f t="shared" si="47"/>
        <v>0</v>
      </c>
      <c r="S233" s="61">
        <f t="shared" si="47"/>
        <v>0</v>
      </c>
      <c r="T233" s="61">
        <f t="shared" si="47"/>
        <v>0</v>
      </c>
      <c r="U233" s="61">
        <f t="shared" si="47"/>
        <v>0</v>
      </c>
      <c r="V233" s="61">
        <f t="shared" si="47"/>
        <v>0</v>
      </c>
      <c r="W233" s="61">
        <f t="shared" si="46"/>
        <v>0</v>
      </c>
      <c r="X233" s="61">
        <f t="shared" si="46"/>
        <v>0</v>
      </c>
      <c r="Y233" s="61">
        <f t="shared" si="46"/>
        <v>0</v>
      </c>
      <c r="Z233" s="61">
        <f t="shared" si="46"/>
        <v>0</v>
      </c>
      <c r="AA233" s="61">
        <f t="shared" si="46"/>
        <v>0</v>
      </c>
      <c r="AB233" s="61">
        <f t="shared" si="46"/>
        <v>0</v>
      </c>
      <c r="AC233" s="61">
        <f t="shared" si="46"/>
        <v>0</v>
      </c>
      <c r="AD233" s="61">
        <f t="shared" si="46"/>
        <v>0</v>
      </c>
      <c r="AE233" s="61">
        <f t="shared" si="46"/>
        <v>0</v>
      </c>
      <c r="AF233" s="61">
        <f t="shared" si="46"/>
        <v>0</v>
      </c>
      <c r="AG233" s="61">
        <f t="shared" si="46"/>
        <v>0</v>
      </c>
      <c r="AH233" s="61">
        <f t="shared" si="48"/>
        <v>0</v>
      </c>
      <c r="AI233" s="61">
        <f t="shared" si="48"/>
        <v>0</v>
      </c>
      <c r="AJ233" s="61">
        <f t="shared" si="48"/>
        <v>0</v>
      </c>
      <c r="AK233" s="61">
        <f t="shared" si="48"/>
        <v>0</v>
      </c>
      <c r="AL233" s="61">
        <f t="shared" si="48"/>
        <v>0</v>
      </c>
      <c r="AM233" s="61">
        <f t="shared" si="48"/>
        <v>0</v>
      </c>
      <c r="AN233" s="61">
        <f t="shared" si="48"/>
        <v>0</v>
      </c>
      <c r="AO233" s="61">
        <f t="shared" si="48"/>
        <v>0</v>
      </c>
      <c r="AP233" s="61">
        <f t="shared" si="48"/>
        <v>0</v>
      </c>
      <c r="AQ233" s="61"/>
    </row>
    <row r="234" spans="2:43" x14ac:dyDescent="0.25">
      <c r="B234" s="54">
        <v>0.66666666667879304</v>
      </c>
      <c r="C234" s="54">
        <v>1.0208333334158</v>
      </c>
      <c r="D234" s="60"/>
      <c r="E234" s="91"/>
      <c r="F234" s="91"/>
      <c r="G234" s="91"/>
      <c r="H234" s="92">
        <f t="shared" si="43"/>
        <v>0</v>
      </c>
      <c r="I234" s="180">
        <f>AE$214-AE$215</f>
        <v>0</v>
      </c>
      <c r="M234" s="61">
        <f t="shared" si="47"/>
        <v>0</v>
      </c>
      <c r="N234" s="61">
        <f t="shared" si="47"/>
        <v>0</v>
      </c>
      <c r="O234" s="61">
        <f t="shared" si="47"/>
        <v>0</v>
      </c>
      <c r="P234" s="61">
        <f t="shared" si="47"/>
        <v>0</v>
      </c>
      <c r="Q234" s="61">
        <f t="shared" si="47"/>
        <v>0</v>
      </c>
      <c r="R234" s="61">
        <f t="shared" si="47"/>
        <v>0</v>
      </c>
      <c r="S234" s="61">
        <f t="shared" si="47"/>
        <v>0</v>
      </c>
      <c r="T234" s="61">
        <f t="shared" si="47"/>
        <v>0</v>
      </c>
      <c r="U234" s="61">
        <f t="shared" si="47"/>
        <v>0</v>
      </c>
      <c r="V234" s="61">
        <f t="shared" si="47"/>
        <v>0</v>
      </c>
      <c r="W234" s="61">
        <f t="shared" si="46"/>
        <v>0</v>
      </c>
      <c r="X234" s="61">
        <f t="shared" si="46"/>
        <v>0</v>
      </c>
      <c r="Y234" s="61">
        <f t="shared" si="46"/>
        <v>0</v>
      </c>
      <c r="Z234" s="61">
        <f t="shared" si="46"/>
        <v>0</v>
      </c>
      <c r="AA234" s="61">
        <f t="shared" si="46"/>
        <v>0</v>
      </c>
      <c r="AB234" s="61">
        <f t="shared" si="46"/>
        <v>0</v>
      </c>
      <c r="AC234" s="61">
        <f t="shared" si="46"/>
        <v>0</v>
      </c>
      <c r="AD234" s="61">
        <f t="shared" si="46"/>
        <v>0</v>
      </c>
      <c r="AE234" s="61">
        <f t="shared" si="46"/>
        <v>0</v>
      </c>
      <c r="AF234" s="61">
        <f t="shared" si="46"/>
        <v>0</v>
      </c>
      <c r="AG234" s="61">
        <f t="shared" si="46"/>
        <v>0</v>
      </c>
      <c r="AH234" s="61">
        <f t="shared" si="48"/>
        <v>0</v>
      </c>
      <c r="AI234" s="61">
        <f t="shared" si="48"/>
        <v>0</v>
      </c>
      <c r="AJ234" s="61">
        <f t="shared" si="48"/>
        <v>0</v>
      </c>
      <c r="AK234" s="61">
        <f t="shared" si="48"/>
        <v>0</v>
      </c>
      <c r="AL234" s="61">
        <f t="shared" si="48"/>
        <v>0</v>
      </c>
      <c r="AM234" s="61">
        <f t="shared" si="48"/>
        <v>0</v>
      </c>
      <c r="AN234" s="61">
        <f t="shared" si="48"/>
        <v>0</v>
      </c>
      <c r="AO234" s="61">
        <f t="shared" si="48"/>
        <v>0</v>
      </c>
      <c r="AP234" s="61">
        <f t="shared" si="48"/>
        <v>0</v>
      </c>
      <c r="AQ234" s="61"/>
    </row>
    <row r="235" spans="2:43" x14ac:dyDescent="0.25">
      <c r="B235" s="54">
        <v>0.68750000001455203</v>
      </c>
      <c r="C235" s="54">
        <v>1.0416666667515599</v>
      </c>
      <c r="D235" s="60"/>
      <c r="E235" s="91"/>
      <c r="F235" s="91"/>
      <c r="G235" s="91"/>
      <c r="H235" s="92">
        <f t="shared" si="43"/>
        <v>0</v>
      </c>
      <c r="I235" s="180">
        <f>AF$214-AF$215</f>
        <v>0</v>
      </c>
      <c r="M235" s="61">
        <f t="shared" si="47"/>
        <v>0</v>
      </c>
      <c r="N235" s="61">
        <f t="shared" si="47"/>
        <v>0</v>
      </c>
      <c r="O235" s="61">
        <f t="shared" si="47"/>
        <v>0</v>
      </c>
      <c r="P235" s="61">
        <f t="shared" si="47"/>
        <v>0</v>
      </c>
      <c r="Q235" s="61">
        <f t="shared" si="47"/>
        <v>0</v>
      </c>
      <c r="R235" s="61">
        <f t="shared" si="47"/>
        <v>0</v>
      </c>
      <c r="S235" s="61">
        <f t="shared" si="47"/>
        <v>0</v>
      </c>
      <c r="T235" s="61">
        <f t="shared" si="47"/>
        <v>0</v>
      </c>
      <c r="U235" s="61">
        <f t="shared" si="47"/>
        <v>0</v>
      </c>
      <c r="V235" s="61">
        <f t="shared" si="47"/>
        <v>0</v>
      </c>
      <c r="W235" s="61">
        <f t="shared" si="46"/>
        <v>0</v>
      </c>
      <c r="X235" s="61">
        <f t="shared" si="46"/>
        <v>0</v>
      </c>
      <c r="Y235" s="61">
        <f t="shared" si="46"/>
        <v>0</v>
      </c>
      <c r="Z235" s="61">
        <f t="shared" si="46"/>
        <v>0</v>
      </c>
      <c r="AA235" s="61">
        <f t="shared" si="46"/>
        <v>0</v>
      </c>
      <c r="AB235" s="61">
        <f t="shared" si="46"/>
        <v>0</v>
      </c>
      <c r="AC235" s="61">
        <f t="shared" si="46"/>
        <v>0</v>
      </c>
      <c r="AD235" s="61">
        <f t="shared" si="46"/>
        <v>0</v>
      </c>
      <c r="AE235" s="61">
        <f t="shared" si="46"/>
        <v>0</v>
      </c>
      <c r="AF235" s="61">
        <f t="shared" si="46"/>
        <v>0</v>
      </c>
      <c r="AG235" s="61">
        <f t="shared" si="46"/>
        <v>0</v>
      </c>
      <c r="AH235" s="61">
        <f t="shared" si="48"/>
        <v>0</v>
      </c>
      <c r="AI235" s="61">
        <f t="shared" si="48"/>
        <v>0</v>
      </c>
      <c r="AJ235" s="61">
        <f t="shared" si="48"/>
        <v>0</v>
      </c>
      <c r="AK235" s="61">
        <f t="shared" si="48"/>
        <v>0</v>
      </c>
      <c r="AL235" s="61">
        <f t="shared" si="48"/>
        <v>0</v>
      </c>
      <c r="AM235" s="61">
        <f t="shared" si="48"/>
        <v>0</v>
      </c>
      <c r="AN235" s="61">
        <f t="shared" si="48"/>
        <v>0</v>
      </c>
      <c r="AO235" s="61">
        <f t="shared" si="48"/>
        <v>0</v>
      </c>
      <c r="AP235" s="61">
        <f t="shared" si="48"/>
        <v>0</v>
      </c>
      <c r="AQ235" s="61"/>
    </row>
    <row r="236" spans="2:43" x14ac:dyDescent="0.25">
      <c r="B236" s="54">
        <v>0.70833333335031001</v>
      </c>
      <c r="C236" s="54">
        <v>1.0625000000873199</v>
      </c>
      <c r="D236" s="60"/>
      <c r="E236" s="91"/>
      <c r="F236" s="91"/>
      <c r="G236" s="91"/>
      <c r="H236" s="92">
        <f t="shared" si="43"/>
        <v>0</v>
      </c>
      <c r="I236" s="180">
        <f>AG$214-AG$215</f>
        <v>0</v>
      </c>
      <c r="M236" s="61">
        <f t="shared" si="47"/>
        <v>0</v>
      </c>
      <c r="N236" s="61">
        <f t="shared" si="47"/>
        <v>0</v>
      </c>
      <c r="O236" s="61">
        <f t="shared" si="47"/>
        <v>0</v>
      </c>
      <c r="P236" s="61">
        <f t="shared" si="47"/>
        <v>0</v>
      </c>
      <c r="Q236" s="61">
        <f t="shared" si="47"/>
        <v>0</v>
      </c>
      <c r="R236" s="61">
        <f t="shared" si="47"/>
        <v>0</v>
      </c>
      <c r="S236" s="61">
        <f t="shared" si="47"/>
        <v>0</v>
      </c>
      <c r="T236" s="61">
        <f t="shared" si="47"/>
        <v>0</v>
      </c>
      <c r="U236" s="61">
        <f t="shared" si="47"/>
        <v>0</v>
      </c>
      <c r="V236" s="61">
        <f t="shared" si="47"/>
        <v>0</v>
      </c>
      <c r="W236" s="61">
        <f t="shared" si="46"/>
        <v>0</v>
      </c>
      <c r="X236" s="61">
        <f t="shared" si="46"/>
        <v>0</v>
      </c>
      <c r="Y236" s="61">
        <f t="shared" si="46"/>
        <v>0</v>
      </c>
      <c r="Z236" s="61">
        <f t="shared" si="46"/>
        <v>0</v>
      </c>
      <c r="AA236" s="61">
        <f t="shared" si="46"/>
        <v>0</v>
      </c>
      <c r="AB236" s="61">
        <f t="shared" si="46"/>
        <v>0</v>
      </c>
      <c r="AC236" s="61">
        <f t="shared" si="46"/>
        <v>0</v>
      </c>
      <c r="AD236" s="61">
        <f t="shared" si="46"/>
        <v>0</v>
      </c>
      <c r="AE236" s="61">
        <f t="shared" si="46"/>
        <v>0</v>
      </c>
      <c r="AF236" s="61">
        <f t="shared" si="46"/>
        <v>0</v>
      </c>
      <c r="AG236" s="61">
        <f t="shared" si="46"/>
        <v>0</v>
      </c>
      <c r="AH236" s="61">
        <f t="shared" si="48"/>
        <v>0</v>
      </c>
      <c r="AI236" s="61">
        <f t="shared" si="48"/>
        <v>0</v>
      </c>
      <c r="AJ236" s="61">
        <f t="shared" si="48"/>
        <v>0</v>
      </c>
      <c r="AK236" s="61">
        <f t="shared" si="48"/>
        <v>0</v>
      </c>
      <c r="AL236" s="61">
        <f t="shared" si="48"/>
        <v>0</v>
      </c>
      <c r="AM236" s="61">
        <f t="shared" si="48"/>
        <v>0</v>
      </c>
      <c r="AN236" s="61">
        <f t="shared" si="48"/>
        <v>0</v>
      </c>
      <c r="AO236" s="61">
        <f t="shared" si="48"/>
        <v>0</v>
      </c>
      <c r="AP236" s="61">
        <f t="shared" si="48"/>
        <v>0</v>
      </c>
      <c r="AQ236" s="61"/>
    </row>
    <row r="237" spans="2:43" x14ac:dyDescent="0.25">
      <c r="B237" s="54">
        <v>0.729166666686069</v>
      </c>
      <c r="C237" s="54">
        <v>1.0833333334230799</v>
      </c>
      <c r="D237" s="60"/>
      <c r="E237" s="91"/>
      <c r="F237" s="91"/>
      <c r="G237" s="91"/>
      <c r="H237" s="92">
        <f t="shared" si="43"/>
        <v>0</v>
      </c>
      <c r="I237" s="180">
        <f>AH$214-AH$215</f>
        <v>0</v>
      </c>
      <c r="M237" s="61">
        <f t="shared" si="47"/>
        <v>0</v>
      </c>
      <c r="N237" s="61">
        <f t="shared" si="47"/>
        <v>0</v>
      </c>
      <c r="O237" s="61">
        <f t="shared" si="47"/>
        <v>0</v>
      </c>
      <c r="P237" s="61">
        <f t="shared" si="47"/>
        <v>0</v>
      </c>
      <c r="Q237" s="61">
        <f t="shared" si="47"/>
        <v>0</v>
      </c>
      <c r="R237" s="61">
        <f t="shared" si="47"/>
        <v>0</v>
      </c>
      <c r="S237" s="61">
        <f t="shared" si="47"/>
        <v>0</v>
      </c>
      <c r="T237" s="61">
        <f t="shared" si="47"/>
        <v>0</v>
      </c>
      <c r="U237" s="61">
        <f t="shared" si="47"/>
        <v>0</v>
      </c>
      <c r="V237" s="61">
        <f t="shared" si="47"/>
        <v>0</v>
      </c>
      <c r="W237" s="61">
        <f t="shared" si="46"/>
        <v>0</v>
      </c>
      <c r="X237" s="61">
        <f t="shared" si="46"/>
        <v>0</v>
      </c>
      <c r="Y237" s="61">
        <f t="shared" si="46"/>
        <v>0</v>
      </c>
      <c r="Z237" s="61">
        <f t="shared" si="46"/>
        <v>0</v>
      </c>
      <c r="AA237" s="61">
        <f t="shared" si="46"/>
        <v>0</v>
      </c>
      <c r="AB237" s="61">
        <f t="shared" si="46"/>
        <v>0</v>
      </c>
      <c r="AC237" s="61">
        <f t="shared" si="46"/>
        <v>0</v>
      </c>
      <c r="AD237" s="61">
        <f t="shared" si="46"/>
        <v>0</v>
      </c>
      <c r="AE237" s="61">
        <f t="shared" si="46"/>
        <v>0</v>
      </c>
      <c r="AF237" s="61">
        <f t="shared" si="46"/>
        <v>0</v>
      </c>
      <c r="AG237" s="61">
        <f t="shared" si="46"/>
        <v>0</v>
      </c>
      <c r="AH237" s="61">
        <f t="shared" si="48"/>
        <v>0</v>
      </c>
      <c r="AI237" s="61">
        <f t="shared" si="48"/>
        <v>0</v>
      </c>
      <c r="AJ237" s="61">
        <f t="shared" si="48"/>
        <v>0</v>
      </c>
      <c r="AK237" s="61">
        <f t="shared" si="48"/>
        <v>0</v>
      </c>
      <c r="AL237" s="61">
        <f t="shared" si="48"/>
        <v>0</v>
      </c>
      <c r="AM237" s="61">
        <f t="shared" si="48"/>
        <v>0</v>
      </c>
      <c r="AN237" s="61">
        <f t="shared" si="48"/>
        <v>0</v>
      </c>
      <c r="AO237" s="61">
        <f t="shared" si="48"/>
        <v>0</v>
      </c>
      <c r="AP237" s="61">
        <f t="shared" si="48"/>
        <v>0</v>
      </c>
      <c r="AQ237" s="61"/>
    </row>
    <row r="238" spans="2:43" x14ac:dyDescent="0.25">
      <c r="B238" s="54">
        <v>0.75000000002182798</v>
      </c>
      <c r="C238" s="54">
        <v>1.1041666667588399</v>
      </c>
      <c r="D238" s="60"/>
      <c r="E238" s="91"/>
      <c r="F238" s="91"/>
      <c r="G238" s="91"/>
      <c r="H238" s="92">
        <f t="shared" si="43"/>
        <v>0</v>
      </c>
      <c r="I238" s="180">
        <f>AI$214-AI$215</f>
        <v>0</v>
      </c>
      <c r="M238" s="61">
        <f t="shared" si="47"/>
        <v>0</v>
      </c>
      <c r="N238" s="61">
        <f t="shared" si="47"/>
        <v>0</v>
      </c>
      <c r="O238" s="61">
        <f t="shared" si="47"/>
        <v>0</v>
      </c>
      <c r="P238" s="61">
        <f t="shared" si="47"/>
        <v>0</v>
      </c>
      <c r="Q238" s="61">
        <f t="shared" si="47"/>
        <v>0</v>
      </c>
      <c r="R238" s="61">
        <f t="shared" si="47"/>
        <v>0</v>
      </c>
      <c r="S238" s="61">
        <f t="shared" si="47"/>
        <v>0</v>
      </c>
      <c r="T238" s="61">
        <f t="shared" si="47"/>
        <v>0</v>
      </c>
      <c r="U238" s="61">
        <f t="shared" si="47"/>
        <v>0</v>
      </c>
      <c r="V238" s="61">
        <f t="shared" si="47"/>
        <v>0</v>
      </c>
      <c r="W238" s="61">
        <f t="shared" si="46"/>
        <v>0</v>
      </c>
      <c r="X238" s="61">
        <f t="shared" si="46"/>
        <v>0</v>
      </c>
      <c r="Y238" s="61">
        <f t="shared" si="46"/>
        <v>0</v>
      </c>
      <c r="Z238" s="61">
        <f t="shared" si="46"/>
        <v>0</v>
      </c>
      <c r="AA238" s="61">
        <f t="shared" si="46"/>
        <v>0</v>
      </c>
      <c r="AB238" s="61">
        <f t="shared" si="46"/>
        <v>0</v>
      </c>
      <c r="AC238" s="61">
        <f t="shared" si="46"/>
        <v>0</v>
      </c>
      <c r="AD238" s="61">
        <f t="shared" si="46"/>
        <v>0</v>
      </c>
      <c r="AE238" s="61">
        <f t="shared" si="46"/>
        <v>0</v>
      </c>
      <c r="AF238" s="61">
        <f t="shared" si="46"/>
        <v>0</v>
      </c>
      <c r="AG238" s="61">
        <f t="shared" si="46"/>
        <v>0</v>
      </c>
      <c r="AH238" s="61">
        <f t="shared" si="48"/>
        <v>0</v>
      </c>
      <c r="AI238" s="61">
        <f t="shared" si="48"/>
        <v>0</v>
      </c>
      <c r="AJ238" s="61">
        <f t="shared" si="48"/>
        <v>0</v>
      </c>
      <c r="AK238" s="61">
        <f t="shared" si="48"/>
        <v>0</v>
      </c>
      <c r="AL238" s="61">
        <f t="shared" si="48"/>
        <v>0</v>
      </c>
      <c r="AM238" s="61">
        <f t="shared" si="48"/>
        <v>0</v>
      </c>
      <c r="AN238" s="61">
        <f t="shared" si="48"/>
        <v>0</v>
      </c>
      <c r="AO238" s="61">
        <f t="shared" si="48"/>
        <v>0</v>
      </c>
      <c r="AP238" s="61">
        <f t="shared" si="48"/>
        <v>0</v>
      </c>
      <c r="AQ238" s="61"/>
    </row>
    <row r="239" spans="2:43" x14ac:dyDescent="0.25">
      <c r="B239" s="54">
        <v>0.77083333335758597</v>
      </c>
      <c r="C239" s="54">
        <v>1.1250000000945899</v>
      </c>
      <c r="D239" s="60"/>
      <c r="E239" s="91"/>
      <c r="F239" s="91"/>
      <c r="G239" s="91"/>
      <c r="H239" s="92">
        <f t="shared" si="43"/>
        <v>0</v>
      </c>
      <c r="I239" s="180">
        <f>AJ$214-AJ$215</f>
        <v>0</v>
      </c>
      <c r="M239" s="61">
        <f t="shared" si="47"/>
        <v>0</v>
      </c>
      <c r="N239" s="61">
        <f t="shared" si="47"/>
        <v>0</v>
      </c>
      <c r="O239" s="61">
        <f t="shared" si="47"/>
        <v>0</v>
      </c>
      <c r="P239" s="61">
        <f t="shared" si="47"/>
        <v>0</v>
      </c>
      <c r="Q239" s="61">
        <f t="shared" si="47"/>
        <v>0</v>
      </c>
      <c r="R239" s="61">
        <f t="shared" si="47"/>
        <v>0</v>
      </c>
      <c r="S239" s="61">
        <f t="shared" si="47"/>
        <v>0</v>
      </c>
      <c r="T239" s="61">
        <f t="shared" si="47"/>
        <v>0</v>
      </c>
      <c r="U239" s="61">
        <f t="shared" si="47"/>
        <v>0</v>
      </c>
      <c r="V239" s="61">
        <f t="shared" si="47"/>
        <v>0</v>
      </c>
      <c r="W239" s="61">
        <f t="shared" si="46"/>
        <v>0</v>
      </c>
      <c r="X239" s="61">
        <f t="shared" si="46"/>
        <v>0</v>
      </c>
      <c r="Y239" s="61">
        <f t="shared" si="46"/>
        <v>0</v>
      </c>
      <c r="Z239" s="61">
        <f t="shared" si="46"/>
        <v>0</v>
      </c>
      <c r="AA239" s="61">
        <f t="shared" si="46"/>
        <v>0</v>
      </c>
      <c r="AB239" s="61">
        <f t="shared" si="46"/>
        <v>0</v>
      </c>
      <c r="AC239" s="61">
        <f t="shared" si="46"/>
        <v>0</v>
      </c>
      <c r="AD239" s="61">
        <f t="shared" si="46"/>
        <v>0</v>
      </c>
      <c r="AE239" s="61">
        <f t="shared" si="46"/>
        <v>0</v>
      </c>
      <c r="AF239" s="61">
        <f t="shared" si="46"/>
        <v>0</v>
      </c>
      <c r="AG239" s="61">
        <f t="shared" si="46"/>
        <v>0</v>
      </c>
      <c r="AH239" s="61">
        <f t="shared" si="48"/>
        <v>0</v>
      </c>
      <c r="AI239" s="61">
        <f t="shared" si="48"/>
        <v>0</v>
      </c>
      <c r="AJ239" s="61">
        <f t="shared" si="48"/>
        <v>0</v>
      </c>
      <c r="AK239" s="61">
        <f t="shared" si="48"/>
        <v>0</v>
      </c>
      <c r="AL239" s="61">
        <f t="shared" si="48"/>
        <v>0</v>
      </c>
      <c r="AM239" s="61">
        <f t="shared" si="48"/>
        <v>0</v>
      </c>
      <c r="AN239" s="61">
        <f t="shared" si="48"/>
        <v>0</v>
      </c>
      <c r="AO239" s="61">
        <f t="shared" si="48"/>
        <v>0</v>
      </c>
      <c r="AP239" s="61">
        <f t="shared" si="48"/>
        <v>0</v>
      </c>
      <c r="AQ239" s="61"/>
    </row>
    <row r="240" spans="2:43" x14ac:dyDescent="0.25">
      <c r="B240" s="54">
        <v>0.79166666669334496</v>
      </c>
      <c r="C240" s="54">
        <v>1.1458333334303501</v>
      </c>
      <c r="D240" s="60"/>
      <c r="E240" s="91"/>
      <c r="F240" s="91"/>
      <c r="G240" s="91"/>
      <c r="H240" s="92">
        <f t="shared" si="43"/>
        <v>0</v>
      </c>
      <c r="I240" s="180">
        <f>AK$214-AK$215</f>
        <v>0</v>
      </c>
      <c r="M240" s="61">
        <f t="shared" si="47"/>
        <v>0</v>
      </c>
      <c r="N240" s="61">
        <f t="shared" si="47"/>
        <v>0</v>
      </c>
      <c r="O240" s="61">
        <f t="shared" si="47"/>
        <v>0</v>
      </c>
      <c r="P240" s="61">
        <f t="shared" si="47"/>
        <v>0</v>
      </c>
      <c r="Q240" s="61">
        <f t="shared" si="47"/>
        <v>0</v>
      </c>
      <c r="R240" s="61">
        <f t="shared" si="47"/>
        <v>0</v>
      </c>
      <c r="S240" s="61">
        <f t="shared" si="47"/>
        <v>0</v>
      </c>
      <c r="T240" s="61">
        <f t="shared" si="47"/>
        <v>0</v>
      </c>
      <c r="U240" s="61">
        <f t="shared" si="47"/>
        <v>0</v>
      </c>
      <c r="V240" s="61">
        <f t="shared" si="47"/>
        <v>0</v>
      </c>
      <c r="W240" s="61">
        <f t="shared" si="46"/>
        <v>0</v>
      </c>
      <c r="X240" s="61">
        <f t="shared" si="46"/>
        <v>0</v>
      </c>
      <c r="Y240" s="61">
        <f t="shared" si="46"/>
        <v>0</v>
      </c>
      <c r="Z240" s="61">
        <f t="shared" si="46"/>
        <v>0</v>
      </c>
      <c r="AA240" s="61">
        <f t="shared" si="46"/>
        <v>0</v>
      </c>
      <c r="AB240" s="61">
        <f t="shared" si="46"/>
        <v>0</v>
      </c>
      <c r="AC240" s="61">
        <f t="shared" si="46"/>
        <v>0</v>
      </c>
      <c r="AD240" s="61">
        <f t="shared" si="46"/>
        <v>0</v>
      </c>
      <c r="AE240" s="61">
        <f t="shared" si="46"/>
        <v>0</v>
      </c>
      <c r="AF240" s="61">
        <f t="shared" si="46"/>
        <v>0</v>
      </c>
      <c r="AG240" s="61">
        <f t="shared" si="46"/>
        <v>0</v>
      </c>
      <c r="AH240" s="61">
        <f t="shared" si="48"/>
        <v>0</v>
      </c>
      <c r="AI240" s="61">
        <f t="shared" si="48"/>
        <v>0</v>
      </c>
      <c r="AJ240" s="61">
        <f t="shared" si="48"/>
        <v>0</v>
      </c>
      <c r="AK240" s="61">
        <f t="shared" si="48"/>
        <v>0</v>
      </c>
      <c r="AL240" s="61">
        <f t="shared" si="48"/>
        <v>0</v>
      </c>
      <c r="AM240" s="61">
        <f t="shared" si="48"/>
        <v>0</v>
      </c>
      <c r="AN240" s="61">
        <f t="shared" si="48"/>
        <v>0</v>
      </c>
      <c r="AO240" s="61">
        <f t="shared" si="48"/>
        <v>0</v>
      </c>
      <c r="AP240" s="61">
        <f t="shared" si="48"/>
        <v>0</v>
      </c>
      <c r="AQ240" s="61"/>
    </row>
    <row r="241" spans="2:43" x14ac:dyDescent="0.25">
      <c r="B241" s="54">
        <v>0.81250000002910305</v>
      </c>
      <c r="C241" s="54">
        <v>1.1666666667661101</v>
      </c>
      <c r="D241" s="60"/>
      <c r="E241" s="91"/>
      <c r="F241" s="91"/>
      <c r="G241" s="91"/>
      <c r="H241" s="92">
        <f t="shared" si="43"/>
        <v>0</v>
      </c>
      <c r="I241" s="180">
        <f>AL$214-AL$215</f>
        <v>0</v>
      </c>
      <c r="M241" s="61">
        <f t="shared" si="47"/>
        <v>0</v>
      </c>
      <c r="N241" s="61">
        <f t="shared" si="47"/>
        <v>0</v>
      </c>
      <c r="O241" s="61">
        <f t="shared" si="47"/>
        <v>0</v>
      </c>
      <c r="P241" s="61">
        <f t="shared" si="47"/>
        <v>0</v>
      </c>
      <c r="Q241" s="61">
        <f t="shared" si="47"/>
        <v>0</v>
      </c>
      <c r="R241" s="61">
        <f t="shared" si="47"/>
        <v>0</v>
      </c>
      <c r="S241" s="61">
        <f t="shared" si="47"/>
        <v>0</v>
      </c>
      <c r="T241" s="61">
        <f t="shared" si="47"/>
        <v>0</v>
      </c>
      <c r="U241" s="61">
        <f t="shared" si="47"/>
        <v>0</v>
      </c>
      <c r="V241" s="61">
        <f t="shared" si="47"/>
        <v>0</v>
      </c>
      <c r="W241" s="61">
        <f t="shared" si="46"/>
        <v>0</v>
      </c>
      <c r="X241" s="61">
        <f t="shared" si="46"/>
        <v>0</v>
      </c>
      <c r="Y241" s="61">
        <f t="shared" si="46"/>
        <v>0</v>
      </c>
      <c r="Z241" s="61">
        <f t="shared" si="46"/>
        <v>0</v>
      </c>
      <c r="AA241" s="61">
        <f t="shared" si="46"/>
        <v>0</v>
      </c>
      <c r="AB241" s="61">
        <f t="shared" si="46"/>
        <v>0</v>
      </c>
      <c r="AC241" s="61">
        <f t="shared" si="46"/>
        <v>0</v>
      </c>
      <c r="AD241" s="61">
        <f t="shared" si="46"/>
        <v>0</v>
      </c>
      <c r="AE241" s="61">
        <f t="shared" si="46"/>
        <v>0</v>
      </c>
      <c r="AF241" s="61">
        <f t="shared" si="46"/>
        <v>0</v>
      </c>
      <c r="AG241" s="61">
        <f t="shared" si="46"/>
        <v>0</v>
      </c>
      <c r="AH241" s="61">
        <f t="shared" si="48"/>
        <v>0</v>
      </c>
      <c r="AI241" s="61">
        <f t="shared" si="48"/>
        <v>0</v>
      </c>
      <c r="AJ241" s="61">
        <f t="shared" si="48"/>
        <v>0</v>
      </c>
      <c r="AK241" s="61">
        <f t="shared" si="48"/>
        <v>0</v>
      </c>
      <c r="AL241" s="61">
        <f t="shared" si="48"/>
        <v>0</v>
      </c>
      <c r="AM241" s="61">
        <f t="shared" si="48"/>
        <v>0</v>
      </c>
      <c r="AN241" s="61">
        <f t="shared" si="48"/>
        <v>0</v>
      </c>
      <c r="AO241" s="61">
        <f t="shared" si="48"/>
        <v>0</v>
      </c>
      <c r="AP241" s="61">
        <f t="shared" si="48"/>
        <v>0</v>
      </c>
      <c r="AQ241" s="61"/>
    </row>
    <row r="242" spans="2:43" x14ac:dyDescent="0.25">
      <c r="B242" s="54">
        <v>0.83333333336486204</v>
      </c>
      <c r="C242" s="54">
        <v>1.1875000001018701</v>
      </c>
      <c r="D242" s="60"/>
      <c r="E242" s="91"/>
      <c r="F242" s="91"/>
      <c r="G242" s="91"/>
      <c r="H242" s="92">
        <f t="shared" si="43"/>
        <v>0</v>
      </c>
      <c r="I242" s="180">
        <f>AM$214-AM$215</f>
        <v>0</v>
      </c>
      <c r="M242" s="61">
        <f t="shared" si="47"/>
        <v>0</v>
      </c>
      <c r="N242" s="61">
        <f t="shared" si="47"/>
        <v>0</v>
      </c>
      <c r="O242" s="61">
        <f t="shared" si="47"/>
        <v>0</v>
      </c>
      <c r="P242" s="61">
        <f t="shared" si="47"/>
        <v>0</v>
      </c>
      <c r="Q242" s="61">
        <f t="shared" si="47"/>
        <v>0</v>
      </c>
      <c r="R242" s="61">
        <f t="shared" si="47"/>
        <v>0</v>
      </c>
      <c r="S242" s="61">
        <f t="shared" si="47"/>
        <v>0</v>
      </c>
      <c r="T242" s="61">
        <f t="shared" si="47"/>
        <v>0</v>
      </c>
      <c r="U242" s="61">
        <f t="shared" si="47"/>
        <v>0</v>
      </c>
      <c r="V242" s="61">
        <f t="shared" si="47"/>
        <v>0</v>
      </c>
      <c r="W242" s="61">
        <f t="shared" si="46"/>
        <v>0</v>
      </c>
      <c r="X242" s="61">
        <f t="shared" si="46"/>
        <v>0</v>
      </c>
      <c r="Y242" s="61">
        <f t="shared" si="46"/>
        <v>0</v>
      </c>
      <c r="Z242" s="61">
        <f t="shared" si="46"/>
        <v>0</v>
      </c>
      <c r="AA242" s="61">
        <f t="shared" si="46"/>
        <v>0</v>
      </c>
      <c r="AB242" s="61">
        <f t="shared" si="46"/>
        <v>0</v>
      </c>
      <c r="AC242" s="61">
        <f t="shared" si="46"/>
        <v>0</v>
      </c>
      <c r="AD242" s="61">
        <f t="shared" si="46"/>
        <v>0</v>
      </c>
      <c r="AE242" s="61">
        <f t="shared" si="46"/>
        <v>0</v>
      </c>
      <c r="AF242" s="61">
        <f t="shared" si="46"/>
        <v>0</v>
      </c>
      <c r="AG242" s="61">
        <f t="shared" si="46"/>
        <v>0</v>
      </c>
      <c r="AH242" s="61">
        <f t="shared" si="48"/>
        <v>0</v>
      </c>
      <c r="AI242" s="61">
        <f t="shared" si="48"/>
        <v>0</v>
      </c>
      <c r="AJ242" s="61">
        <f t="shared" si="48"/>
        <v>0</v>
      </c>
      <c r="AK242" s="61">
        <f t="shared" si="48"/>
        <v>0</v>
      </c>
      <c r="AL242" s="61">
        <f t="shared" si="48"/>
        <v>0</v>
      </c>
      <c r="AM242" s="61">
        <f t="shared" si="48"/>
        <v>0</v>
      </c>
      <c r="AN242" s="61">
        <f t="shared" si="48"/>
        <v>0</v>
      </c>
      <c r="AO242" s="61">
        <f t="shared" si="48"/>
        <v>0</v>
      </c>
      <c r="AP242" s="61">
        <f t="shared" si="48"/>
        <v>0</v>
      </c>
      <c r="AQ242" s="61"/>
    </row>
    <row r="243" spans="2:43" x14ac:dyDescent="0.25">
      <c r="B243" s="54">
        <v>0.85416666670062102</v>
      </c>
      <c r="C243" s="54">
        <v>1.2083333334376301</v>
      </c>
      <c r="D243" s="60"/>
      <c r="E243" s="91"/>
      <c r="F243" s="91"/>
      <c r="G243" s="91"/>
      <c r="H243" s="92">
        <f t="shared" si="43"/>
        <v>0</v>
      </c>
      <c r="I243" s="180">
        <f>AN$214-AN$215</f>
        <v>0</v>
      </c>
      <c r="M243" s="61">
        <f t="shared" si="47"/>
        <v>0</v>
      </c>
      <c r="N243" s="61">
        <f t="shared" si="47"/>
        <v>0</v>
      </c>
      <c r="O243" s="61">
        <f t="shared" si="47"/>
        <v>0</v>
      </c>
      <c r="P243" s="61">
        <f t="shared" si="47"/>
        <v>0</v>
      </c>
      <c r="Q243" s="61">
        <f t="shared" si="47"/>
        <v>0</v>
      </c>
      <c r="R243" s="61">
        <f t="shared" si="47"/>
        <v>0</v>
      </c>
      <c r="S243" s="61">
        <f t="shared" si="47"/>
        <v>0</v>
      </c>
      <c r="T243" s="61">
        <f t="shared" si="47"/>
        <v>0</v>
      </c>
      <c r="U243" s="61">
        <f t="shared" si="47"/>
        <v>0</v>
      </c>
      <c r="V243" s="61">
        <f t="shared" si="47"/>
        <v>0</v>
      </c>
      <c r="W243" s="61">
        <f t="shared" si="46"/>
        <v>0</v>
      </c>
      <c r="X243" s="61">
        <f t="shared" si="46"/>
        <v>0</v>
      </c>
      <c r="Y243" s="61">
        <f t="shared" si="46"/>
        <v>0</v>
      </c>
      <c r="Z243" s="61">
        <f t="shared" si="46"/>
        <v>0</v>
      </c>
      <c r="AA243" s="61">
        <f t="shared" si="46"/>
        <v>0</v>
      </c>
      <c r="AB243" s="61">
        <f t="shared" si="46"/>
        <v>0</v>
      </c>
      <c r="AC243" s="61">
        <f t="shared" si="46"/>
        <v>0</v>
      </c>
      <c r="AD243" s="61">
        <f t="shared" si="46"/>
        <v>0</v>
      </c>
      <c r="AE243" s="61">
        <f t="shared" si="46"/>
        <v>0</v>
      </c>
      <c r="AF243" s="61">
        <f t="shared" si="46"/>
        <v>0</v>
      </c>
      <c r="AG243" s="61">
        <f t="shared" si="46"/>
        <v>0</v>
      </c>
      <c r="AH243" s="61">
        <f t="shared" si="48"/>
        <v>0</v>
      </c>
      <c r="AI243" s="61">
        <f t="shared" si="48"/>
        <v>0</v>
      </c>
      <c r="AJ243" s="61">
        <f t="shared" si="48"/>
        <v>0</v>
      </c>
      <c r="AK243" s="61">
        <f t="shared" si="48"/>
        <v>0</v>
      </c>
      <c r="AL243" s="61">
        <f t="shared" si="48"/>
        <v>0</v>
      </c>
      <c r="AM243" s="61">
        <f t="shared" si="48"/>
        <v>0</v>
      </c>
      <c r="AN243" s="61">
        <f t="shared" si="48"/>
        <v>0</v>
      </c>
      <c r="AO243" s="61">
        <f t="shared" si="48"/>
        <v>0</v>
      </c>
      <c r="AP243" s="61">
        <f t="shared" si="48"/>
        <v>0</v>
      </c>
      <c r="AQ243" s="61"/>
    </row>
    <row r="244" spans="2:43" x14ac:dyDescent="0.25">
      <c r="B244" s="54">
        <v>0.87500000003637901</v>
      </c>
      <c r="C244" s="54">
        <v>1.22916666677339</v>
      </c>
      <c r="D244" s="60"/>
      <c r="E244" s="91"/>
      <c r="F244" s="91"/>
      <c r="G244" s="91"/>
      <c r="H244" s="92">
        <f t="shared" si="43"/>
        <v>0</v>
      </c>
      <c r="I244" s="180">
        <f>AO$214-AO$215</f>
        <v>0</v>
      </c>
      <c r="M244" s="61">
        <f t="shared" si="47"/>
        <v>0</v>
      </c>
      <c r="N244" s="61">
        <f t="shared" si="47"/>
        <v>0</v>
      </c>
      <c r="O244" s="61">
        <f t="shared" si="47"/>
        <v>0</v>
      </c>
      <c r="P244" s="61">
        <f t="shared" si="47"/>
        <v>0</v>
      </c>
      <c r="Q244" s="61">
        <f t="shared" si="47"/>
        <v>0</v>
      </c>
      <c r="R244" s="61">
        <f t="shared" si="47"/>
        <v>0</v>
      </c>
      <c r="S244" s="61">
        <f t="shared" si="47"/>
        <v>0</v>
      </c>
      <c r="T244" s="61">
        <f t="shared" si="47"/>
        <v>0</v>
      </c>
      <c r="U244" s="61">
        <f t="shared" si="47"/>
        <v>0</v>
      </c>
      <c r="V244" s="61">
        <f t="shared" si="47"/>
        <v>0</v>
      </c>
      <c r="W244" s="61">
        <f t="shared" si="46"/>
        <v>0</v>
      </c>
      <c r="X244" s="61">
        <f t="shared" si="46"/>
        <v>0</v>
      </c>
      <c r="Y244" s="61">
        <f t="shared" si="46"/>
        <v>0</v>
      </c>
      <c r="Z244" s="61">
        <f t="shared" si="46"/>
        <v>0</v>
      </c>
      <c r="AA244" s="61">
        <f t="shared" si="46"/>
        <v>0</v>
      </c>
      <c r="AB244" s="61">
        <f t="shared" si="46"/>
        <v>0</v>
      </c>
      <c r="AC244" s="61">
        <f t="shared" si="46"/>
        <v>0</v>
      </c>
      <c r="AD244" s="61">
        <f t="shared" si="46"/>
        <v>0</v>
      </c>
      <c r="AE244" s="61">
        <f t="shared" si="46"/>
        <v>0</v>
      </c>
      <c r="AF244" s="61">
        <f t="shared" si="46"/>
        <v>0</v>
      </c>
      <c r="AG244" s="61">
        <f t="shared" si="46"/>
        <v>0</v>
      </c>
      <c r="AH244" s="61">
        <f t="shared" si="48"/>
        <v>0</v>
      </c>
      <c r="AI244" s="61">
        <f t="shared" si="48"/>
        <v>0</v>
      </c>
      <c r="AJ244" s="61">
        <f t="shared" si="48"/>
        <v>0</v>
      </c>
      <c r="AK244" s="61">
        <f t="shared" si="48"/>
        <v>0</v>
      </c>
      <c r="AL244" s="61">
        <f t="shared" si="48"/>
        <v>0</v>
      </c>
      <c r="AM244" s="61">
        <f t="shared" si="48"/>
        <v>0</v>
      </c>
      <c r="AN244" s="61">
        <f t="shared" si="48"/>
        <v>0</v>
      </c>
      <c r="AO244" s="61">
        <f t="shared" si="48"/>
        <v>0</v>
      </c>
      <c r="AP244" s="61">
        <f t="shared" si="48"/>
        <v>0</v>
      </c>
      <c r="AQ244" s="61"/>
    </row>
    <row r="245" spans="2:43" x14ac:dyDescent="0.25">
      <c r="B245" s="54">
        <v>0.895833333372138</v>
      </c>
      <c r="C245" s="54">
        <v>1.25000000010915</v>
      </c>
      <c r="D245" s="60"/>
      <c r="E245" s="91"/>
      <c r="F245" s="91"/>
      <c r="G245" s="91"/>
      <c r="H245" s="92">
        <f t="shared" si="43"/>
        <v>0</v>
      </c>
      <c r="I245" s="180">
        <f>AP$214-AP$215</f>
        <v>0</v>
      </c>
      <c r="M245" s="61">
        <f t="shared" si="47"/>
        <v>0</v>
      </c>
      <c r="N245" s="61">
        <f t="shared" si="47"/>
        <v>0</v>
      </c>
      <c r="O245" s="61">
        <f t="shared" si="47"/>
        <v>0</v>
      </c>
      <c r="P245" s="61">
        <f t="shared" si="47"/>
        <v>0</v>
      </c>
      <c r="Q245" s="61">
        <f t="shared" si="47"/>
        <v>0</v>
      </c>
      <c r="R245" s="61">
        <f t="shared" si="47"/>
        <v>0</v>
      </c>
      <c r="S245" s="61">
        <f t="shared" si="47"/>
        <v>0</v>
      </c>
      <c r="T245" s="61">
        <f t="shared" si="47"/>
        <v>0</v>
      </c>
      <c r="U245" s="61">
        <f t="shared" si="47"/>
        <v>0</v>
      </c>
      <c r="V245" s="61">
        <f t="shared" si="47"/>
        <v>0</v>
      </c>
      <c r="W245" s="61">
        <f t="shared" si="46"/>
        <v>0</v>
      </c>
      <c r="X245" s="61">
        <f t="shared" si="46"/>
        <v>0</v>
      </c>
      <c r="Y245" s="61">
        <f t="shared" si="46"/>
        <v>0</v>
      </c>
      <c r="Z245" s="61">
        <f t="shared" si="46"/>
        <v>0</v>
      </c>
      <c r="AA245" s="61">
        <f t="shared" si="46"/>
        <v>0</v>
      </c>
      <c r="AB245" s="61">
        <f t="shared" si="46"/>
        <v>0</v>
      </c>
      <c r="AC245" s="61">
        <f t="shared" si="46"/>
        <v>0</v>
      </c>
      <c r="AD245" s="61">
        <f t="shared" si="46"/>
        <v>0</v>
      </c>
      <c r="AE245" s="61">
        <f t="shared" si="46"/>
        <v>0</v>
      </c>
      <c r="AF245" s="61">
        <f t="shared" si="46"/>
        <v>0</v>
      </c>
      <c r="AG245" s="61">
        <f t="shared" si="46"/>
        <v>0</v>
      </c>
      <c r="AH245" s="61">
        <f t="shared" si="48"/>
        <v>0</v>
      </c>
      <c r="AI245" s="61">
        <f t="shared" si="48"/>
        <v>0</v>
      </c>
      <c r="AJ245" s="61">
        <f t="shared" si="48"/>
        <v>0</v>
      </c>
      <c r="AK245" s="61">
        <f t="shared" si="48"/>
        <v>0</v>
      </c>
      <c r="AL245" s="61">
        <f t="shared" si="48"/>
        <v>0</v>
      </c>
      <c r="AM245" s="61">
        <f t="shared" si="48"/>
        <v>0</v>
      </c>
      <c r="AN245" s="61">
        <f t="shared" si="48"/>
        <v>0</v>
      </c>
      <c r="AO245" s="61">
        <f t="shared" si="48"/>
        <v>0</v>
      </c>
      <c r="AP245" s="61">
        <f t="shared" si="48"/>
        <v>0</v>
      </c>
      <c r="AQ245" s="61"/>
    </row>
    <row r="246" spans="2:43" x14ac:dyDescent="0.25">
      <c r="E246" s="91"/>
      <c r="G246" s="91"/>
      <c r="I246" s="180">
        <f>NCC!$S$36</f>
        <v>0</v>
      </c>
    </row>
    <row r="252" spans="2:43" s="52" customFormat="1" x14ac:dyDescent="0.25">
      <c r="E252" s="53"/>
      <c r="F252" s="53"/>
      <c r="G252" s="53"/>
      <c r="H252" s="53"/>
      <c r="I252" s="53"/>
      <c r="J252" s="53"/>
      <c r="K252" s="58" t="s">
        <v>32</v>
      </c>
      <c r="L252" s="53"/>
      <c r="M252" s="84">
        <f>G257</f>
        <v>0</v>
      </c>
      <c r="N252" s="84">
        <f>M252+G258</f>
        <v>0</v>
      </c>
      <c r="O252" s="84">
        <f>N252+G259</f>
        <v>0</v>
      </c>
      <c r="P252" s="84">
        <f>+O252+G260</f>
        <v>0</v>
      </c>
      <c r="Q252" s="84">
        <f>P252+G261</f>
        <v>0</v>
      </c>
      <c r="R252" s="84">
        <f>Q252+G262</f>
        <v>0</v>
      </c>
      <c r="S252" s="84">
        <f>R252+G263</f>
        <v>0</v>
      </c>
      <c r="T252" s="84">
        <f>S252+G264</f>
        <v>0</v>
      </c>
      <c r="U252" s="84">
        <f>T252+G265-G257</f>
        <v>0</v>
      </c>
      <c r="V252" s="84">
        <f>U252+G266-G258</f>
        <v>0</v>
      </c>
      <c r="W252" s="84">
        <f>V252+G267-G259</f>
        <v>0</v>
      </c>
      <c r="X252" s="84">
        <f>W252+G268-G260</f>
        <v>0</v>
      </c>
      <c r="Y252" s="84">
        <f>X252+G269-G261</f>
        <v>0</v>
      </c>
      <c r="Z252" s="84">
        <f>Y252+G270-G262</f>
        <v>0</v>
      </c>
      <c r="AA252" s="84">
        <f>Z252+G271-G263</f>
        <v>0</v>
      </c>
      <c r="AB252" s="84">
        <f>AA252+G272-G264</f>
        <v>0</v>
      </c>
      <c r="AC252" s="84">
        <f>AB252+G273-G265</f>
        <v>0</v>
      </c>
      <c r="AD252" s="84">
        <f>AC252+G274-G266</f>
        <v>0</v>
      </c>
      <c r="AE252" s="84">
        <f>AD252+G275-G267</f>
        <v>0</v>
      </c>
      <c r="AF252" s="84">
        <f>AE252+G276-G268</f>
        <v>0</v>
      </c>
      <c r="AG252" s="84">
        <f>AF252+G277-G269</f>
        <v>0</v>
      </c>
      <c r="AH252" s="84">
        <f>AG252+G278-G270</f>
        <v>0</v>
      </c>
      <c r="AI252" s="84">
        <f>AH252+G279-G271</f>
        <v>0</v>
      </c>
      <c r="AJ252" s="84">
        <f>AI252+G280-G272</f>
        <v>0</v>
      </c>
      <c r="AK252" s="84">
        <f>AJ252+G281-G273</f>
        <v>0</v>
      </c>
      <c r="AL252" s="84">
        <f>AK252+G282-G274</f>
        <v>0</v>
      </c>
      <c r="AM252" s="84">
        <f>AL252+G283-G275</f>
        <v>0</v>
      </c>
      <c r="AN252" s="84">
        <f>AM252+G284-G276</f>
        <v>0</v>
      </c>
      <c r="AO252" s="84">
        <f>AN252+G285-G277</f>
        <v>0</v>
      </c>
      <c r="AP252" s="84">
        <f>AO252+G286-G278</f>
        <v>0</v>
      </c>
      <c r="AQ252" s="84">
        <f>SUM(M252:AP252)/8.5</f>
        <v>0</v>
      </c>
    </row>
    <row r="253" spans="2:43" x14ac:dyDescent="0.25">
      <c r="J253" s="57"/>
      <c r="K253" s="58" t="s">
        <v>31</v>
      </c>
      <c r="M253" s="84">
        <f>F257</f>
        <v>0</v>
      </c>
      <c r="N253" s="84">
        <f>M253+F258</f>
        <v>0</v>
      </c>
      <c r="O253" s="84">
        <f>N253+F259</f>
        <v>0</v>
      </c>
      <c r="P253" s="84">
        <f>+O253+F260</f>
        <v>0</v>
      </c>
      <c r="Q253" s="84">
        <f>P253+F261</f>
        <v>0</v>
      </c>
      <c r="R253" s="84">
        <f>Q253+F262</f>
        <v>0</v>
      </c>
      <c r="S253" s="84">
        <f>R253+F263</f>
        <v>0</v>
      </c>
      <c r="T253" s="84">
        <f>S253+F264</f>
        <v>0</v>
      </c>
      <c r="U253" s="84">
        <f>T253+F265</f>
        <v>0</v>
      </c>
      <c r="V253" s="84">
        <f>U253+F266</f>
        <v>0</v>
      </c>
      <c r="W253" s="84">
        <f>V253+F267</f>
        <v>0</v>
      </c>
      <c r="X253" s="84">
        <f>W253+F268</f>
        <v>0</v>
      </c>
      <c r="Y253" s="84">
        <f>X253+F269-F257</f>
        <v>0</v>
      </c>
      <c r="Z253" s="84">
        <f>Y253+F270-F258</f>
        <v>0</v>
      </c>
      <c r="AA253" s="84">
        <f>Z253+F271-F259</f>
        <v>0</v>
      </c>
      <c r="AB253" s="84">
        <f>AA253+F272-F260</f>
        <v>0</v>
      </c>
      <c r="AC253" s="84">
        <f>AB253+F273-F261</f>
        <v>0</v>
      </c>
      <c r="AD253" s="84">
        <f>AC253+F274-F262</f>
        <v>0</v>
      </c>
      <c r="AE253" s="84">
        <f>AD253+F275-F263</f>
        <v>0</v>
      </c>
      <c r="AF253" s="84">
        <f>AE253+F276-F264</f>
        <v>0</v>
      </c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2:43" s="57" customFormat="1" ht="17.25" customHeight="1" x14ac:dyDescent="0.25">
      <c r="K254" s="58" t="s">
        <v>13</v>
      </c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5"/>
      <c r="AQ254" s="86"/>
    </row>
    <row r="255" spans="2:43" s="57" customFormat="1" ht="17.25" customHeight="1" x14ac:dyDescent="0.25">
      <c r="B255" s="57" t="s">
        <v>12</v>
      </c>
      <c r="E255" s="59" t="s">
        <v>8</v>
      </c>
      <c r="F255" s="59" t="s">
        <v>15</v>
      </c>
      <c r="G255" s="59" t="s">
        <v>32</v>
      </c>
      <c r="H255" s="59" t="s">
        <v>16</v>
      </c>
      <c r="J255" s="58" t="s">
        <v>9</v>
      </c>
      <c r="K255" s="58">
        <f>SUM(M255:AP255)/16</f>
        <v>0</v>
      </c>
      <c r="M255" s="87">
        <f t="shared" ref="M255:AP255" si="49">SUM(M257:M286)+M253+M252-M254</f>
        <v>0</v>
      </c>
      <c r="N255" s="87">
        <f t="shared" si="49"/>
        <v>0</v>
      </c>
      <c r="O255" s="87">
        <f t="shared" si="49"/>
        <v>0</v>
      </c>
      <c r="P255" s="87">
        <f t="shared" si="49"/>
        <v>0</v>
      </c>
      <c r="Q255" s="87">
        <f t="shared" si="49"/>
        <v>0</v>
      </c>
      <c r="R255" s="87">
        <f t="shared" si="49"/>
        <v>0</v>
      </c>
      <c r="S255" s="87">
        <f t="shared" si="49"/>
        <v>0</v>
      </c>
      <c r="T255" s="87">
        <f t="shared" si="49"/>
        <v>0</v>
      </c>
      <c r="U255" s="87">
        <f t="shared" si="49"/>
        <v>0</v>
      </c>
      <c r="V255" s="87">
        <f t="shared" si="49"/>
        <v>0</v>
      </c>
      <c r="W255" s="87">
        <f t="shared" si="49"/>
        <v>0</v>
      </c>
      <c r="X255" s="87">
        <f t="shared" si="49"/>
        <v>0</v>
      </c>
      <c r="Y255" s="87">
        <f t="shared" si="49"/>
        <v>0</v>
      </c>
      <c r="Z255" s="87">
        <f t="shared" si="49"/>
        <v>0</v>
      </c>
      <c r="AA255" s="87">
        <f t="shared" si="49"/>
        <v>0</v>
      </c>
      <c r="AB255" s="87">
        <f t="shared" si="49"/>
        <v>0</v>
      </c>
      <c r="AC255" s="87">
        <f t="shared" si="49"/>
        <v>0</v>
      </c>
      <c r="AD255" s="87">
        <f t="shared" si="49"/>
        <v>0</v>
      </c>
      <c r="AE255" s="87">
        <f t="shared" si="49"/>
        <v>0</v>
      </c>
      <c r="AF255" s="87">
        <f t="shared" si="49"/>
        <v>0</v>
      </c>
      <c r="AG255" s="87">
        <f t="shared" si="49"/>
        <v>0</v>
      </c>
      <c r="AH255" s="87">
        <f t="shared" si="49"/>
        <v>0</v>
      </c>
      <c r="AI255" s="87">
        <f t="shared" si="49"/>
        <v>0</v>
      </c>
      <c r="AJ255" s="87">
        <f t="shared" si="49"/>
        <v>0</v>
      </c>
      <c r="AK255" s="87">
        <f t="shared" si="49"/>
        <v>0</v>
      </c>
      <c r="AL255" s="87">
        <f t="shared" si="49"/>
        <v>0</v>
      </c>
      <c r="AM255" s="87">
        <f t="shared" si="49"/>
        <v>0</v>
      </c>
      <c r="AN255" s="87">
        <f t="shared" si="49"/>
        <v>0</v>
      </c>
      <c r="AO255" s="87">
        <f t="shared" si="49"/>
        <v>0</v>
      </c>
      <c r="AP255" s="87">
        <f t="shared" si="49"/>
        <v>0</v>
      </c>
      <c r="AQ255" s="87"/>
    </row>
    <row r="256" spans="2:43" s="88" customFormat="1" x14ac:dyDescent="0.25">
      <c r="E256" s="178">
        <f>SUM(E257:E286)</f>
        <v>0</v>
      </c>
      <c r="F256" s="178">
        <f>SUM(F257:F286)</f>
        <v>0</v>
      </c>
      <c r="G256" s="178">
        <f>SUM(G257:G286)</f>
        <v>0</v>
      </c>
      <c r="H256" s="178">
        <f>SUM(H257:H286)</f>
        <v>0</v>
      </c>
      <c r="I256" s="89"/>
      <c r="J256" s="89"/>
      <c r="K256" s="58" t="s">
        <v>7</v>
      </c>
      <c r="L256" s="89"/>
      <c r="M256" s="180">
        <f>SUMMARY!$K$6</f>
        <v>0</v>
      </c>
      <c r="N256" s="180">
        <f>SUMMARY!$K$7</f>
        <v>0</v>
      </c>
      <c r="O256" s="180">
        <f>SUMMARY!$K$8</f>
        <v>0</v>
      </c>
      <c r="P256" s="180">
        <f>SUMMARY!$K$9</f>
        <v>0</v>
      </c>
      <c r="Q256" s="180">
        <f>SUMMARY!$K$10</f>
        <v>0</v>
      </c>
      <c r="R256" s="180">
        <f>SUMMARY!$K$11</f>
        <v>0</v>
      </c>
      <c r="S256" s="180">
        <f>SUMMARY!$K$12</f>
        <v>0</v>
      </c>
      <c r="T256" s="180">
        <f>SUMMARY!$K$13</f>
        <v>0</v>
      </c>
      <c r="U256" s="180">
        <f>SUMMARY!$K$14</f>
        <v>0</v>
      </c>
      <c r="V256" s="180">
        <f>SUMMARY!$K$15</f>
        <v>0</v>
      </c>
      <c r="W256" s="180">
        <f>SUMMARY!$K$16</f>
        <v>0</v>
      </c>
      <c r="X256" s="180">
        <f>SUMMARY!$K$17</f>
        <v>0</v>
      </c>
      <c r="Y256" s="180">
        <f>SUMMARY!$K$18</f>
        <v>0</v>
      </c>
      <c r="Z256" s="180">
        <f>SUMMARY!$K$19</f>
        <v>0</v>
      </c>
      <c r="AA256" s="180">
        <f>SUMMARY!$K$20</f>
        <v>0</v>
      </c>
      <c r="AB256" s="180">
        <f>SUMMARY!$K$21</f>
        <v>0</v>
      </c>
      <c r="AC256" s="180">
        <f>SUMMARY!$K$22</f>
        <v>0</v>
      </c>
      <c r="AD256" s="180">
        <f>SUMMARY!$K$23</f>
        <v>0</v>
      </c>
      <c r="AE256" s="180">
        <f>SUMMARY!$K$24</f>
        <v>0</v>
      </c>
      <c r="AF256" s="180">
        <f>SUMMARY!$K$25</f>
        <v>0</v>
      </c>
      <c r="AG256" s="180">
        <f>SUMMARY!$K$26</f>
        <v>0</v>
      </c>
      <c r="AH256" s="180">
        <f>SUMMARY!$K$27</f>
        <v>0</v>
      </c>
      <c r="AI256" s="180">
        <f>SUMMARY!$K$28</f>
        <v>0</v>
      </c>
      <c r="AJ256" s="180">
        <f>SUMMARY!$K$29</f>
        <v>0</v>
      </c>
      <c r="AK256" s="180">
        <f>SUMMARY!$K$30</f>
        <v>0</v>
      </c>
      <c r="AL256" s="180">
        <f>SUMMARY!$K$31</f>
        <v>0</v>
      </c>
      <c r="AM256" s="180">
        <f>SUMMARY!$K$32</f>
        <v>0</v>
      </c>
      <c r="AN256" s="180">
        <f>SUMMARY!$K$33</f>
        <v>0</v>
      </c>
      <c r="AO256" s="180">
        <f>SUMMARY!$K$34</f>
        <v>0</v>
      </c>
      <c r="AP256" s="180">
        <f>SUMMARY!$K$35</f>
        <v>0</v>
      </c>
      <c r="AQ256" s="90"/>
    </row>
    <row r="257" spans="2:43" x14ac:dyDescent="0.25">
      <c r="B257" s="54">
        <v>0.29166666666424135</v>
      </c>
      <c r="C257" s="54">
        <v>0.645833333372138</v>
      </c>
      <c r="D257" s="60"/>
      <c r="E257" s="91"/>
      <c r="F257" s="91"/>
      <c r="G257" s="91"/>
      <c r="H257" s="92">
        <f t="shared" ref="H257:H286" si="50">SUM(E257:G257)</f>
        <v>0</v>
      </c>
      <c r="I257" s="180">
        <f>M$255-M$256</f>
        <v>0</v>
      </c>
      <c r="M257" s="61">
        <f t="shared" ref="M257:AB272" si="51">IF(AND(M$2&gt;=$B257,M$2&lt;$C257),$E257,0)</f>
        <v>0</v>
      </c>
      <c r="N257" s="61">
        <f t="shared" si="51"/>
        <v>0</v>
      </c>
      <c r="O257" s="61">
        <f t="shared" si="51"/>
        <v>0</v>
      </c>
      <c r="P257" s="61">
        <f t="shared" si="51"/>
        <v>0</v>
      </c>
      <c r="Q257" s="61">
        <f t="shared" si="51"/>
        <v>0</v>
      </c>
      <c r="R257" s="61">
        <f t="shared" si="51"/>
        <v>0</v>
      </c>
      <c r="S257" s="61">
        <f t="shared" si="51"/>
        <v>0</v>
      </c>
      <c r="T257" s="61">
        <f t="shared" si="51"/>
        <v>0</v>
      </c>
      <c r="U257" s="61">
        <f t="shared" si="51"/>
        <v>0</v>
      </c>
      <c r="V257" s="61">
        <f t="shared" si="51"/>
        <v>0</v>
      </c>
      <c r="W257" s="61">
        <f t="shared" si="51"/>
        <v>0</v>
      </c>
      <c r="X257" s="61">
        <f t="shared" si="51"/>
        <v>0</v>
      </c>
      <c r="Y257" s="61">
        <f t="shared" si="51"/>
        <v>0</v>
      </c>
      <c r="Z257" s="61">
        <f t="shared" si="51"/>
        <v>0</v>
      </c>
      <c r="AA257" s="61">
        <f t="shared" si="51"/>
        <v>0</v>
      </c>
      <c r="AB257" s="61">
        <f t="shared" si="51"/>
        <v>0</v>
      </c>
      <c r="AC257" s="61">
        <f t="shared" ref="AC257:AP272" si="52">IF(AND(AC$2&gt;=$B257,AC$2&lt;$C257),$E257,0)</f>
        <v>0</v>
      </c>
      <c r="AD257" s="61">
        <f t="shared" si="52"/>
        <v>0</v>
      </c>
      <c r="AE257" s="61">
        <f t="shared" si="52"/>
        <v>0</v>
      </c>
      <c r="AF257" s="61">
        <f t="shared" si="52"/>
        <v>0</v>
      </c>
      <c r="AG257" s="61">
        <f t="shared" si="52"/>
        <v>0</v>
      </c>
      <c r="AH257" s="61">
        <f t="shared" si="52"/>
        <v>0</v>
      </c>
      <c r="AI257" s="61">
        <f t="shared" si="52"/>
        <v>0</v>
      </c>
      <c r="AJ257" s="61">
        <f t="shared" si="52"/>
        <v>0</v>
      </c>
      <c r="AK257" s="61">
        <f t="shared" si="52"/>
        <v>0</v>
      </c>
      <c r="AL257" s="61">
        <f t="shared" si="52"/>
        <v>0</v>
      </c>
      <c r="AM257" s="61">
        <f t="shared" si="52"/>
        <v>0</v>
      </c>
      <c r="AN257" s="61">
        <f t="shared" si="52"/>
        <v>0</v>
      </c>
      <c r="AO257" s="61">
        <f t="shared" si="52"/>
        <v>0</v>
      </c>
      <c r="AP257" s="61">
        <f t="shared" si="52"/>
        <v>0</v>
      </c>
      <c r="AQ257" s="61"/>
    </row>
    <row r="258" spans="2:43" x14ac:dyDescent="0.25">
      <c r="B258" s="54">
        <v>0.3125</v>
      </c>
      <c r="C258" s="54">
        <v>0.66666666670789698</v>
      </c>
      <c r="D258" s="60"/>
      <c r="E258" s="91"/>
      <c r="F258" s="91"/>
      <c r="G258" s="91"/>
      <c r="H258" s="92">
        <f t="shared" si="50"/>
        <v>0</v>
      </c>
      <c r="I258" s="180">
        <f>N$255-N$256</f>
        <v>0</v>
      </c>
      <c r="M258" s="61">
        <f t="shared" si="51"/>
        <v>0</v>
      </c>
      <c r="N258" s="61">
        <f t="shared" si="51"/>
        <v>0</v>
      </c>
      <c r="O258" s="61">
        <f t="shared" si="51"/>
        <v>0</v>
      </c>
      <c r="P258" s="61">
        <f t="shared" si="51"/>
        <v>0</v>
      </c>
      <c r="Q258" s="61">
        <f t="shared" si="51"/>
        <v>0</v>
      </c>
      <c r="R258" s="61">
        <f t="shared" si="51"/>
        <v>0</v>
      </c>
      <c r="S258" s="61">
        <f t="shared" si="51"/>
        <v>0</v>
      </c>
      <c r="T258" s="61">
        <f t="shared" si="51"/>
        <v>0</v>
      </c>
      <c r="U258" s="61">
        <f t="shared" si="51"/>
        <v>0</v>
      </c>
      <c r="V258" s="61">
        <f t="shared" si="51"/>
        <v>0</v>
      </c>
      <c r="W258" s="61">
        <f t="shared" si="51"/>
        <v>0</v>
      </c>
      <c r="X258" s="61">
        <f t="shared" si="51"/>
        <v>0</v>
      </c>
      <c r="Y258" s="61">
        <f t="shared" si="51"/>
        <v>0</v>
      </c>
      <c r="Z258" s="61">
        <f t="shared" si="51"/>
        <v>0</v>
      </c>
      <c r="AA258" s="61">
        <f t="shared" si="51"/>
        <v>0</v>
      </c>
      <c r="AB258" s="61">
        <f t="shared" si="51"/>
        <v>0</v>
      </c>
      <c r="AC258" s="61">
        <f t="shared" si="52"/>
        <v>0</v>
      </c>
      <c r="AD258" s="61">
        <f t="shared" si="52"/>
        <v>0</v>
      </c>
      <c r="AE258" s="61">
        <f t="shared" si="52"/>
        <v>0</v>
      </c>
      <c r="AF258" s="61">
        <f t="shared" si="52"/>
        <v>0</v>
      </c>
      <c r="AG258" s="61">
        <f t="shared" si="52"/>
        <v>0</v>
      </c>
      <c r="AH258" s="61">
        <f t="shared" si="52"/>
        <v>0</v>
      </c>
      <c r="AI258" s="61">
        <f t="shared" si="52"/>
        <v>0</v>
      </c>
      <c r="AJ258" s="61">
        <f t="shared" si="52"/>
        <v>0</v>
      </c>
      <c r="AK258" s="61">
        <f t="shared" si="52"/>
        <v>0</v>
      </c>
      <c r="AL258" s="61">
        <f t="shared" si="52"/>
        <v>0</v>
      </c>
      <c r="AM258" s="61">
        <f t="shared" si="52"/>
        <v>0</v>
      </c>
      <c r="AN258" s="61">
        <f t="shared" si="52"/>
        <v>0</v>
      </c>
      <c r="AO258" s="61">
        <f t="shared" si="52"/>
        <v>0</v>
      </c>
      <c r="AP258" s="61">
        <f t="shared" si="52"/>
        <v>0</v>
      </c>
      <c r="AQ258" s="61"/>
    </row>
    <row r="259" spans="2:43" x14ac:dyDescent="0.25">
      <c r="B259" s="54">
        <v>0.33333333333575865</v>
      </c>
      <c r="C259" s="54">
        <v>0.68750000004365597</v>
      </c>
      <c r="D259" s="60"/>
      <c r="E259" s="91">
        <f>SUMMARY!AC49</f>
        <v>0</v>
      </c>
      <c r="F259" s="91">
        <f>SUMMARY!AU49</f>
        <v>0</v>
      </c>
      <c r="G259" s="91">
        <f>SUMMARY!AN49</f>
        <v>0</v>
      </c>
      <c r="H259" s="92">
        <f t="shared" si="50"/>
        <v>0</v>
      </c>
      <c r="I259" s="180">
        <f>O$255-O$256</f>
        <v>0</v>
      </c>
      <c r="M259" s="61">
        <f t="shared" si="51"/>
        <v>0</v>
      </c>
      <c r="N259" s="61">
        <f t="shared" si="51"/>
        <v>0</v>
      </c>
      <c r="O259" s="61">
        <f t="shared" si="51"/>
        <v>0</v>
      </c>
      <c r="P259" s="61">
        <f t="shared" si="51"/>
        <v>0</v>
      </c>
      <c r="Q259" s="61">
        <f t="shared" si="51"/>
        <v>0</v>
      </c>
      <c r="R259" s="61">
        <f t="shared" si="51"/>
        <v>0</v>
      </c>
      <c r="S259" s="61">
        <f t="shared" si="51"/>
        <v>0</v>
      </c>
      <c r="T259" s="61">
        <f t="shared" si="51"/>
        <v>0</v>
      </c>
      <c r="U259" s="61">
        <f t="shared" si="51"/>
        <v>0</v>
      </c>
      <c r="V259" s="61">
        <f t="shared" si="51"/>
        <v>0</v>
      </c>
      <c r="W259" s="61">
        <f t="shared" si="51"/>
        <v>0</v>
      </c>
      <c r="X259" s="61">
        <f t="shared" si="51"/>
        <v>0</v>
      </c>
      <c r="Y259" s="61">
        <f t="shared" si="51"/>
        <v>0</v>
      </c>
      <c r="Z259" s="61">
        <f t="shared" si="51"/>
        <v>0</v>
      </c>
      <c r="AA259" s="61">
        <f t="shared" si="51"/>
        <v>0</v>
      </c>
      <c r="AB259" s="61">
        <f t="shared" si="51"/>
        <v>0</v>
      </c>
      <c r="AC259" s="61">
        <f t="shared" si="52"/>
        <v>0</v>
      </c>
      <c r="AD259" s="61">
        <f t="shared" si="52"/>
        <v>0</v>
      </c>
      <c r="AE259" s="61">
        <f t="shared" si="52"/>
        <v>0</v>
      </c>
      <c r="AF259" s="61"/>
      <c r="AG259" s="61">
        <f t="shared" si="52"/>
        <v>0</v>
      </c>
      <c r="AH259" s="61">
        <f t="shared" si="52"/>
        <v>0</v>
      </c>
      <c r="AI259" s="61">
        <f t="shared" si="52"/>
        <v>0</v>
      </c>
      <c r="AJ259" s="61">
        <f t="shared" si="52"/>
        <v>0</v>
      </c>
      <c r="AK259" s="61">
        <f t="shared" si="52"/>
        <v>0</v>
      </c>
      <c r="AL259" s="61">
        <f t="shared" si="52"/>
        <v>0</v>
      </c>
      <c r="AM259" s="61">
        <f t="shared" si="52"/>
        <v>0</v>
      </c>
      <c r="AN259" s="61">
        <f t="shared" si="52"/>
        <v>0</v>
      </c>
      <c r="AO259" s="61">
        <f t="shared" si="52"/>
        <v>0</v>
      </c>
      <c r="AP259" s="61">
        <f t="shared" si="52"/>
        <v>0</v>
      </c>
      <c r="AQ259" s="61"/>
    </row>
    <row r="260" spans="2:43" x14ac:dyDescent="0.25">
      <c r="B260" s="54">
        <v>0.35416666666424135</v>
      </c>
      <c r="C260" s="54">
        <v>0.70833333337941495</v>
      </c>
      <c r="D260" s="60"/>
      <c r="E260" s="91">
        <f>SUMMARY!AC50</f>
        <v>0</v>
      </c>
      <c r="F260" s="91">
        <f>SUMMARY!AU50</f>
        <v>0</v>
      </c>
      <c r="G260" s="91">
        <f>SUMMARY!AN50</f>
        <v>0</v>
      </c>
      <c r="H260" s="92">
        <f t="shared" si="50"/>
        <v>0</v>
      </c>
      <c r="I260" s="180">
        <f>P$255-P$256</f>
        <v>0</v>
      </c>
      <c r="M260" s="61">
        <f t="shared" si="51"/>
        <v>0</v>
      </c>
      <c r="N260" s="61">
        <f t="shared" si="51"/>
        <v>0</v>
      </c>
      <c r="O260" s="61">
        <f t="shared" si="51"/>
        <v>0</v>
      </c>
      <c r="P260" s="61">
        <f t="shared" si="51"/>
        <v>0</v>
      </c>
      <c r="Q260" s="61">
        <f t="shared" si="51"/>
        <v>0</v>
      </c>
      <c r="R260" s="61">
        <f t="shared" si="51"/>
        <v>0</v>
      </c>
      <c r="S260" s="61">
        <f t="shared" si="51"/>
        <v>0</v>
      </c>
      <c r="T260" s="61">
        <f t="shared" si="51"/>
        <v>0</v>
      </c>
      <c r="U260" s="61">
        <f t="shared" si="51"/>
        <v>0</v>
      </c>
      <c r="V260" s="61">
        <f t="shared" si="51"/>
        <v>0</v>
      </c>
      <c r="W260" s="61">
        <f t="shared" si="51"/>
        <v>0</v>
      </c>
      <c r="X260" s="61">
        <f t="shared" si="51"/>
        <v>0</v>
      </c>
      <c r="Y260" s="61">
        <f t="shared" si="51"/>
        <v>0</v>
      </c>
      <c r="Z260" s="61">
        <f t="shared" si="51"/>
        <v>0</v>
      </c>
      <c r="AA260" s="61">
        <f t="shared" si="51"/>
        <v>0</v>
      </c>
      <c r="AB260" s="61">
        <f t="shared" si="51"/>
        <v>0</v>
      </c>
      <c r="AC260" s="61">
        <f t="shared" si="52"/>
        <v>0</v>
      </c>
      <c r="AD260" s="61">
        <f t="shared" si="52"/>
        <v>0</v>
      </c>
      <c r="AE260" s="61">
        <f t="shared" si="52"/>
        <v>0</v>
      </c>
      <c r="AF260" s="61">
        <f t="shared" si="52"/>
        <v>0</v>
      </c>
      <c r="AG260" s="61"/>
      <c r="AH260" s="61">
        <f t="shared" si="52"/>
        <v>0</v>
      </c>
      <c r="AI260" s="61">
        <f t="shared" si="52"/>
        <v>0</v>
      </c>
      <c r="AJ260" s="61">
        <f t="shared" si="52"/>
        <v>0</v>
      </c>
      <c r="AK260" s="61">
        <f t="shared" si="52"/>
        <v>0</v>
      </c>
      <c r="AL260" s="61">
        <f t="shared" si="52"/>
        <v>0</v>
      </c>
      <c r="AM260" s="61">
        <f t="shared" si="52"/>
        <v>0</v>
      </c>
      <c r="AN260" s="61">
        <f t="shared" si="52"/>
        <v>0</v>
      </c>
      <c r="AO260" s="61">
        <f t="shared" si="52"/>
        <v>0</v>
      </c>
      <c r="AP260" s="61">
        <f t="shared" si="52"/>
        <v>0</v>
      </c>
      <c r="AQ260" s="61"/>
    </row>
    <row r="261" spans="2:43" x14ac:dyDescent="0.25">
      <c r="B261" s="54">
        <v>0.375</v>
      </c>
      <c r="C261" s="54">
        <v>0.72916666671517405</v>
      </c>
      <c r="D261" s="60"/>
      <c r="E261" s="91"/>
      <c r="F261" s="91">
        <f>SUMMARY!AU51</f>
        <v>0</v>
      </c>
      <c r="G261" s="91">
        <f>SUMMARY!AN51</f>
        <v>0</v>
      </c>
      <c r="H261" s="92">
        <f>SUM(E261:G261)</f>
        <v>0</v>
      </c>
      <c r="I261" s="180">
        <f>Q$255-Q$256</f>
        <v>0</v>
      </c>
      <c r="M261" s="61">
        <f t="shared" si="51"/>
        <v>0</v>
      </c>
      <c r="N261" s="61">
        <f t="shared" si="51"/>
        <v>0</v>
      </c>
      <c r="O261" s="61">
        <f t="shared" si="51"/>
        <v>0</v>
      </c>
      <c r="P261" s="61">
        <f t="shared" si="51"/>
        <v>0</v>
      </c>
      <c r="Q261" s="61">
        <f t="shared" si="51"/>
        <v>0</v>
      </c>
      <c r="R261" s="61">
        <f t="shared" si="51"/>
        <v>0</v>
      </c>
      <c r="S261" s="61">
        <f t="shared" si="51"/>
        <v>0</v>
      </c>
      <c r="T261" s="61">
        <f t="shared" si="51"/>
        <v>0</v>
      </c>
      <c r="U261" s="61">
        <f t="shared" si="51"/>
        <v>0</v>
      </c>
      <c r="V261" s="61">
        <f t="shared" si="51"/>
        <v>0</v>
      </c>
      <c r="W261" s="61">
        <f t="shared" si="51"/>
        <v>0</v>
      </c>
      <c r="X261" s="61">
        <f t="shared" si="51"/>
        <v>0</v>
      </c>
      <c r="Y261" s="61">
        <f t="shared" si="51"/>
        <v>0</v>
      </c>
      <c r="Z261" s="61">
        <f t="shared" si="51"/>
        <v>0</v>
      </c>
      <c r="AA261" s="61">
        <f t="shared" si="51"/>
        <v>0</v>
      </c>
      <c r="AB261" s="61">
        <f t="shared" si="51"/>
        <v>0</v>
      </c>
      <c r="AC261" s="61">
        <f t="shared" si="52"/>
        <v>0</v>
      </c>
      <c r="AD261" s="61">
        <f t="shared" si="52"/>
        <v>0</v>
      </c>
      <c r="AE261" s="61">
        <f t="shared" si="52"/>
        <v>0</v>
      </c>
      <c r="AF261" s="61">
        <f t="shared" si="52"/>
        <v>0</v>
      </c>
      <c r="AG261" s="61">
        <f t="shared" si="52"/>
        <v>0</v>
      </c>
      <c r="AH261" s="61">
        <f t="shared" si="52"/>
        <v>0</v>
      </c>
      <c r="AI261" s="61">
        <f t="shared" si="52"/>
        <v>0</v>
      </c>
      <c r="AJ261" s="61">
        <f t="shared" si="52"/>
        <v>0</v>
      </c>
      <c r="AK261" s="61">
        <f t="shared" si="52"/>
        <v>0</v>
      </c>
      <c r="AL261" s="61">
        <f t="shared" si="52"/>
        <v>0</v>
      </c>
      <c r="AM261" s="61">
        <f t="shared" si="52"/>
        <v>0</v>
      </c>
      <c r="AN261" s="61">
        <f t="shared" si="52"/>
        <v>0</v>
      </c>
      <c r="AO261" s="61">
        <f t="shared" si="52"/>
        <v>0</v>
      </c>
      <c r="AP261" s="61">
        <f t="shared" si="52"/>
        <v>0</v>
      </c>
      <c r="AQ261" s="61"/>
    </row>
    <row r="262" spans="2:43" x14ac:dyDescent="0.25">
      <c r="B262" s="54">
        <v>0.39583333333575865</v>
      </c>
      <c r="C262" s="54">
        <v>0.75000000005093304</v>
      </c>
      <c r="D262" s="60"/>
      <c r="E262" s="91"/>
      <c r="F262" s="91">
        <f>SUMMARY!AU52</f>
        <v>0</v>
      </c>
      <c r="G262" s="91">
        <f>SUMMARY!AN52</f>
        <v>0</v>
      </c>
      <c r="H262" s="92">
        <f t="shared" si="50"/>
        <v>0</v>
      </c>
      <c r="I262" s="180">
        <f>R$255-R$256</f>
        <v>0</v>
      </c>
      <c r="M262" s="61">
        <f t="shared" si="51"/>
        <v>0</v>
      </c>
      <c r="N262" s="61">
        <f t="shared" si="51"/>
        <v>0</v>
      </c>
      <c r="O262" s="61">
        <f t="shared" si="51"/>
        <v>0</v>
      </c>
      <c r="P262" s="61">
        <f t="shared" si="51"/>
        <v>0</v>
      </c>
      <c r="Q262" s="61">
        <f t="shared" si="51"/>
        <v>0</v>
      </c>
      <c r="R262" s="61">
        <f t="shared" si="51"/>
        <v>0</v>
      </c>
      <c r="S262" s="61">
        <f t="shared" si="51"/>
        <v>0</v>
      </c>
      <c r="T262" s="61">
        <f t="shared" si="51"/>
        <v>0</v>
      </c>
      <c r="U262" s="61">
        <f t="shared" si="51"/>
        <v>0</v>
      </c>
      <c r="V262" s="61">
        <f t="shared" si="51"/>
        <v>0</v>
      </c>
      <c r="W262" s="61">
        <f t="shared" si="51"/>
        <v>0</v>
      </c>
      <c r="X262" s="61">
        <f t="shared" si="51"/>
        <v>0</v>
      </c>
      <c r="Y262" s="61">
        <f t="shared" si="51"/>
        <v>0</v>
      </c>
      <c r="Z262" s="61">
        <f t="shared" si="51"/>
        <v>0</v>
      </c>
      <c r="AA262" s="61">
        <f t="shared" si="51"/>
        <v>0</v>
      </c>
      <c r="AB262" s="61">
        <f t="shared" si="51"/>
        <v>0</v>
      </c>
      <c r="AC262" s="61">
        <f t="shared" si="52"/>
        <v>0</v>
      </c>
      <c r="AD262" s="61">
        <f t="shared" si="52"/>
        <v>0</v>
      </c>
      <c r="AE262" s="61">
        <f t="shared" si="52"/>
        <v>0</v>
      </c>
      <c r="AF262" s="61">
        <f t="shared" si="52"/>
        <v>0</v>
      </c>
      <c r="AG262" s="61">
        <f t="shared" si="52"/>
        <v>0</v>
      </c>
      <c r="AH262" s="61">
        <f t="shared" si="52"/>
        <v>0</v>
      </c>
      <c r="AI262" s="61">
        <f t="shared" si="52"/>
        <v>0</v>
      </c>
      <c r="AJ262" s="61">
        <f t="shared" si="52"/>
        <v>0</v>
      </c>
      <c r="AK262" s="61">
        <f t="shared" si="52"/>
        <v>0</v>
      </c>
      <c r="AL262" s="61">
        <f t="shared" si="52"/>
        <v>0</v>
      </c>
      <c r="AM262" s="61">
        <f t="shared" si="52"/>
        <v>0</v>
      </c>
      <c r="AN262" s="61">
        <f t="shared" si="52"/>
        <v>0</v>
      </c>
      <c r="AO262" s="61">
        <f t="shared" si="52"/>
        <v>0</v>
      </c>
      <c r="AP262" s="61">
        <f t="shared" si="52"/>
        <v>0</v>
      </c>
      <c r="AQ262" s="61"/>
    </row>
    <row r="263" spans="2:43" x14ac:dyDescent="0.25">
      <c r="B263" s="54">
        <v>0.41666666666424135</v>
      </c>
      <c r="C263" s="54">
        <v>0.77083333338669202</v>
      </c>
      <c r="D263" s="60"/>
      <c r="E263" s="91"/>
      <c r="F263" s="91">
        <f>SUMMARY!AU53</f>
        <v>0</v>
      </c>
      <c r="G263" s="91">
        <f>SUMMARY!AN53</f>
        <v>0</v>
      </c>
      <c r="H263" s="92">
        <f t="shared" si="50"/>
        <v>0</v>
      </c>
      <c r="I263" s="180">
        <f>S$255-S$256</f>
        <v>0</v>
      </c>
      <c r="M263" s="61">
        <f t="shared" si="51"/>
        <v>0</v>
      </c>
      <c r="N263" s="61">
        <f t="shared" si="51"/>
        <v>0</v>
      </c>
      <c r="O263" s="61">
        <f t="shared" si="51"/>
        <v>0</v>
      </c>
      <c r="P263" s="61">
        <f t="shared" si="51"/>
        <v>0</v>
      </c>
      <c r="Q263" s="61">
        <f t="shared" si="51"/>
        <v>0</v>
      </c>
      <c r="R263" s="61">
        <f t="shared" si="51"/>
        <v>0</v>
      </c>
      <c r="S263" s="61">
        <f t="shared" si="51"/>
        <v>0</v>
      </c>
      <c r="T263" s="61">
        <f t="shared" si="51"/>
        <v>0</v>
      </c>
      <c r="U263" s="61">
        <f t="shared" si="51"/>
        <v>0</v>
      </c>
      <c r="V263" s="61">
        <f t="shared" si="51"/>
        <v>0</v>
      </c>
      <c r="W263" s="61">
        <f t="shared" si="51"/>
        <v>0</v>
      </c>
      <c r="X263" s="61">
        <f t="shared" si="51"/>
        <v>0</v>
      </c>
      <c r="Y263" s="61">
        <f t="shared" si="51"/>
        <v>0</v>
      </c>
      <c r="Z263" s="61">
        <f t="shared" si="51"/>
        <v>0</v>
      </c>
      <c r="AA263" s="61">
        <f t="shared" si="51"/>
        <v>0</v>
      </c>
      <c r="AB263" s="61">
        <f t="shared" si="51"/>
        <v>0</v>
      </c>
      <c r="AC263" s="61">
        <f t="shared" si="52"/>
        <v>0</v>
      </c>
      <c r="AD263" s="61">
        <f t="shared" si="52"/>
        <v>0</v>
      </c>
      <c r="AE263" s="61">
        <f t="shared" si="52"/>
        <v>0</v>
      </c>
      <c r="AF263" s="61">
        <f t="shared" si="52"/>
        <v>0</v>
      </c>
      <c r="AG263" s="61">
        <f t="shared" si="52"/>
        <v>0</v>
      </c>
      <c r="AH263" s="61">
        <f t="shared" si="52"/>
        <v>0</v>
      </c>
      <c r="AI263" s="61">
        <f t="shared" si="52"/>
        <v>0</v>
      </c>
      <c r="AJ263" s="61">
        <f t="shared" si="52"/>
        <v>0</v>
      </c>
      <c r="AK263" s="61">
        <f t="shared" si="52"/>
        <v>0</v>
      </c>
      <c r="AL263" s="61">
        <f t="shared" si="52"/>
        <v>0</v>
      </c>
      <c r="AM263" s="61">
        <f t="shared" si="52"/>
        <v>0</v>
      </c>
      <c r="AN263" s="61">
        <f t="shared" si="52"/>
        <v>0</v>
      </c>
      <c r="AO263" s="61">
        <f t="shared" si="52"/>
        <v>0</v>
      </c>
      <c r="AP263" s="61">
        <f t="shared" si="52"/>
        <v>0</v>
      </c>
      <c r="AQ263" s="61"/>
    </row>
    <row r="264" spans="2:43" x14ac:dyDescent="0.25">
      <c r="B264" s="54">
        <v>0.4375</v>
      </c>
      <c r="C264" s="54">
        <v>0.79166666672245101</v>
      </c>
      <c r="D264" s="60"/>
      <c r="E264" s="91"/>
      <c r="F264" s="91">
        <f>SUMMARY!AU54</f>
        <v>0</v>
      </c>
      <c r="G264" s="91">
        <f>SUMMARY!AN54</f>
        <v>0</v>
      </c>
      <c r="H264" s="92">
        <f t="shared" si="50"/>
        <v>0</v>
      </c>
      <c r="I264" s="180">
        <f>T$255-T$256</f>
        <v>0</v>
      </c>
      <c r="M264" s="61">
        <f t="shared" si="51"/>
        <v>0</v>
      </c>
      <c r="N264" s="61">
        <f t="shared" si="51"/>
        <v>0</v>
      </c>
      <c r="O264" s="61">
        <f t="shared" si="51"/>
        <v>0</v>
      </c>
      <c r="P264" s="61">
        <f t="shared" si="51"/>
        <v>0</v>
      </c>
      <c r="Q264" s="61">
        <f t="shared" si="51"/>
        <v>0</v>
      </c>
      <c r="R264" s="61">
        <f t="shared" si="51"/>
        <v>0</v>
      </c>
      <c r="S264" s="61">
        <f t="shared" si="51"/>
        <v>0</v>
      </c>
      <c r="T264" s="61">
        <f t="shared" si="51"/>
        <v>0</v>
      </c>
      <c r="U264" s="61">
        <f t="shared" si="51"/>
        <v>0</v>
      </c>
      <c r="V264" s="61">
        <f t="shared" si="51"/>
        <v>0</v>
      </c>
      <c r="W264" s="61">
        <f t="shared" si="51"/>
        <v>0</v>
      </c>
      <c r="X264" s="61">
        <f t="shared" si="51"/>
        <v>0</v>
      </c>
      <c r="Y264" s="61">
        <f t="shared" si="51"/>
        <v>0</v>
      </c>
      <c r="Z264" s="61">
        <f t="shared" si="51"/>
        <v>0</v>
      </c>
      <c r="AA264" s="61">
        <f t="shared" si="51"/>
        <v>0</v>
      </c>
      <c r="AB264" s="61">
        <f t="shared" si="51"/>
        <v>0</v>
      </c>
      <c r="AC264" s="61">
        <f t="shared" si="52"/>
        <v>0</v>
      </c>
      <c r="AD264" s="61">
        <f t="shared" si="52"/>
        <v>0</v>
      </c>
      <c r="AE264" s="61">
        <f t="shared" si="52"/>
        <v>0</v>
      </c>
      <c r="AF264" s="61">
        <f t="shared" si="52"/>
        <v>0</v>
      </c>
      <c r="AG264" s="61">
        <f t="shared" si="52"/>
        <v>0</v>
      </c>
      <c r="AH264" s="61">
        <f t="shared" si="52"/>
        <v>0</v>
      </c>
      <c r="AI264" s="61">
        <f t="shared" si="52"/>
        <v>0</v>
      </c>
      <c r="AJ264" s="61">
        <f t="shared" si="52"/>
        <v>0</v>
      </c>
      <c r="AK264" s="61">
        <f t="shared" si="52"/>
        <v>0</v>
      </c>
      <c r="AL264" s="61">
        <f t="shared" si="52"/>
        <v>0</v>
      </c>
      <c r="AM264" s="61">
        <f t="shared" si="52"/>
        <v>0</v>
      </c>
      <c r="AN264" s="61">
        <f t="shared" si="52"/>
        <v>0</v>
      </c>
      <c r="AO264" s="61">
        <f t="shared" si="52"/>
        <v>0</v>
      </c>
      <c r="AP264" s="61">
        <f t="shared" si="52"/>
        <v>0</v>
      </c>
      <c r="AQ264" s="61"/>
    </row>
    <row r="265" spans="2:43" x14ac:dyDescent="0.25">
      <c r="B265" s="54">
        <v>0.45833333333575865</v>
      </c>
      <c r="C265" s="54">
        <v>0.81250000005820999</v>
      </c>
      <c r="D265" s="60"/>
      <c r="E265" s="91"/>
      <c r="F265" s="91">
        <f>SUMMARY!AU55</f>
        <v>0</v>
      </c>
      <c r="G265" s="91">
        <f>SUMMARY!AN55</f>
        <v>0</v>
      </c>
      <c r="H265" s="92">
        <f t="shared" si="50"/>
        <v>0</v>
      </c>
      <c r="I265" s="180">
        <f>U$255-U$256</f>
        <v>0</v>
      </c>
      <c r="M265" s="61">
        <f t="shared" si="51"/>
        <v>0</v>
      </c>
      <c r="N265" s="61">
        <f t="shared" si="51"/>
        <v>0</v>
      </c>
      <c r="O265" s="61">
        <f t="shared" si="51"/>
        <v>0</v>
      </c>
      <c r="P265" s="61">
        <f t="shared" si="51"/>
        <v>0</v>
      </c>
      <c r="Q265" s="61">
        <f t="shared" si="51"/>
        <v>0</v>
      </c>
      <c r="R265" s="61">
        <f t="shared" si="51"/>
        <v>0</v>
      </c>
      <c r="S265" s="61">
        <f t="shared" si="51"/>
        <v>0</v>
      </c>
      <c r="T265" s="61">
        <f t="shared" si="51"/>
        <v>0</v>
      </c>
      <c r="U265" s="61">
        <f t="shared" si="51"/>
        <v>0</v>
      </c>
      <c r="V265" s="61">
        <f t="shared" si="51"/>
        <v>0</v>
      </c>
      <c r="W265" s="61">
        <f t="shared" si="51"/>
        <v>0</v>
      </c>
      <c r="X265" s="61">
        <f t="shared" si="51"/>
        <v>0</v>
      </c>
      <c r="Y265" s="61">
        <f t="shared" si="51"/>
        <v>0</v>
      </c>
      <c r="Z265" s="61">
        <f t="shared" si="51"/>
        <v>0</v>
      </c>
      <c r="AA265" s="61">
        <f t="shared" si="51"/>
        <v>0</v>
      </c>
      <c r="AB265" s="61">
        <f t="shared" si="51"/>
        <v>0</v>
      </c>
      <c r="AC265" s="61">
        <f t="shared" si="52"/>
        <v>0</v>
      </c>
      <c r="AD265" s="61">
        <f t="shared" si="52"/>
        <v>0</v>
      </c>
      <c r="AE265" s="61">
        <f t="shared" si="52"/>
        <v>0</v>
      </c>
      <c r="AF265" s="61">
        <f t="shared" si="52"/>
        <v>0</v>
      </c>
      <c r="AG265" s="61">
        <f t="shared" si="52"/>
        <v>0</v>
      </c>
      <c r="AH265" s="61">
        <f t="shared" si="52"/>
        <v>0</v>
      </c>
      <c r="AI265" s="61">
        <f t="shared" si="52"/>
        <v>0</v>
      </c>
      <c r="AJ265" s="61">
        <f t="shared" si="52"/>
        <v>0</v>
      </c>
      <c r="AK265" s="61">
        <f t="shared" si="52"/>
        <v>0</v>
      </c>
      <c r="AL265" s="61">
        <f t="shared" si="52"/>
        <v>0</v>
      </c>
      <c r="AM265" s="61">
        <f t="shared" si="52"/>
        <v>0</v>
      </c>
      <c r="AN265" s="61">
        <f t="shared" si="52"/>
        <v>0</v>
      </c>
      <c r="AO265" s="61">
        <f t="shared" si="52"/>
        <v>0</v>
      </c>
      <c r="AP265" s="61">
        <f t="shared" si="52"/>
        <v>0</v>
      </c>
      <c r="AQ265" s="61"/>
    </row>
    <row r="266" spans="2:43" x14ac:dyDescent="0.25">
      <c r="B266" s="54">
        <v>0.47916666666424135</v>
      </c>
      <c r="C266" s="54">
        <v>0.83333333339396898</v>
      </c>
      <c r="D266" s="60"/>
      <c r="E266" s="91"/>
      <c r="F266" s="91"/>
      <c r="G266" s="91">
        <f>SUMMARY!AN56</f>
        <v>0</v>
      </c>
      <c r="H266" s="92">
        <f t="shared" si="50"/>
        <v>0</v>
      </c>
      <c r="I266" s="180">
        <f>V$255-V$256</f>
        <v>0</v>
      </c>
      <c r="M266" s="61">
        <f t="shared" si="51"/>
        <v>0</v>
      </c>
      <c r="N266" s="61">
        <f t="shared" si="51"/>
        <v>0</v>
      </c>
      <c r="O266" s="61">
        <f t="shared" si="51"/>
        <v>0</v>
      </c>
      <c r="P266" s="61">
        <f t="shared" si="51"/>
        <v>0</v>
      </c>
      <c r="Q266" s="61">
        <f t="shared" si="51"/>
        <v>0</v>
      </c>
      <c r="R266" s="61">
        <f t="shared" si="51"/>
        <v>0</v>
      </c>
      <c r="S266" s="61">
        <f t="shared" si="51"/>
        <v>0</v>
      </c>
      <c r="T266" s="61">
        <f t="shared" si="51"/>
        <v>0</v>
      </c>
      <c r="U266" s="61">
        <f t="shared" si="51"/>
        <v>0</v>
      </c>
      <c r="V266" s="61">
        <f t="shared" si="51"/>
        <v>0</v>
      </c>
      <c r="W266" s="61">
        <f t="shared" si="51"/>
        <v>0</v>
      </c>
      <c r="X266" s="61">
        <f t="shared" si="51"/>
        <v>0</v>
      </c>
      <c r="Y266" s="61">
        <f t="shared" si="51"/>
        <v>0</v>
      </c>
      <c r="Z266" s="61">
        <f t="shared" si="51"/>
        <v>0</v>
      </c>
      <c r="AA266" s="61">
        <f t="shared" si="51"/>
        <v>0</v>
      </c>
      <c r="AB266" s="61">
        <f t="shared" si="51"/>
        <v>0</v>
      </c>
      <c r="AC266" s="61">
        <f t="shared" si="52"/>
        <v>0</v>
      </c>
      <c r="AD266" s="61">
        <f t="shared" si="52"/>
        <v>0</v>
      </c>
      <c r="AE266" s="61">
        <f t="shared" si="52"/>
        <v>0</v>
      </c>
      <c r="AF266" s="61">
        <f t="shared" si="52"/>
        <v>0</v>
      </c>
      <c r="AG266" s="61">
        <f t="shared" si="52"/>
        <v>0</v>
      </c>
      <c r="AH266" s="61">
        <f t="shared" si="52"/>
        <v>0</v>
      </c>
      <c r="AI266" s="61">
        <f t="shared" si="52"/>
        <v>0</v>
      </c>
      <c r="AJ266" s="61">
        <f t="shared" si="52"/>
        <v>0</v>
      </c>
      <c r="AK266" s="61">
        <f t="shared" si="52"/>
        <v>0</v>
      </c>
      <c r="AL266" s="61">
        <f t="shared" si="52"/>
        <v>0</v>
      </c>
      <c r="AM266" s="61">
        <f t="shared" si="52"/>
        <v>0</v>
      </c>
      <c r="AN266" s="61">
        <f t="shared" si="52"/>
        <v>0</v>
      </c>
      <c r="AO266" s="61">
        <f t="shared" si="52"/>
        <v>0</v>
      </c>
      <c r="AP266" s="61">
        <f t="shared" si="52"/>
        <v>0</v>
      </c>
      <c r="AQ266" s="61"/>
    </row>
    <row r="267" spans="2:43" x14ac:dyDescent="0.25">
      <c r="B267" s="54">
        <v>0.5</v>
      </c>
      <c r="C267" s="54">
        <v>0.85416666672972796</v>
      </c>
      <c r="D267" s="60"/>
      <c r="E267" s="91"/>
      <c r="F267" s="91"/>
      <c r="G267" s="91">
        <f>SUMMARY!AN57</f>
        <v>0</v>
      </c>
      <c r="H267" s="92">
        <f t="shared" si="50"/>
        <v>0</v>
      </c>
      <c r="I267" s="180">
        <f>W$255-W$256</f>
        <v>0</v>
      </c>
      <c r="M267" s="61">
        <f t="shared" si="51"/>
        <v>0</v>
      </c>
      <c r="N267" s="61">
        <f t="shared" si="51"/>
        <v>0</v>
      </c>
      <c r="O267" s="61">
        <f t="shared" si="51"/>
        <v>0</v>
      </c>
      <c r="P267" s="61">
        <f t="shared" si="51"/>
        <v>0</v>
      </c>
      <c r="Q267" s="61">
        <f t="shared" si="51"/>
        <v>0</v>
      </c>
      <c r="R267" s="61">
        <f t="shared" si="51"/>
        <v>0</v>
      </c>
      <c r="S267" s="61">
        <f t="shared" si="51"/>
        <v>0</v>
      </c>
      <c r="T267" s="61">
        <f t="shared" si="51"/>
        <v>0</v>
      </c>
      <c r="U267" s="61">
        <f t="shared" si="51"/>
        <v>0</v>
      </c>
      <c r="V267" s="61">
        <f t="shared" si="51"/>
        <v>0</v>
      </c>
      <c r="W267" s="61">
        <f t="shared" si="51"/>
        <v>0</v>
      </c>
      <c r="X267" s="61">
        <f t="shared" si="51"/>
        <v>0</v>
      </c>
      <c r="Y267" s="61">
        <f t="shared" si="51"/>
        <v>0</v>
      </c>
      <c r="Z267" s="61">
        <f t="shared" si="51"/>
        <v>0</v>
      </c>
      <c r="AA267" s="61">
        <f t="shared" si="51"/>
        <v>0</v>
      </c>
      <c r="AB267" s="61">
        <f t="shared" si="51"/>
        <v>0</v>
      </c>
      <c r="AC267" s="61">
        <f t="shared" si="52"/>
        <v>0</v>
      </c>
      <c r="AD267" s="61">
        <f t="shared" si="52"/>
        <v>0</v>
      </c>
      <c r="AE267" s="61">
        <f t="shared" si="52"/>
        <v>0</v>
      </c>
      <c r="AF267" s="61">
        <f t="shared" si="52"/>
        <v>0</v>
      </c>
      <c r="AG267" s="61">
        <f t="shared" si="52"/>
        <v>0</v>
      </c>
      <c r="AH267" s="61">
        <f t="shared" si="52"/>
        <v>0</v>
      </c>
      <c r="AI267" s="61">
        <f t="shared" si="52"/>
        <v>0</v>
      </c>
      <c r="AJ267" s="61">
        <f t="shared" si="52"/>
        <v>0</v>
      </c>
      <c r="AK267" s="61">
        <f t="shared" si="52"/>
        <v>0</v>
      </c>
      <c r="AL267" s="61">
        <f t="shared" si="52"/>
        <v>0</v>
      </c>
      <c r="AM267" s="61">
        <f t="shared" si="52"/>
        <v>0</v>
      </c>
      <c r="AN267" s="61">
        <f t="shared" si="52"/>
        <v>0</v>
      </c>
      <c r="AO267" s="61">
        <f t="shared" si="52"/>
        <v>0</v>
      </c>
      <c r="AP267" s="61">
        <f t="shared" si="52"/>
        <v>0</v>
      </c>
      <c r="AQ267" s="61"/>
    </row>
    <row r="268" spans="2:43" x14ac:dyDescent="0.25">
      <c r="B268" s="54">
        <v>0.52083333333575865</v>
      </c>
      <c r="C268" s="54">
        <v>0.87500000006548695</v>
      </c>
      <c r="D268" s="60"/>
      <c r="E268" s="91"/>
      <c r="F268" s="91"/>
      <c r="G268" s="91">
        <f>SUMMARY!AN58</f>
        <v>0</v>
      </c>
      <c r="H268" s="92">
        <f t="shared" si="50"/>
        <v>0</v>
      </c>
      <c r="I268" s="180">
        <f>X$255-X$256</f>
        <v>0</v>
      </c>
      <c r="M268" s="61">
        <f t="shared" si="51"/>
        <v>0</v>
      </c>
      <c r="N268" s="61">
        <f t="shared" si="51"/>
        <v>0</v>
      </c>
      <c r="O268" s="61">
        <f t="shared" si="51"/>
        <v>0</v>
      </c>
      <c r="P268" s="61">
        <f t="shared" si="51"/>
        <v>0</v>
      </c>
      <c r="Q268" s="61">
        <f t="shared" si="51"/>
        <v>0</v>
      </c>
      <c r="R268" s="61">
        <f t="shared" si="51"/>
        <v>0</v>
      </c>
      <c r="S268" s="61">
        <f t="shared" si="51"/>
        <v>0</v>
      </c>
      <c r="T268" s="61">
        <f t="shared" si="51"/>
        <v>0</v>
      </c>
      <c r="U268" s="61">
        <f t="shared" si="51"/>
        <v>0</v>
      </c>
      <c r="V268" s="61">
        <f t="shared" si="51"/>
        <v>0</v>
      </c>
      <c r="W268" s="61">
        <f t="shared" si="51"/>
        <v>0</v>
      </c>
      <c r="X268" s="61">
        <f t="shared" si="51"/>
        <v>0</v>
      </c>
      <c r="Y268" s="61">
        <f t="shared" si="51"/>
        <v>0</v>
      </c>
      <c r="Z268" s="61">
        <f t="shared" si="51"/>
        <v>0</v>
      </c>
      <c r="AA268" s="61">
        <f t="shared" si="51"/>
        <v>0</v>
      </c>
      <c r="AB268" s="61">
        <f t="shared" si="51"/>
        <v>0</v>
      </c>
      <c r="AC268" s="61">
        <f t="shared" si="52"/>
        <v>0</v>
      </c>
      <c r="AD268" s="61">
        <f t="shared" si="52"/>
        <v>0</v>
      </c>
      <c r="AE268" s="61">
        <f t="shared" si="52"/>
        <v>0</v>
      </c>
      <c r="AF268" s="61">
        <f t="shared" si="52"/>
        <v>0</v>
      </c>
      <c r="AG268" s="61">
        <f t="shared" si="52"/>
        <v>0</v>
      </c>
      <c r="AH268" s="61">
        <f t="shared" si="52"/>
        <v>0</v>
      </c>
      <c r="AI268" s="61">
        <f t="shared" si="52"/>
        <v>0</v>
      </c>
      <c r="AJ268" s="61">
        <f t="shared" si="52"/>
        <v>0</v>
      </c>
      <c r="AK268" s="61">
        <f t="shared" si="52"/>
        <v>0</v>
      </c>
      <c r="AL268" s="61">
        <f t="shared" si="52"/>
        <v>0</v>
      </c>
      <c r="AM268" s="61">
        <f t="shared" si="52"/>
        <v>0</v>
      </c>
      <c r="AN268" s="61">
        <f t="shared" si="52"/>
        <v>0</v>
      </c>
      <c r="AO268" s="61">
        <f t="shared" si="52"/>
        <v>0</v>
      </c>
      <c r="AP268" s="61">
        <f t="shared" si="52"/>
        <v>0</v>
      </c>
      <c r="AQ268" s="61"/>
    </row>
    <row r="269" spans="2:43" x14ac:dyDescent="0.25">
      <c r="B269" s="54">
        <v>0.54166666666424135</v>
      </c>
      <c r="C269" s="54">
        <v>0.89583333340124605</v>
      </c>
      <c r="D269" s="60"/>
      <c r="E269" s="91"/>
      <c r="F269" s="91"/>
      <c r="G269" s="91">
        <f>SUMMARY!AN59</f>
        <v>0</v>
      </c>
      <c r="H269" s="92">
        <f t="shared" si="50"/>
        <v>0</v>
      </c>
      <c r="I269" s="180">
        <f>Y$255-Y$256</f>
        <v>0</v>
      </c>
      <c r="M269" s="61">
        <f t="shared" si="51"/>
        <v>0</v>
      </c>
      <c r="N269" s="61">
        <f t="shared" si="51"/>
        <v>0</v>
      </c>
      <c r="O269" s="61">
        <f t="shared" si="51"/>
        <v>0</v>
      </c>
      <c r="P269" s="61">
        <f t="shared" si="51"/>
        <v>0</v>
      </c>
      <c r="Q269" s="61">
        <f t="shared" si="51"/>
        <v>0</v>
      </c>
      <c r="R269" s="61">
        <f t="shared" si="51"/>
        <v>0</v>
      </c>
      <c r="S269" s="61">
        <f t="shared" si="51"/>
        <v>0</v>
      </c>
      <c r="T269" s="61">
        <f t="shared" si="51"/>
        <v>0</v>
      </c>
      <c r="U269" s="61">
        <f t="shared" si="51"/>
        <v>0</v>
      </c>
      <c r="V269" s="61">
        <f t="shared" si="51"/>
        <v>0</v>
      </c>
      <c r="W269" s="61">
        <f t="shared" si="51"/>
        <v>0</v>
      </c>
      <c r="X269" s="61">
        <f t="shared" si="51"/>
        <v>0</v>
      </c>
      <c r="Y269" s="61">
        <f t="shared" si="51"/>
        <v>0</v>
      </c>
      <c r="Z269" s="61">
        <f t="shared" si="51"/>
        <v>0</v>
      </c>
      <c r="AA269" s="61">
        <f t="shared" si="51"/>
        <v>0</v>
      </c>
      <c r="AB269" s="61">
        <f t="shared" si="51"/>
        <v>0</v>
      </c>
      <c r="AC269" s="61">
        <f t="shared" si="52"/>
        <v>0</v>
      </c>
      <c r="AD269" s="61">
        <f t="shared" si="52"/>
        <v>0</v>
      </c>
      <c r="AE269" s="61">
        <f t="shared" si="52"/>
        <v>0</v>
      </c>
      <c r="AF269" s="61">
        <f t="shared" si="52"/>
        <v>0</v>
      </c>
      <c r="AG269" s="61">
        <f t="shared" si="52"/>
        <v>0</v>
      </c>
      <c r="AH269" s="61">
        <f t="shared" si="52"/>
        <v>0</v>
      </c>
      <c r="AI269" s="61">
        <f t="shared" si="52"/>
        <v>0</v>
      </c>
      <c r="AJ269" s="61">
        <f t="shared" si="52"/>
        <v>0</v>
      </c>
      <c r="AK269" s="61">
        <f t="shared" si="52"/>
        <v>0</v>
      </c>
      <c r="AL269" s="61">
        <f t="shared" si="52"/>
        <v>0</v>
      </c>
      <c r="AM269" s="61">
        <f t="shared" si="52"/>
        <v>0</v>
      </c>
      <c r="AN269" s="61">
        <f t="shared" si="52"/>
        <v>0</v>
      </c>
      <c r="AO269" s="61">
        <f t="shared" si="52"/>
        <v>0</v>
      </c>
      <c r="AP269" s="61">
        <f t="shared" si="52"/>
        <v>0</v>
      </c>
      <c r="AQ269" s="61"/>
    </row>
    <row r="270" spans="2:43" x14ac:dyDescent="0.25">
      <c r="B270" s="54">
        <v>0.5625</v>
      </c>
      <c r="C270" s="54">
        <v>0.91666666673700503</v>
      </c>
      <c r="D270" s="60"/>
      <c r="E270" s="91"/>
      <c r="F270" s="91"/>
      <c r="G270" s="91"/>
      <c r="H270" s="92">
        <f t="shared" si="50"/>
        <v>0</v>
      </c>
      <c r="I270" s="180">
        <f>Z$255-Z$256</f>
        <v>0</v>
      </c>
      <c r="M270" s="61">
        <f t="shared" si="51"/>
        <v>0</v>
      </c>
      <c r="N270" s="61">
        <f t="shared" si="51"/>
        <v>0</v>
      </c>
      <c r="O270" s="61">
        <f t="shared" si="51"/>
        <v>0</v>
      </c>
      <c r="P270" s="61">
        <f t="shared" si="51"/>
        <v>0</v>
      </c>
      <c r="Q270" s="61">
        <f t="shared" si="51"/>
        <v>0</v>
      </c>
      <c r="R270" s="61">
        <f t="shared" si="51"/>
        <v>0</v>
      </c>
      <c r="S270" s="61">
        <f t="shared" si="51"/>
        <v>0</v>
      </c>
      <c r="T270" s="61">
        <f t="shared" si="51"/>
        <v>0</v>
      </c>
      <c r="U270" s="61">
        <f t="shared" si="51"/>
        <v>0</v>
      </c>
      <c r="V270" s="61">
        <f t="shared" si="51"/>
        <v>0</v>
      </c>
      <c r="W270" s="61">
        <f t="shared" si="51"/>
        <v>0</v>
      </c>
      <c r="X270" s="61">
        <f t="shared" si="51"/>
        <v>0</v>
      </c>
      <c r="Y270" s="61">
        <f t="shared" si="51"/>
        <v>0</v>
      </c>
      <c r="Z270" s="61">
        <f t="shared" si="51"/>
        <v>0</v>
      </c>
      <c r="AA270" s="61">
        <f t="shared" si="51"/>
        <v>0</v>
      </c>
      <c r="AB270" s="61">
        <f t="shared" si="51"/>
        <v>0</v>
      </c>
      <c r="AC270" s="61">
        <f t="shared" si="52"/>
        <v>0</v>
      </c>
      <c r="AD270" s="61">
        <f t="shared" si="52"/>
        <v>0</v>
      </c>
      <c r="AE270" s="61">
        <f t="shared" si="52"/>
        <v>0</v>
      </c>
      <c r="AF270" s="61">
        <f t="shared" si="52"/>
        <v>0</v>
      </c>
      <c r="AG270" s="61">
        <f t="shared" si="52"/>
        <v>0</v>
      </c>
      <c r="AH270" s="61">
        <f t="shared" si="52"/>
        <v>0</v>
      </c>
      <c r="AI270" s="61">
        <f t="shared" si="52"/>
        <v>0</v>
      </c>
      <c r="AJ270" s="61">
        <f t="shared" si="52"/>
        <v>0</v>
      </c>
      <c r="AK270" s="61">
        <f t="shared" si="52"/>
        <v>0</v>
      </c>
      <c r="AL270" s="61">
        <f t="shared" si="52"/>
        <v>0</v>
      </c>
      <c r="AM270" s="61">
        <f t="shared" si="52"/>
        <v>0</v>
      </c>
      <c r="AN270" s="61">
        <f t="shared" si="52"/>
        <v>0</v>
      </c>
      <c r="AO270" s="61">
        <f t="shared" si="52"/>
        <v>0</v>
      </c>
      <c r="AP270" s="61">
        <f t="shared" si="52"/>
        <v>0</v>
      </c>
      <c r="AQ270" s="61"/>
    </row>
    <row r="271" spans="2:43" x14ac:dyDescent="0.25">
      <c r="B271" s="54">
        <v>0.58333333333575899</v>
      </c>
      <c r="C271" s="54">
        <v>0.93750000007276402</v>
      </c>
      <c r="D271" s="60"/>
      <c r="E271" s="91"/>
      <c r="F271" s="91"/>
      <c r="G271" s="91"/>
      <c r="H271" s="92">
        <f t="shared" si="50"/>
        <v>0</v>
      </c>
      <c r="I271" s="180">
        <f>AA$255-AA$256</f>
        <v>0</v>
      </c>
      <c r="M271" s="61">
        <f t="shared" si="51"/>
        <v>0</v>
      </c>
      <c r="N271" s="61">
        <f t="shared" si="51"/>
        <v>0</v>
      </c>
      <c r="O271" s="61">
        <f t="shared" si="51"/>
        <v>0</v>
      </c>
      <c r="P271" s="61">
        <f t="shared" si="51"/>
        <v>0</v>
      </c>
      <c r="Q271" s="61">
        <f t="shared" si="51"/>
        <v>0</v>
      </c>
      <c r="R271" s="61">
        <f t="shared" si="51"/>
        <v>0</v>
      </c>
      <c r="S271" s="61">
        <f t="shared" si="51"/>
        <v>0</v>
      </c>
      <c r="T271" s="61">
        <f t="shared" si="51"/>
        <v>0</v>
      </c>
      <c r="U271" s="61">
        <f t="shared" si="51"/>
        <v>0</v>
      </c>
      <c r="V271" s="61">
        <f t="shared" si="51"/>
        <v>0</v>
      </c>
      <c r="W271" s="61">
        <f t="shared" si="51"/>
        <v>0</v>
      </c>
      <c r="X271" s="61">
        <f t="shared" si="51"/>
        <v>0</v>
      </c>
      <c r="Y271" s="61">
        <f t="shared" si="51"/>
        <v>0</v>
      </c>
      <c r="Z271" s="61">
        <f t="shared" si="51"/>
        <v>0</v>
      </c>
      <c r="AA271" s="61">
        <f t="shared" si="51"/>
        <v>0</v>
      </c>
      <c r="AB271" s="61">
        <f t="shared" si="51"/>
        <v>0</v>
      </c>
      <c r="AC271" s="61">
        <f t="shared" si="52"/>
        <v>0</v>
      </c>
      <c r="AD271" s="61">
        <f t="shared" si="52"/>
        <v>0</v>
      </c>
      <c r="AE271" s="61">
        <f t="shared" si="52"/>
        <v>0</v>
      </c>
      <c r="AF271" s="61">
        <f t="shared" si="52"/>
        <v>0</v>
      </c>
      <c r="AG271" s="61">
        <f t="shared" si="52"/>
        <v>0</v>
      </c>
      <c r="AH271" s="61">
        <f t="shared" si="52"/>
        <v>0</v>
      </c>
      <c r="AI271" s="61">
        <f t="shared" si="52"/>
        <v>0</v>
      </c>
      <c r="AJ271" s="61">
        <f t="shared" si="52"/>
        <v>0</v>
      </c>
      <c r="AK271" s="61">
        <f t="shared" si="52"/>
        <v>0</v>
      </c>
      <c r="AL271" s="61">
        <f t="shared" si="52"/>
        <v>0</v>
      </c>
      <c r="AM271" s="61">
        <f t="shared" si="52"/>
        <v>0</v>
      </c>
      <c r="AN271" s="61">
        <f t="shared" si="52"/>
        <v>0</v>
      </c>
      <c r="AO271" s="61">
        <f t="shared" si="52"/>
        <v>0</v>
      </c>
      <c r="AP271" s="61">
        <f t="shared" si="52"/>
        <v>0</v>
      </c>
      <c r="AQ271" s="61"/>
    </row>
    <row r="272" spans="2:43" x14ac:dyDescent="0.25">
      <c r="B272" s="54">
        <v>0.60416666667151697</v>
      </c>
      <c r="C272" s="54">
        <v>0.958333333408523</v>
      </c>
      <c r="D272" s="60"/>
      <c r="E272" s="91"/>
      <c r="F272" s="91"/>
      <c r="G272" s="91"/>
      <c r="H272" s="92">
        <f t="shared" si="50"/>
        <v>0</v>
      </c>
      <c r="I272" s="180">
        <f>AB$255-AB$256</f>
        <v>0</v>
      </c>
      <c r="M272" s="61">
        <f t="shared" si="51"/>
        <v>0</v>
      </c>
      <c r="N272" s="61">
        <f t="shared" si="51"/>
        <v>0</v>
      </c>
      <c r="O272" s="61">
        <f t="shared" si="51"/>
        <v>0</v>
      </c>
      <c r="P272" s="61">
        <f t="shared" si="51"/>
        <v>0</v>
      </c>
      <c r="Q272" s="61">
        <f t="shared" si="51"/>
        <v>0</v>
      </c>
      <c r="R272" s="61">
        <f t="shared" si="51"/>
        <v>0</v>
      </c>
      <c r="S272" s="61">
        <f t="shared" si="51"/>
        <v>0</v>
      </c>
      <c r="T272" s="61">
        <f t="shared" si="51"/>
        <v>0</v>
      </c>
      <c r="U272" s="61">
        <f t="shared" si="51"/>
        <v>0</v>
      </c>
      <c r="V272" s="61">
        <f t="shared" si="51"/>
        <v>0</v>
      </c>
      <c r="W272" s="61">
        <f t="shared" si="51"/>
        <v>0</v>
      </c>
      <c r="X272" s="61">
        <f t="shared" si="51"/>
        <v>0</v>
      </c>
      <c r="Y272" s="61">
        <f t="shared" si="51"/>
        <v>0</v>
      </c>
      <c r="Z272" s="61">
        <f t="shared" si="51"/>
        <v>0</v>
      </c>
      <c r="AA272" s="61">
        <f t="shared" si="51"/>
        <v>0</v>
      </c>
      <c r="AB272" s="61">
        <f t="shared" ref="W272:AL286" si="53">IF(AND(AB$2&gt;=$B272,AB$2&lt;$C272),$E272,0)</f>
        <v>0</v>
      </c>
      <c r="AC272" s="61">
        <f t="shared" si="53"/>
        <v>0</v>
      </c>
      <c r="AD272" s="61">
        <f t="shared" si="53"/>
        <v>0</v>
      </c>
      <c r="AE272" s="61">
        <f t="shared" si="53"/>
        <v>0</v>
      </c>
      <c r="AF272" s="61">
        <f t="shared" si="52"/>
        <v>0</v>
      </c>
      <c r="AG272" s="61">
        <f t="shared" si="52"/>
        <v>0</v>
      </c>
      <c r="AH272" s="61">
        <f t="shared" si="52"/>
        <v>0</v>
      </c>
      <c r="AI272" s="61">
        <f t="shared" si="52"/>
        <v>0</v>
      </c>
      <c r="AJ272" s="61">
        <f t="shared" si="52"/>
        <v>0</v>
      </c>
      <c r="AK272" s="61">
        <f t="shared" si="52"/>
        <v>0</v>
      </c>
      <c r="AL272" s="61">
        <f t="shared" si="52"/>
        <v>0</v>
      </c>
      <c r="AM272" s="61">
        <f t="shared" si="52"/>
        <v>0</v>
      </c>
      <c r="AN272" s="61">
        <f t="shared" si="52"/>
        <v>0</v>
      </c>
      <c r="AO272" s="61">
        <f t="shared" si="52"/>
        <v>0</v>
      </c>
      <c r="AP272" s="61">
        <f t="shared" si="52"/>
        <v>0</v>
      </c>
      <c r="AQ272" s="61"/>
    </row>
    <row r="273" spans="2:43" x14ac:dyDescent="0.25">
      <c r="B273" s="54">
        <v>0.62500000000727596</v>
      </c>
      <c r="C273" s="54">
        <v>0.97916666674428199</v>
      </c>
      <c r="D273" s="60"/>
      <c r="E273" s="91"/>
      <c r="F273" s="91"/>
      <c r="G273" s="91"/>
      <c r="H273" s="92">
        <f t="shared" si="50"/>
        <v>0</v>
      </c>
      <c r="I273" s="180">
        <f>AC$255-AC$256</f>
        <v>0</v>
      </c>
      <c r="M273" s="61">
        <f t="shared" ref="M273:V286" si="54">IF(AND(M$2&gt;=$B273,M$2&lt;$C273),$E273,0)</f>
        <v>0</v>
      </c>
      <c r="N273" s="61">
        <f t="shared" si="54"/>
        <v>0</v>
      </c>
      <c r="O273" s="61">
        <f t="shared" si="54"/>
        <v>0</v>
      </c>
      <c r="P273" s="61">
        <f t="shared" si="54"/>
        <v>0</v>
      </c>
      <c r="Q273" s="61">
        <f t="shared" si="54"/>
        <v>0</v>
      </c>
      <c r="R273" s="61">
        <f t="shared" si="54"/>
        <v>0</v>
      </c>
      <c r="S273" s="61">
        <f t="shared" si="54"/>
        <v>0</v>
      </c>
      <c r="T273" s="61">
        <f t="shared" si="54"/>
        <v>0</v>
      </c>
      <c r="U273" s="61">
        <f t="shared" si="54"/>
        <v>0</v>
      </c>
      <c r="V273" s="61">
        <f t="shared" si="54"/>
        <v>0</v>
      </c>
      <c r="W273" s="61">
        <f t="shared" si="53"/>
        <v>0</v>
      </c>
      <c r="X273" s="61">
        <f t="shared" si="53"/>
        <v>0</v>
      </c>
      <c r="Y273" s="61">
        <f t="shared" si="53"/>
        <v>0</v>
      </c>
      <c r="Z273" s="61">
        <f t="shared" si="53"/>
        <v>0</v>
      </c>
      <c r="AA273" s="61">
        <f t="shared" si="53"/>
        <v>0</v>
      </c>
      <c r="AB273" s="61">
        <f t="shared" si="53"/>
        <v>0</v>
      </c>
      <c r="AC273" s="61">
        <f t="shared" si="53"/>
        <v>0</v>
      </c>
      <c r="AD273" s="61">
        <f t="shared" si="53"/>
        <v>0</v>
      </c>
      <c r="AE273" s="61">
        <f t="shared" si="53"/>
        <v>0</v>
      </c>
      <c r="AF273" s="61">
        <f t="shared" si="53"/>
        <v>0</v>
      </c>
      <c r="AG273" s="61">
        <f t="shared" si="53"/>
        <v>0</v>
      </c>
      <c r="AH273" s="61">
        <f t="shared" si="53"/>
        <v>0</v>
      </c>
      <c r="AI273" s="61">
        <f t="shared" si="53"/>
        <v>0</v>
      </c>
      <c r="AJ273" s="61">
        <f t="shared" si="53"/>
        <v>0</v>
      </c>
      <c r="AK273" s="61">
        <f t="shared" si="53"/>
        <v>0</v>
      </c>
      <c r="AL273" s="61">
        <f t="shared" si="53"/>
        <v>0</v>
      </c>
      <c r="AM273" s="61">
        <f t="shared" ref="AH273:AP286" si="55">IF(AND(AM$2&gt;=$B273,AM$2&lt;$C273),$E273,0)</f>
        <v>0</v>
      </c>
      <c r="AN273" s="61">
        <f t="shared" si="55"/>
        <v>0</v>
      </c>
      <c r="AO273" s="61">
        <f t="shared" si="55"/>
        <v>0</v>
      </c>
      <c r="AP273" s="61">
        <f t="shared" si="55"/>
        <v>0</v>
      </c>
      <c r="AQ273" s="61"/>
    </row>
    <row r="274" spans="2:43" x14ac:dyDescent="0.25">
      <c r="B274" s="54">
        <v>0.64583333334303406</v>
      </c>
      <c r="C274" s="54">
        <v>1.00000000008004</v>
      </c>
      <c r="D274" s="60"/>
      <c r="E274" s="91"/>
      <c r="F274" s="91"/>
      <c r="G274" s="91"/>
      <c r="H274" s="92">
        <f t="shared" si="50"/>
        <v>0</v>
      </c>
      <c r="I274" s="180">
        <f>AD$255-AD$256</f>
        <v>0</v>
      </c>
      <c r="M274" s="61">
        <f t="shared" si="54"/>
        <v>0</v>
      </c>
      <c r="N274" s="61">
        <f t="shared" si="54"/>
        <v>0</v>
      </c>
      <c r="O274" s="61">
        <f t="shared" si="54"/>
        <v>0</v>
      </c>
      <c r="P274" s="61">
        <f t="shared" si="54"/>
        <v>0</v>
      </c>
      <c r="Q274" s="61">
        <f t="shared" si="54"/>
        <v>0</v>
      </c>
      <c r="R274" s="61">
        <f t="shared" si="54"/>
        <v>0</v>
      </c>
      <c r="S274" s="61">
        <f t="shared" si="54"/>
        <v>0</v>
      </c>
      <c r="T274" s="61">
        <f t="shared" si="54"/>
        <v>0</v>
      </c>
      <c r="U274" s="61">
        <f t="shared" si="54"/>
        <v>0</v>
      </c>
      <c r="V274" s="61">
        <f t="shared" si="54"/>
        <v>0</v>
      </c>
      <c r="W274" s="61">
        <f t="shared" si="53"/>
        <v>0</v>
      </c>
      <c r="X274" s="61">
        <f t="shared" si="53"/>
        <v>0</v>
      </c>
      <c r="Y274" s="61">
        <f t="shared" si="53"/>
        <v>0</v>
      </c>
      <c r="Z274" s="61">
        <f t="shared" si="53"/>
        <v>0</v>
      </c>
      <c r="AA274" s="61">
        <f t="shared" si="53"/>
        <v>0</v>
      </c>
      <c r="AB274" s="61">
        <f t="shared" si="53"/>
        <v>0</v>
      </c>
      <c r="AC274" s="61">
        <f t="shared" si="53"/>
        <v>0</v>
      </c>
      <c r="AD274" s="61">
        <f t="shared" si="53"/>
        <v>0</v>
      </c>
      <c r="AE274" s="61">
        <f t="shared" si="53"/>
        <v>0</v>
      </c>
      <c r="AF274" s="61">
        <f t="shared" si="53"/>
        <v>0</v>
      </c>
      <c r="AG274" s="61">
        <f t="shared" si="53"/>
        <v>0</v>
      </c>
      <c r="AH274" s="61">
        <f t="shared" si="55"/>
        <v>0</v>
      </c>
      <c r="AI274" s="61">
        <f t="shared" si="55"/>
        <v>0</v>
      </c>
      <c r="AJ274" s="61">
        <f t="shared" si="55"/>
        <v>0</v>
      </c>
      <c r="AK274" s="61">
        <f t="shared" si="55"/>
        <v>0</v>
      </c>
      <c r="AL274" s="61">
        <f t="shared" si="55"/>
        <v>0</v>
      </c>
      <c r="AM274" s="61">
        <f t="shared" si="55"/>
        <v>0</v>
      </c>
      <c r="AN274" s="61">
        <f t="shared" si="55"/>
        <v>0</v>
      </c>
      <c r="AO274" s="61">
        <f t="shared" si="55"/>
        <v>0</v>
      </c>
      <c r="AP274" s="61">
        <f t="shared" si="55"/>
        <v>0</v>
      </c>
      <c r="AQ274" s="61"/>
    </row>
    <row r="275" spans="2:43" x14ac:dyDescent="0.25">
      <c r="B275" s="54">
        <v>0.66666666667879304</v>
      </c>
      <c r="C275" s="54">
        <v>1.0208333334158</v>
      </c>
      <c r="D275" s="60"/>
      <c r="E275" s="91"/>
      <c r="F275" s="91"/>
      <c r="G275" s="91"/>
      <c r="H275" s="92">
        <f t="shared" si="50"/>
        <v>0</v>
      </c>
      <c r="I275" s="180">
        <f>AE$255-AE$256</f>
        <v>0</v>
      </c>
      <c r="M275" s="61">
        <f t="shared" si="54"/>
        <v>0</v>
      </c>
      <c r="N275" s="61">
        <f t="shared" si="54"/>
        <v>0</v>
      </c>
      <c r="O275" s="61">
        <f t="shared" si="54"/>
        <v>0</v>
      </c>
      <c r="P275" s="61">
        <f t="shared" si="54"/>
        <v>0</v>
      </c>
      <c r="Q275" s="61">
        <f t="shared" si="54"/>
        <v>0</v>
      </c>
      <c r="R275" s="61">
        <f t="shared" si="54"/>
        <v>0</v>
      </c>
      <c r="S275" s="61">
        <f t="shared" si="54"/>
        <v>0</v>
      </c>
      <c r="T275" s="61">
        <f t="shared" si="54"/>
        <v>0</v>
      </c>
      <c r="U275" s="61">
        <f t="shared" si="54"/>
        <v>0</v>
      </c>
      <c r="V275" s="61">
        <f t="shared" si="54"/>
        <v>0</v>
      </c>
      <c r="W275" s="61">
        <f t="shared" si="53"/>
        <v>0</v>
      </c>
      <c r="X275" s="61">
        <f t="shared" si="53"/>
        <v>0</v>
      </c>
      <c r="Y275" s="61">
        <f t="shared" si="53"/>
        <v>0</v>
      </c>
      <c r="Z275" s="61">
        <f t="shared" si="53"/>
        <v>0</v>
      </c>
      <c r="AA275" s="61">
        <f t="shared" si="53"/>
        <v>0</v>
      </c>
      <c r="AB275" s="61">
        <f t="shared" si="53"/>
        <v>0</v>
      </c>
      <c r="AC275" s="61">
        <f t="shared" si="53"/>
        <v>0</v>
      </c>
      <c r="AD275" s="61">
        <f t="shared" si="53"/>
        <v>0</v>
      </c>
      <c r="AE275" s="61">
        <f t="shared" si="53"/>
        <v>0</v>
      </c>
      <c r="AF275" s="61">
        <f t="shared" si="53"/>
        <v>0</v>
      </c>
      <c r="AG275" s="61">
        <f t="shared" si="53"/>
        <v>0</v>
      </c>
      <c r="AH275" s="61">
        <f t="shared" si="55"/>
        <v>0</v>
      </c>
      <c r="AI275" s="61">
        <f t="shared" si="55"/>
        <v>0</v>
      </c>
      <c r="AJ275" s="61">
        <f t="shared" si="55"/>
        <v>0</v>
      </c>
      <c r="AK275" s="61">
        <f t="shared" si="55"/>
        <v>0</v>
      </c>
      <c r="AL275" s="61">
        <f t="shared" si="55"/>
        <v>0</v>
      </c>
      <c r="AM275" s="61">
        <f t="shared" si="55"/>
        <v>0</v>
      </c>
      <c r="AN275" s="61">
        <f t="shared" si="55"/>
        <v>0</v>
      </c>
      <c r="AO275" s="61">
        <f t="shared" si="55"/>
        <v>0</v>
      </c>
      <c r="AP275" s="61">
        <f t="shared" si="55"/>
        <v>0</v>
      </c>
      <c r="AQ275" s="61"/>
    </row>
    <row r="276" spans="2:43" x14ac:dyDescent="0.25">
      <c r="B276" s="54">
        <v>0.68750000001455203</v>
      </c>
      <c r="C276" s="54">
        <v>1.0416666667515599</v>
      </c>
      <c r="D276" s="60"/>
      <c r="E276" s="91"/>
      <c r="F276" s="91"/>
      <c r="G276" s="91"/>
      <c r="H276" s="92">
        <f t="shared" si="50"/>
        <v>0</v>
      </c>
      <c r="I276" s="180">
        <f>AF$255-AF$256</f>
        <v>0</v>
      </c>
      <c r="M276" s="61">
        <f t="shared" si="54"/>
        <v>0</v>
      </c>
      <c r="N276" s="61">
        <f t="shared" si="54"/>
        <v>0</v>
      </c>
      <c r="O276" s="61">
        <f t="shared" si="54"/>
        <v>0</v>
      </c>
      <c r="P276" s="61">
        <f t="shared" si="54"/>
        <v>0</v>
      </c>
      <c r="Q276" s="61">
        <f t="shared" si="54"/>
        <v>0</v>
      </c>
      <c r="R276" s="61">
        <f t="shared" si="54"/>
        <v>0</v>
      </c>
      <c r="S276" s="61">
        <f t="shared" si="54"/>
        <v>0</v>
      </c>
      <c r="T276" s="61">
        <f t="shared" si="54"/>
        <v>0</v>
      </c>
      <c r="U276" s="61">
        <f t="shared" si="54"/>
        <v>0</v>
      </c>
      <c r="V276" s="61">
        <f t="shared" si="54"/>
        <v>0</v>
      </c>
      <c r="W276" s="61">
        <f t="shared" si="53"/>
        <v>0</v>
      </c>
      <c r="X276" s="61">
        <f t="shared" si="53"/>
        <v>0</v>
      </c>
      <c r="Y276" s="61">
        <f t="shared" si="53"/>
        <v>0</v>
      </c>
      <c r="Z276" s="61">
        <f t="shared" si="53"/>
        <v>0</v>
      </c>
      <c r="AA276" s="61">
        <f t="shared" si="53"/>
        <v>0</v>
      </c>
      <c r="AB276" s="61">
        <f t="shared" si="53"/>
        <v>0</v>
      </c>
      <c r="AC276" s="61">
        <f t="shared" si="53"/>
        <v>0</v>
      </c>
      <c r="AD276" s="61">
        <f t="shared" si="53"/>
        <v>0</v>
      </c>
      <c r="AE276" s="61">
        <f t="shared" si="53"/>
        <v>0</v>
      </c>
      <c r="AF276" s="61">
        <f t="shared" si="53"/>
        <v>0</v>
      </c>
      <c r="AG276" s="61">
        <f t="shared" si="53"/>
        <v>0</v>
      </c>
      <c r="AH276" s="61">
        <f t="shared" si="55"/>
        <v>0</v>
      </c>
      <c r="AI276" s="61">
        <f t="shared" si="55"/>
        <v>0</v>
      </c>
      <c r="AJ276" s="61">
        <f t="shared" si="55"/>
        <v>0</v>
      </c>
      <c r="AK276" s="61">
        <f t="shared" si="55"/>
        <v>0</v>
      </c>
      <c r="AL276" s="61">
        <f t="shared" si="55"/>
        <v>0</v>
      </c>
      <c r="AM276" s="61">
        <f t="shared" si="55"/>
        <v>0</v>
      </c>
      <c r="AN276" s="61">
        <f t="shared" si="55"/>
        <v>0</v>
      </c>
      <c r="AO276" s="61">
        <f t="shared" si="55"/>
        <v>0</v>
      </c>
      <c r="AP276" s="61">
        <f t="shared" si="55"/>
        <v>0</v>
      </c>
      <c r="AQ276" s="61"/>
    </row>
    <row r="277" spans="2:43" x14ac:dyDescent="0.25">
      <c r="B277" s="54">
        <v>0.70833333335031001</v>
      </c>
      <c r="C277" s="54">
        <v>1.0625000000873199</v>
      </c>
      <c r="D277" s="60"/>
      <c r="E277" s="91"/>
      <c r="F277" s="91"/>
      <c r="G277" s="91"/>
      <c r="H277" s="92">
        <f t="shared" si="50"/>
        <v>0</v>
      </c>
      <c r="I277" s="180">
        <f>AG$255-AG$256</f>
        <v>0</v>
      </c>
      <c r="M277" s="61">
        <f t="shared" si="54"/>
        <v>0</v>
      </c>
      <c r="N277" s="61">
        <f t="shared" si="54"/>
        <v>0</v>
      </c>
      <c r="O277" s="61">
        <f t="shared" si="54"/>
        <v>0</v>
      </c>
      <c r="P277" s="61">
        <f t="shared" si="54"/>
        <v>0</v>
      </c>
      <c r="Q277" s="61">
        <f t="shared" si="54"/>
        <v>0</v>
      </c>
      <c r="R277" s="61">
        <f t="shared" si="54"/>
        <v>0</v>
      </c>
      <c r="S277" s="61">
        <f t="shared" si="54"/>
        <v>0</v>
      </c>
      <c r="T277" s="61">
        <f t="shared" si="54"/>
        <v>0</v>
      </c>
      <c r="U277" s="61">
        <f t="shared" si="54"/>
        <v>0</v>
      </c>
      <c r="V277" s="61">
        <f t="shared" si="54"/>
        <v>0</v>
      </c>
      <c r="W277" s="61">
        <f t="shared" si="53"/>
        <v>0</v>
      </c>
      <c r="X277" s="61">
        <f t="shared" si="53"/>
        <v>0</v>
      </c>
      <c r="Y277" s="61">
        <f t="shared" si="53"/>
        <v>0</v>
      </c>
      <c r="Z277" s="61">
        <f t="shared" si="53"/>
        <v>0</v>
      </c>
      <c r="AA277" s="61">
        <f t="shared" si="53"/>
        <v>0</v>
      </c>
      <c r="AB277" s="61">
        <f t="shared" si="53"/>
        <v>0</v>
      </c>
      <c r="AC277" s="61">
        <f t="shared" si="53"/>
        <v>0</v>
      </c>
      <c r="AD277" s="61">
        <f t="shared" si="53"/>
        <v>0</v>
      </c>
      <c r="AE277" s="61">
        <f t="shared" si="53"/>
        <v>0</v>
      </c>
      <c r="AF277" s="61">
        <f t="shared" si="53"/>
        <v>0</v>
      </c>
      <c r="AG277" s="61">
        <f t="shared" si="53"/>
        <v>0</v>
      </c>
      <c r="AH277" s="61">
        <f t="shared" si="55"/>
        <v>0</v>
      </c>
      <c r="AI277" s="61">
        <f t="shared" si="55"/>
        <v>0</v>
      </c>
      <c r="AJ277" s="61">
        <f t="shared" si="55"/>
        <v>0</v>
      </c>
      <c r="AK277" s="61">
        <f t="shared" si="55"/>
        <v>0</v>
      </c>
      <c r="AL277" s="61">
        <f t="shared" si="55"/>
        <v>0</v>
      </c>
      <c r="AM277" s="61">
        <f t="shared" si="55"/>
        <v>0</v>
      </c>
      <c r="AN277" s="61">
        <f t="shared" si="55"/>
        <v>0</v>
      </c>
      <c r="AO277" s="61">
        <f t="shared" si="55"/>
        <v>0</v>
      </c>
      <c r="AP277" s="61">
        <f t="shared" si="55"/>
        <v>0</v>
      </c>
      <c r="AQ277" s="61"/>
    </row>
    <row r="278" spans="2:43" x14ac:dyDescent="0.25">
      <c r="B278" s="54">
        <v>0.729166666686069</v>
      </c>
      <c r="C278" s="54">
        <v>1.0833333334230799</v>
      </c>
      <c r="D278" s="60"/>
      <c r="E278" s="91"/>
      <c r="F278" s="91"/>
      <c r="G278" s="91"/>
      <c r="H278" s="92">
        <f t="shared" si="50"/>
        <v>0</v>
      </c>
      <c r="I278" s="180">
        <f>AH$255-AH$256</f>
        <v>0</v>
      </c>
      <c r="M278" s="61">
        <f t="shared" si="54"/>
        <v>0</v>
      </c>
      <c r="N278" s="61">
        <f t="shared" si="54"/>
        <v>0</v>
      </c>
      <c r="O278" s="61">
        <f t="shared" si="54"/>
        <v>0</v>
      </c>
      <c r="P278" s="61">
        <f t="shared" si="54"/>
        <v>0</v>
      </c>
      <c r="Q278" s="61">
        <f t="shared" si="54"/>
        <v>0</v>
      </c>
      <c r="R278" s="61">
        <f t="shared" si="54"/>
        <v>0</v>
      </c>
      <c r="S278" s="61">
        <f t="shared" si="54"/>
        <v>0</v>
      </c>
      <c r="T278" s="61">
        <f t="shared" si="54"/>
        <v>0</v>
      </c>
      <c r="U278" s="61">
        <f t="shared" si="54"/>
        <v>0</v>
      </c>
      <c r="V278" s="61">
        <f t="shared" si="54"/>
        <v>0</v>
      </c>
      <c r="W278" s="61">
        <f t="shared" si="53"/>
        <v>0</v>
      </c>
      <c r="X278" s="61">
        <f t="shared" si="53"/>
        <v>0</v>
      </c>
      <c r="Y278" s="61">
        <f t="shared" si="53"/>
        <v>0</v>
      </c>
      <c r="Z278" s="61">
        <f t="shared" si="53"/>
        <v>0</v>
      </c>
      <c r="AA278" s="61">
        <f t="shared" si="53"/>
        <v>0</v>
      </c>
      <c r="AB278" s="61">
        <f t="shared" si="53"/>
        <v>0</v>
      </c>
      <c r="AC278" s="61">
        <f t="shared" si="53"/>
        <v>0</v>
      </c>
      <c r="AD278" s="61">
        <f t="shared" si="53"/>
        <v>0</v>
      </c>
      <c r="AE278" s="61">
        <f t="shared" si="53"/>
        <v>0</v>
      </c>
      <c r="AF278" s="61">
        <f t="shared" si="53"/>
        <v>0</v>
      </c>
      <c r="AG278" s="61">
        <f t="shared" si="53"/>
        <v>0</v>
      </c>
      <c r="AH278" s="61">
        <f t="shared" si="55"/>
        <v>0</v>
      </c>
      <c r="AI278" s="61">
        <f t="shared" si="55"/>
        <v>0</v>
      </c>
      <c r="AJ278" s="61">
        <f t="shared" si="55"/>
        <v>0</v>
      </c>
      <c r="AK278" s="61">
        <f t="shared" si="55"/>
        <v>0</v>
      </c>
      <c r="AL278" s="61">
        <f t="shared" si="55"/>
        <v>0</v>
      </c>
      <c r="AM278" s="61">
        <f t="shared" si="55"/>
        <v>0</v>
      </c>
      <c r="AN278" s="61">
        <f t="shared" si="55"/>
        <v>0</v>
      </c>
      <c r="AO278" s="61">
        <f t="shared" si="55"/>
        <v>0</v>
      </c>
      <c r="AP278" s="61">
        <f t="shared" si="55"/>
        <v>0</v>
      </c>
      <c r="AQ278" s="61"/>
    </row>
    <row r="279" spans="2:43" x14ac:dyDescent="0.25">
      <c r="B279" s="54">
        <v>0.75000000002182798</v>
      </c>
      <c r="C279" s="54">
        <v>1.1041666667588399</v>
      </c>
      <c r="D279" s="60"/>
      <c r="E279" s="91"/>
      <c r="F279" s="91"/>
      <c r="G279" s="91"/>
      <c r="H279" s="92">
        <f t="shared" si="50"/>
        <v>0</v>
      </c>
      <c r="I279" s="180">
        <f>AI$255-AI$256</f>
        <v>0</v>
      </c>
      <c r="M279" s="61">
        <f t="shared" si="54"/>
        <v>0</v>
      </c>
      <c r="N279" s="61">
        <f t="shared" si="54"/>
        <v>0</v>
      </c>
      <c r="O279" s="61">
        <f t="shared" si="54"/>
        <v>0</v>
      </c>
      <c r="P279" s="61">
        <f t="shared" si="54"/>
        <v>0</v>
      </c>
      <c r="Q279" s="61">
        <f t="shared" si="54"/>
        <v>0</v>
      </c>
      <c r="R279" s="61">
        <f t="shared" si="54"/>
        <v>0</v>
      </c>
      <c r="S279" s="61">
        <f t="shared" si="54"/>
        <v>0</v>
      </c>
      <c r="T279" s="61">
        <f t="shared" si="54"/>
        <v>0</v>
      </c>
      <c r="U279" s="61">
        <f t="shared" si="54"/>
        <v>0</v>
      </c>
      <c r="V279" s="61">
        <f t="shared" si="54"/>
        <v>0</v>
      </c>
      <c r="W279" s="61">
        <f t="shared" si="53"/>
        <v>0</v>
      </c>
      <c r="X279" s="61">
        <f t="shared" si="53"/>
        <v>0</v>
      </c>
      <c r="Y279" s="61">
        <f t="shared" si="53"/>
        <v>0</v>
      </c>
      <c r="Z279" s="61">
        <f t="shared" si="53"/>
        <v>0</v>
      </c>
      <c r="AA279" s="61">
        <f t="shared" si="53"/>
        <v>0</v>
      </c>
      <c r="AB279" s="61">
        <f t="shared" si="53"/>
        <v>0</v>
      </c>
      <c r="AC279" s="61">
        <f t="shared" si="53"/>
        <v>0</v>
      </c>
      <c r="AD279" s="61">
        <f t="shared" si="53"/>
        <v>0</v>
      </c>
      <c r="AE279" s="61">
        <f t="shared" si="53"/>
        <v>0</v>
      </c>
      <c r="AF279" s="61">
        <f t="shared" si="53"/>
        <v>0</v>
      </c>
      <c r="AG279" s="61">
        <f t="shared" si="53"/>
        <v>0</v>
      </c>
      <c r="AH279" s="61">
        <f t="shared" si="55"/>
        <v>0</v>
      </c>
      <c r="AI279" s="61">
        <f t="shared" si="55"/>
        <v>0</v>
      </c>
      <c r="AJ279" s="61">
        <f t="shared" si="55"/>
        <v>0</v>
      </c>
      <c r="AK279" s="61">
        <f t="shared" si="55"/>
        <v>0</v>
      </c>
      <c r="AL279" s="61">
        <f t="shared" si="55"/>
        <v>0</v>
      </c>
      <c r="AM279" s="61">
        <f t="shared" si="55"/>
        <v>0</v>
      </c>
      <c r="AN279" s="61">
        <f t="shared" si="55"/>
        <v>0</v>
      </c>
      <c r="AO279" s="61">
        <f t="shared" si="55"/>
        <v>0</v>
      </c>
      <c r="AP279" s="61">
        <f t="shared" si="55"/>
        <v>0</v>
      </c>
      <c r="AQ279" s="61"/>
    </row>
    <row r="280" spans="2:43" x14ac:dyDescent="0.25">
      <c r="B280" s="54">
        <v>0.77083333335758597</v>
      </c>
      <c r="C280" s="54">
        <v>1.1250000000945899</v>
      </c>
      <c r="D280" s="60"/>
      <c r="E280" s="91"/>
      <c r="F280" s="91"/>
      <c r="G280" s="91"/>
      <c r="H280" s="92">
        <f t="shared" si="50"/>
        <v>0</v>
      </c>
      <c r="I280" s="180">
        <f>AJ$255-AJ$256</f>
        <v>0</v>
      </c>
      <c r="M280" s="61">
        <f t="shared" si="54"/>
        <v>0</v>
      </c>
      <c r="N280" s="61">
        <f t="shared" si="54"/>
        <v>0</v>
      </c>
      <c r="O280" s="61">
        <f t="shared" si="54"/>
        <v>0</v>
      </c>
      <c r="P280" s="61">
        <f t="shared" si="54"/>
        <v>0</v>
      </c>
      <c r="Q280" s="61">
        <f t="shared" si="54"/>
        <v>0</v>
      </c>
      <c r="R280" s="61">
        <f t="shared" si="54"/>
        <v>0</v>
      </c>
      <c r="S280" s="61">
        <f t="shared" si="54"/>
        <v>0</v>
      </c>
      <c r="T280" s="61">
        <f t="shared" si="54"/>
        <v>0</v>
      </c>
      <c r="U280" s="61">
        <f t="shared" si="54"/>
        <v>0</v>
      </c>
      <c r="V280" s="61">
        <f t="shared" si="54"/>
        <v>0</v>
      </c>
      <c r="W280" s="61">
        <f t="shared" si="53"/>
        <v>0</v>
      </c>
      <c r="X280" s="61">
        <f t="shared" si="53"/>
        <v>0</v>
      </c>
      <c r="Y280" s="61">
        <f t="shared" si="53"/>
        <v>0</v>
      </c>
      <c r="Z280" s="61">
        <f t="shared" si="53"/>
        <v>0</v>
      </c>
      <c r="AA280" s="61">
        <f t="shared" si="53"/>
        <v>0</v>
      </c>
      <c r="AB280" s="61">
        <f t="shared" si="53"/>
        <v>0</v>
      </c>
      <c r="AC280" s="61">
        <f t="shared" si="53"/>
        <v>0</v>
      </c>
      <c r="AD280" s="61">
        <f t="shared" si="53"/>
        <v>0</v>
      </c>
      <c r="AE280" s="61">
        <f t="shared" si="53"/>
        <v>0</v>
      </c>
      <c r="AF280" s="61">
        <f t="shared" si="53"/>
        <v>0</v>
      </c>
      <c r="AG280" s="61">
        <f t="shared" si="53"/>
        <v>0</v>
      </c>
      <c r="AH280" s="61">
        <f t="shared" si="55"/>
        <v>0</v>
      </c>
      <c r="AI280" s="61">
        <f t="shared" si="55"/>
        <v>0</v>
      </c>
      <c r="AJ280" s="61">
        <f t="shared" si="55"/>
        <v>0</v>
      </c>
      <c r="AK280" s="61">
        <f t="shared" si="55"/>
        <v>0</v>
      </c>
      <c r="AL280" s="61">
        <f t="shared" si="55"/>
        <v>0</v>
      </c>
      <c r="AM280" s="61">
        <f t="shared" si="55"/>
        <v>0</v>
      </c>
      <c r="AN280" s="61">
        <f t="shared" si="55"/>
        <v>0</v>
      </c>
      <c r="AO280" s="61">
        <f t="shared" si="55"/>
        <v>0</v>
      </c>
      <c r="AP280" s="61">
        <f t="shared" si="55"/>
        <v>0</v>
      </c>
      <c r="AQ280" s="61"/>
    </row>
    <row r="281" spans="2:43" x14ac:dyDescent="0.25">
      <c r="B281" s="54">
        <v>0.79166666669334496</v>
      </c>
      <c r="C281" s="54">
        <v>1.1458333334303501</v>
      </c>
      <c r="D281" s="60"/>
      <c r="E281" s="91"/>
      <c r="F281" s="91"/>
      <c r="G281" s="91"/>
      <c r="H281" s="92">
        <f t="shared" si="50"/>
        <v>0</v>
      </c>
      <c r="I281" s="180">
        <f>AK$255-AK$256</f>
        <v>0</v>
      </c>
      <c r="M281" s="61">
        <f t="shared" si="54"/>
        <v>0</v>
      </c>
      <c r="N281" s="61">
        <f t="shared" si="54"/>
        <v>0</v>
      </c>
      <c r="O281" s="61">
        <f t="shared" si="54"/>
        <v>0</v>
      </c>
      <c r="P281" s="61">
        <f t="shared" si="54"/>
        <v>0</v>
      </c>
      <c r="Q281" s="61">
        <f t="shared" si="54"/>
        <v>0</v>
      </c>
      <c r="R281" s="61">
        <f t="shared" si="54"/>
        <v>0</v>
      </c>
      <c r="S281" s="61">
        <f t="shared" si="54"/>
        <v>0</v>
      </c>
      <c r="T281" s="61">
        <f t="shared" si="54"/>
        <v>0</v>
      </c>
      <c r="U281" s="61">
        <f t="shared" si="54"/>
        <v>0</v>
      </c>
      <c r="V281" s="61">
        <f t="shared" si="54"/>
        <v>0</v>
      </c>
      <c r="W281" s="61">
        <f t="shared" si="53"/>
        <v>0</v>
      </c>
      <c r="X281" s="61">
        <f t="shared" si="53"/>
        <v>0</v>
      </c>
      <c r="Y281" s="61">
        <f t="shared" si="53"/>
        <v>0</v>
      </c>
      <c r="Z281" s="61">
        <f t="shared" si="53"/>
        <v>0</v>
      </c>
      <c r="AA281" s="61">
        <f t="shared" si="53"/>
        <v>0</v>
      </c>
      <c r="AB281" s="61">
        <f t="shared" si="53"/>
        <v>0</v>
      </c>
      <c r="AC281" s="61">
        <f t="shared" si="53"/>
        <v>0</v>
      </c>
      <c r="AD281" s="61">
        <f t="shared" si="53"/>
        <v>0</v>
      </c>
      <c r="AE281" s="61">
        <f t="shared" si="53"/>
        <v>0</v>
      </c>
      <c r="AF281" s="61">
        <f t="shared" si="53"/>
        <v>0</v>
      </c>
      <c r="AG281" s="61">
        <f t="shared" si="53"/>
        <v>0</v>
      </c>
      <c r="AH281" s="61">
        <f t="shared" si="55"/>
        <v>0</v>
      </c>
      <c r="AI281" s="61">
        <f t="shared" si="55"/>
        <v>0</v>
      </c>
      <c r="AJ281" s="61">
        <f t="shared" si="55"/>
        <v>0</v>
      </c>
      <c r="AK281" s="61">
        <f t="shared" si="55"/>
        <v>0</v>
      </c>
      <c r="AL281" s="61">
        <f t="shared" si="55"/>
        <v>0</v>
      </c>
      <c r="AM281" s="61">
        <f t="shared" si="55"/>
        <v>0</v>
      </c>
      <c r="AN281" s="61">
        <f t="shared" si="55"/>
        <v>0</v>
      </c>
      <c r="AO281" s="61">
        <f t="shared" si="55"/>
        <v>0</v>
      </c>
      <c r="AP281" s="61">
        <f t="shared" si="55"/>
        <v>0</v>
      </c>
      <c r="AQ281" s="61"/>
    </row>
    <row r="282" spans="2:43" x14ac:dyDescent="0.25">
      <c r="B282" s="54">
        <v>0.81250000002910305</v>
      </c>
      <c r="C282" s="54">
        <v>1.1666666667661101</v>
      </c>
      <c r="D282" s="60"/>
      <c r="E282" s="91"/>
      <c r="F282" s="91"/>
      <c r="G282" s="91"/>
      <c r="H282" s="92">
        <f t="shared" si="50"/>
        <v>0</v>
      </c>
      <c r="I282" s="180">
        <f>AL$255-AL$256</f>
        <v>0</v>
      </c>
      <c r="M282" s="61">
        <f t="shared" si="54"/>
        <v>0</v>
      </c>
      <c r="N282" s="61">
        <f t="shared" si="54"/>
        <v>0</v>
      </c>
      <c r="O282" s="61">
        <f t="shared" si="54"/>
        <v>0</v>
      </c>
      <c r="P282" s="61">
        <f t="shared" si="54"/>
        <v>0</v>
      </c>
      <c r="Q282" s="61">
        <f t="shared" si="54"/>
        <v>0</v>
      </c>
      <c r="R282" s="61">
        <f t="shared" si="54"/>
        <v>0</v>
      </c>
      <c r="S282" s="61">
        <f t="shared" si="54"/>
        <v>0</v>
      </c>
      <c r="T282" s="61">
        <f t="shared" si="54"/>
        <v>0</v>
      </c>
      <c r="U282" s="61">
        <f t="shared" si="54"/>
        <v>0</v>
      </c>
      <c r="V282" s="61">
        <f t="shared" si="54"/>
        <v>0</v>
      </c>
      <c r="W282" s="61">
        <f t="shared" si="53"/>
        <v>0</v>
      </c>
      <c r="X282" s="61">
        <f t="shared" si="53"/>
        <v>0</v>
      </c>
      <c r="Y282" s="61">
        <f t="shared" si="53"/>
        <v>0</v>
      </c>
      <c r="Z282" s="61">
        <f t="shared" si="53"/>
        <v>0</v>
      </c>
      <c r="AA282" s="61">
        <f t="shared" si="53"/>
        <v>0</v>
      </c>
      <c r="AB282" s="61">
        <f t="shared" si="53"/>
        <v>0</v>
      </c>
      <c r="AC282" s="61">
        <f t="shared" si="53"/>
        <v>0</v>
      </c>
      <c r="AD282" s="61">
        <f t="shared" si="53"/>
        <v>0</v>
      </c>
      <c r="AE282" s="61">
        <f t="shared" si="53"/>
        <v>0</v>
      </c>
      <c r="AF282" s="61">
        <f t="shared" si="53"/>
        <v>0</v>
      </c>
      <c r="AG282" s="61">
        <f t="shared" si="53"/>
        <v>0</v>
      </c>
      <c r="AH282" s="61">
        <f t="shared" si="55"/>
        <v>0</v>
      </c>
      <c r="AI282" s="61">
        <f t="shared" si="55"/>
        <v>0</v>
      </c>
      <c r="AJ282" s="61">
        <f t="shared" si="55"/>
        <v>0</v>
      </c>
      <c r="AK282" s="61">
        <f t="shared" si="55"/>
        <v>0</v>
      </c>
      <c r="AL282" s="61">
        <f t="shared" si="55"/>
        <v>0</v>
      </c>
      <c r="AM282" s="61">
        <f t="shared" si="55"/>
        <v>0</v>
      </c>
      <c r="AN282" s="61">
        <f t="shared" si="55"/>
        <v>0</v>
      </c>
      <c r="AO282" s="61">
        <f t="shared" si="55"/>
        <v>0</v>
      </c>
      <c r="AP282" s="61">
        <f t="shared" si="55"/>
        <v>0</v>
      </c>
      <c r="AQ282" s="61"/>
    </row>
    <row r="283" spans="2:43" x14ac:dyDescent="0.25">
      <c r="B283" s="54">
        <v>0.83333333336486204</v>
      </c>
      <c r="C283" s="54">
        <v>1.1875000001018701</v>
      </c>
      <c r="D283" s="60"/>
      <c r="E283" s="91"/>
      <c r="F283" s="91"/>
      <c r="G283" s="91"/>
      <c r="H283" s="92">
        <f t="shared" si="50"/>
        <v>0</v>
      </c>
      <c r="I283" s="180">
        <f>AM$255-AM$256</f>
        <v>0</v>
      </c>
      <c r="M283" s="61">
        <f t="shared" si="54"/>
        <v>0</v>
      </c>
      <c r="N283" s="61">
        <f t="shared" si="54"/>
        <v>0</v>
      </c>
      <c r="O283" s="61">
        <f t="shared" si="54"/>
        <v>0</v>
      </c>
      <c r="P283" s="61">
        <f t="shared" si="54"/>
        <v>0</v>
      </c>
      <c r="Q283" s="61">
        <f t="shared" si="54"/>
        <v>0</v>
      </c>
      <c r="R283" s="61">
        <f t="shared" si="54"/>
        <v>0</v>
      </c>
      <c r="S283" s="61">
        <f t="shared" si="54"/>
        <v>0</v>
      </c>
      <c r="T283" s="61">
        <f t="shared" si="54"/>
        <v>0</v>
      </c>
      <c r="U283" s="61">
        <f t="shared" si="54"/>
        <v>0</v>
      </c>
      <c r="V283" s="61">
        <f t="shared" si="54"/>
        <v>0</v>
      </c>
      <c r="W283" s="61">
        <f t="shared" si="53"/>
        <v>0</v>
      </c>
      <c r="X283" s="61">
        <f t="shared" si="53"/>
        <v>0</v>
      </c>
      <c r="Y283" s="61">
        <f t="shared" si="53"/>
        <v>0</v>
      </c>
      <c r="Z283" s="61">
        <f t="shared" si="53"/>
        <v>0</v>
      </c>
      <c r="AA283" s="61">
        <f t="shared" si="53"/>
        <v>0</v>
      </c>
      <c r="AB283" s="61">
        <f t="shared" si="53"/>
        <v>0</v>
      </c>
      <c r="AC283" s="61">
        <f t="shared" si="53"/>
        <v>0</v>
      </c>
      <c r="AD283" s="61">
        <f t="shared" si="53"/>
        <v>0</v>
      </c>
      <c r="AE283" s="61">
        <f t="shared" si="53"/>
        <v>0</v>
      </c>
      <c r="AF283" s="61">
        <f t="shared" si="53"/>
        <v>0</v>
      </c>
      <c r="AG283" s="61">
        <f t="shared" si="53"/>
        <v>0</v>
      </c>
      <c r="AH283" s="61">
        <f t="shared" si="55"/>
        <v>0</v>
      </c>
      <c r="AI283" s="61">
        <f t="shared" si="55"/>
        <v>0</v>
      </c>
      <c r="AJ283" s="61">
        <f t="shared" si="55"/>
        <v>0</v>
      </c>
      <c r="AK283" s="61">
        <f t="shared" si="55"/>
        <v>0</v>
      </c>
      <c r="AL283" s="61">
        <f t="shared" si="55"/>
        <v>0</v>
      </c>
      <c r="AM283" s="61">
        <f t="shared" si="55"/>
        <v>0</v>
      </c>
      <c r="AN283" s="61">
        <f t="shared" si="55"/>
        <v>0</v>
      </c>
      <c r="AO283" s="61">
        <f t="shared" si="55"/>
        <v>0</v>
      </c>
      <c r="AP283" s="61">
        <f t="shared" si="55"/>
        <v>0</v>
      </c>
      <c r="AQ283" s="61"/>
    </row>
    <row r="284" spans="2:43" x14ac:dyDescent="0.25">
      <c r="B284" s="54">
        <v>0.85416666670062102</v>
      </c>
      <c r="C284" s="54">
        <v>1.2083333334376301</v>
      </c>
      <c r="D284" s="60"/>
      <c r="E284" s="91"/>
      <c r="F284" s="91"/>
      <c r="G284" s="91"/>
      <c r="H284" s="92">
        <f t="shared" si="50"/>
        <v>0</v>
      </c>
      <c r="I284" s="180">
        <f>AN$255-AN$256</f>
        <v>0</v>
      </c>
      <c r="M284" s="61">
        <f t="shared" si="54"/>
        <v>0</v>
      </c>
      <c r="N284" s="61">
        <f t="shared" si="54"/>
        <v>0</v>
      </c>
      <c r="O284" s="61">
        <f t="shared" si="54"/>
        <v>0</v>
      </c>
      <c r="P284" s="61">
        <f t="shared" si="54"/>
        <v>0</v>
      </c>
      <c r="Q284" s="61">
        <f t="shared" si="54"/>
        <v>0</v>
      </c>
      <c r="R284" s="61">
        <f t="shared" si="54"/>
        <v>0</v>
      </c>
      <c r="S284" s="61">
        <f t="shared" si="54"/>
        <v>0</v>
      </c>
      <c r="T284" s="61">
        <f t="shared" si="54"/>
        <v>0</v>
      </c>
      <c r="U284" s="61">
        <f t="shared" si="54"/>
        <v>0</v>
      </c>
      <c r="V284" s="61">
        <f t="shared" si="54"/>
        <v>0</v>
      </c>
      <c r="W284" s="61">
        <f t="shared" si="53"/>
        <v>0</v>
      </c>
      <c r="X284" s="61">
        <f t="shared" si="53"/>
        <v>0</v>
      </c>
      <c r="Y284" s="61">
        <f t="shared" si="53"/>
        <v>0</v>
      </c>
      <c r="Z284" s="61">
        <f t="shared" si="53"/>
        <v>0</v>
      </c>
      <c r="AA284" s="61">
        <f t="shared" si="53"/>
        <v>0</v>
      </c>
      <c r="AB284" s="61">
        <f t="shared" si="53"/>
        <v>0</v>
      </c>
      <c r="AC284" s="61">
        <f t="shared" si="53"/>
        <v>0</v>
      </c>
      <c r="AD284" s="61">
        <f t="shared" si="53"/>
        <v>0</v>
      </c>
      <c r="AE284" s="61">
        <f t="shared" si="53"/>
        <v>0</v>
      </c>
      <c r="AF284" s="61">
        <f t="shared" si="53"/>
        <v>0</v>
      </c>
      <c r="AG284" s="61">
        <f t="shared" si="53"/>
        <v>0</v>
      </c>
      <c r="AH284" s="61">
        <f t="shared" si="55"/>
        <v>0</v>
      </c>
      <c r="AI284" s="61">
        <f t="shared" si="55"/>
        <v>0</v>
      </c>
      <c r="AJ284" s="61">
        <f t="shared" si="55"/>
        <v>0</v>
      </c>
      <c r="AK284" s="61">
        <f t="shared" si="55"/>
        <v>0</v>
      </c>
      <c r="AL284" s="61">
        <f t="shared" si="55"/>
        <v>0</v>
      </c>
      <c r="AM284" s="61">
        <f t="shared" si="55"/>
        <v>0</v>
      </c>
      <c r="AN284" s="61">
        <f t="shared" si="55"/>
        <v>0</v>
      </c>
      <c r="AO284" s="61">
        <f t="shared" si="55"/>
        <v>0</v>
      </c>
      <c r="AP284" s="61">
        <f t="shared" si="55"/>
        <v>0</v>
      </c>
      <c r="AQ284" s="61"/>
    </row>
    <row r="285" spans="2:43" x14ac:dyDescent="0.25">
      <c r="B285" s="54">
        <v>0.87500000003637901</v>
      </c>
      <c r="C285" s="54">
        <v>1.22916666677339</v>
      </c>
      <c r="D285" s="60"/>
      <c r="E285" s="91"/>
      <c r="F285" s="91"/>
      <c r="G285" s="91"/>
      <c r="H285" s="92">
        <f t="shared" si="50"/>
        <v>0</v>
      </c>
      <c r="I285" s="180">
        <f>AO$255-AO$256</f>
        <v>0</v>
      </c>
      <c r="M285" s="61">
        <f t="shared" si="54"/>
        <v>0</v>
      </c>
      <c r="N285" s="61">
        <f t="shared" si="54"/>
        <v>0</v>
      </c>
      <c r="O285" s="61">
        <f t="shared" si="54"/>
        <v>0</v>
      </c>
      <c r="P285" s="61">
        <f t="shared" si="54"/>
        <v>0</v>
      </c>
      <c r="Q285" s="61">
        <f t="shared" si="54"/>
        <v>0</v>
      </c>
      <c r="R285" s="61">
        <f t="shared" si="54"/>
        <v>0</v>
      </c>
      <c r="S285" s="61">
        <f t="shared" si="54"/>
        <v>0</v>
      </c>
      <c r="T285" s="61">
        <f t="shared" si="54"/>
        <v>0</v>
      </c>
      <c r="U285" s="61">
        <f t="shared" si="54"/>
        <v>0</v>
      </c>
      <c r="V285" s="61">
        <f t="shared" si="54"/>
        <v>0</v>
      </c>
      <c r="W285" s="61">
        <f t="shared" si="53"/>
        <v>0</v>
      </c>
      <c r="X285" s="61">
        <f t="shared" si="53"/>
        <v>0</v>
      </c>
      <c r="Y285" s="61">
        <f t="shared" si="53"/>
        <v>0</v>
      </c>
      <c r="Z285" s="61">
        <f t="shared" si="53"/>
        <v>0</v>
      </c>
      <c r="AA285" s="61">
        <f t="shared" si="53"/>
        <v>0</v>
      </c>
      <c r="AB285" s="61">
        <f t="shared" si="53"/>
        <v>0</v>
      </c>
      <c r="AC285" s="61">
        <f t="shared" si="53"/>
        <v>0</v>
      </c>
      <c r="AD285" s="61">
        <f t="shared" si="53"/>
        <v>0</v>
      </c>
      <c r="AE285" s="61">
        <f t="shared" si="53"/>
        <v>0</v>
      </c>
      <c r="AF285" s="61">
        <f t="shared" si="53"/>
        <v>0</v>
      </c>
      <c r="AG285" s="61">
        <f t="shared" si="53"/>
        <v>0</v>
      </c>
      <c r="AH285" s="61">
        <f t="shared" si="55"/>
        <v>0</v>
      </c>
      <c r="AI285" s="61">
        <f t="shared" si="55"/>
        <v>0</v>
      </c>
      <c r="AJ285" s="61">
        <f t="shared" si="55"/>
        <v>0</v>
      </c>
      <c r="AK285" s="61">
        <f t="shared" si="55"/>
        <v>0</v>
      </c>
      <c r="AL285" s="61">
        <f t="shared" si="55"/>
        <v>0</v>
      </c>
      <c r="AM285" s="61">
        <f t="shared" si="55"/>
        <v>0</v>
      </c>
      <c r="AN285" s="61">
        <f t="shared" si="55"/>
        <v>0</v>
      </c>
      <c r="AO285" s="61">
        <f t="shared" si="55"/>
        <v>0</v>
      </c>
      <c r="AP285" s="61">
        <f t="shared" si="55"/>
        <v>0</v>
      </c>
      <c r="AQ285" s="61"/>
    </row>
    <row r="286" spans="2:43" x14ac:dyDescent="0.25">
      <c r="B286" s="54">
        <v>0.895833333372138</v>
      </c>
      <c r="C286" s="54">
        <v>1.25000000010915</v>
      </c>
      <c r="D286" s="60"/>
      <c r="E286" s="91"/>
      <c r="F286" s="91"/>
      <c r="G286" s="91"/>
      <c r="H286" s="92">
        <f t="shared" si="50"/>
        <v>0</v>
      </c>
      <c r="I286" s="180">
        <f>AP$255-AP$256</f>
        <v>0</v>
      </c>
      <c r="M286" s="61">
        <f t="shared" si="54"/>
        <v>0</v>
      </c>
      <c r="N286" s="61">
        <f t="shared" si="54"/>
        <v>0</v>
      </c>
      <c r="O286" s="61">
        <f t="shared" si="54"/>
        <v>0</v>
      </c>
      <c r="P286" s="61">
        <f t="shared" si="54"/>
        <v>0</v>
      </c>
      <c r="Q286" s="61">
        <f t="shared" si="54"/>
        <v>0</v>
      </c>
      <c r="R286" s="61">
        <f t="shared" si="54"/>
        <v>0</v>
      </c>
      <c r="S286" s="61">
        <f t="shared" si="54"/>
        <v>0</v>
      </c>
      <c r="T286" s="61">
        <f t="shared" si="54"/>
        <v>0</v>
      </c>
      <c r="U286" s="61">
        <f t="shared" si="54"/>
        <v>0</v>
      </c>
      <c r="V286" s="61">
        <f t="shared" si="54"/>
        <v>0</v>
      </c>
      <c r="W286" s="61">
        <f t="shared" si="53"/>
        <v>0</v>
      </c>
      <c r="X286" s="61">
        <f t="shared" si="53"/>
        <v>0</v>
      </c>
      <c r="Y286" s="61">
        <f t="shared" si="53"/>
        <v>0</v>
      </c>
      <c r="Z286" s="61">
        <f t="shared" si="53"/>
        <v>0</v>
      </c>
      <c r="AA286" s="61">
        <f t="shared" si="53"/>
        <v>0</v>
      </c>
      <c r="AB286" s="61">
        <f t="shared" si="53"/>
        <v>0</v>
      </c>
      <c r="AC286" s="61">
        <f t="shared" si="53"/>
        <v>0</v>
      </c>
      <c r="AD286" s="61">
        <f t="shared" si="53"/>
        <v>0</v>
      </c>
      <c r="AE286" s="61">
        <f t="shared" si="53"/>
        <v>0</v>
      </c>
      <c r="AF286" s="61">
        <f t="shared" si="53"/>
        <v>0</v>
      </c>
      <c r="AG286" s="61">
        <f t="shared" si="53"/>
        <v>0</v>
      </c>
      <c r="AH286" s="61">
        <f t="shared" si="55"/>
        <v>0</v>
      </c>
      <c r="AI286" s="61">
        <f t="shared" si="55"/>
        <v>0</v>
      </c>
      <c r="AJ286" s="61">
        <f t="shared" si="55"/>
        <v>0</v>
      </c>
      <c r="AK286" s="61">
        <f t="shared" si="55"/>
        <v>0</v>
      </c>
      <c r="AL286" s="61">
        <f t="shared" si="55"/>
        <v>0</v>
      </c>
      <c r="AM286" s="61">
        <f t="shared" si="55"/>
        <v>0</v>
      </c>
      <c r="AN286" s="61">
        <f t="shared" si="55"/>
        <v>0</v>
      </c>
      <c r="AO286" s="61">
        <f t="shared" si="55"/>
        <v>0</v>
      </c>
      <c r="AP286" s="61">
        <f t="shared" si="55"/>
        <v>0</v>
      </c>
      <c r="AQ286" s="61"/>
    </row>
    <row r="287" spans="2:43" x14ac:dyDescent="0.25">
      <c r="E287" s="91"/>
      <c r="G287" s="91"/>
      <c r="I287" s="180">
        <f>NCC!$T$36</f>
        <v>0</v>
      </c>
    </row>
  </sheetData>
  <phoneticPr fontId="2" type="noConversion"/>
  <conditionalFormatting sqref="F175:F183 Y131:AB131 E216:E246 AC3:AP5 E93:E123 M170:X172 F8:F16 AQ3 Y48:AB48 Y90:AB90 E134:E164 Y5:AB5 G51:G81 E175:E205 Y46:AB46 M46:X48 Y88:AB88 M88:X90 Y129:AB129 M129:X131 E257:E287 F51:F59 M213:AP213 G93:G123 G134:G164 E8:E38 Y3:AB3 M3:X5 E51:E81 G8:G38 AC46:AP48 AQ46 AC88:AP90 AQ88 AC129:AP131 AQ129 AC170:AP172 AQ170 Y172:AB172 Y170:AB170 F134:F142 G175:G205 G216:G246 G257:G287 M211:AQ212 F93:F101 M252:AQ253 M254:AP254 F216:F245 F257:F286">
    <cfRule type="cellIs" dxfId="20" priority="1" stopIfTrue="1" operator="lessThanOrEqual">
      <formula>0</formula>
    </cfRule>
  </conditionalFormatting>
  <conditionalFormatting sqref="M51:AQ82 M93:AQ122 M134:AQ163 M175:AQ204 M216:AQ245 M257:AQ286 M8:AQ37">
    <cfRule type="cellIs" dxfId="19" priority="2" stopIfTrue="1" operator="equal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K151"/>
  <sheetViews>
    <sheetView showGridLines="0" zoomScale="55" zoomScaleNormal="55" zoomScaleSheetLayoutView="50" workbookViewId="0">
      <selection activeCell="T15" sqref="T15"/>
    </sheetView>
  </sheetViews>
  <sheetFormatPr defaultColWidth="11.7109375" defaultRowHeight="18.75" x14ac:dyDescent="0.3"/>
  <cols>
    <col min="1" max="1" width="2" style="62" customWidth="1"/>
    <col min="2" max="2" width="2" style="63" customWidth="1"/>
    <col min="3" max="3" width="16.140625" style="63" bestFit="1" customWidth="1"/>
    <col min="4" max="4" width="2.28515625" style="64" customWidth="1"/>
    <col min="5" max="13" width="12.7109375" style="64" hidden="1" customWidth="1"/>
    <col min="14" max="20" width="12.7109375" style="64" customWidth="1"/>
    <col min="21" max="34" width="12.7109375" style="64" hidden="1" customWidth="1"/>
    <col min="35" max="35" width="10.7109375" style="64" hidden="1" customWidth="1"/>
    <col min="36" max="36" width="4" style="65" customWidth="1"/>
    <col min="37" max="37" width="14.7109375" style="65" customWidth="1"/>
    <col min="38" max="38" width="14.42578125" style="66" bestFit="1" customWidth="1"/>
    <col min="39" max="39" width="3.7109375" style="66" customWidth="1"/>
    <col min="40" max="41" width="12.7109375" style="65" hidden="1" customWidth="1"/>
    <col min="42" max="43" width="9.85546875" style="66" hidden="1" customWidth="1"/>
    <col min="44" max="45" width="9.85546875" style="67" hidden="1" customWidth="1"/>
    <col min="46" max="48" width="9.85546875" style="66" hidden="1" customWidth="1"/>
    <col min="49" max="62" width="9.85546875" style="66" customWidth="1"/>
    <col min="63" max="69" width="12.7109375" style="66" hidden="1" customWidth="1"/>
    <col min="70" max="70" width="4.28515625" style="66" customWidth="1"/>
    <col min="71" max="71" width="14.42578125" style="66" bestFit="1" customWidth="1"/>
    <col min="72" max="72" width="3.42578125" style="66" customWidth="1"/>
    <col min="73" max="74" width="12.7109375" style="66" hidden="1" customWidth="1"/>
    <col min="75" max="81" width="11" style="66" hidden="1" customWidth="1"/>
    <col min="82" max="95" width="11" style="66" customWidth="1"/>
    <col min="96" max="102" width="12.7109375" style="66" hidden="1" customWidth="1"/>
    <col min="103" max="103" width="2.28515625" style="66" customWidth="1"/>
    <col min="104" max="104" width="2" style="66" customWidth="1"/>
    <col min="105" max="16384" width="11.7109375" style="66"/>
  </cols>
  <sheetData>
    <row r="1" spans="2:115" ht="11.25" customHeight="1" x14ac:dyDescent="0.3">
      <c r="AL1" s="314"/>
      <c r="AM1" s="314"/>
      <c r="AN1" s="315"/>
      <c r="AO1" s="315"/>
      <c r="AP1" s="314"/>
    </row>
    <row r="2" spans="2:115" ht="24" customHeight="1" thickBot="1" x14ac:dyDescent="0.45">
      <c r="B2" s="316"/>
      <c r="C2" s="317"/>
      <c r="D2" s="318"/>
      <c r="E2" s="318"/>
      <c r="F2" s="318"/>
      <c r="G2" s="318"/>
      <c r="H2" s="318"/>
      <c r="I2" s="318"/>
      <c r="J2" s="318"/>
      <c r="K2" s="318"/>
      <c r="L2" s="318"/>
      <c r="M2" s="115"/>
      <c r="N2" s="116"/>
      <c r="O2" s="115"/>
      <c r="P2" s="115"/>
      <c r="Q2" s="115" t="s">
        <v>22</v>
      </c>
      <c r="R2" s="115"/>
      <c r="S2" s="115"/>
      <c r="T2" s="115"/>
      <c r="U2" s="116"/>
      <c r="V2" s="115"/>
      <c r="W2" s="318"/>
      <c r="X2" s="318"/>
      <c r="Y2" s="318"/>
      <c r="Z2" s="318"/>
      <c r="AA2" s="318"/>
      <c r="AB2" s="116"/>
      <c r="AC2" s="318"/>
      <c r="AD2" s="318"/>
      <c r="AE2" s="318"/>
      <c r="AF2" s="318"/>
      <c r="AG2" s="318"/>
      <c r="AH2" s="318"/>
      <c r="AI2" s="318"/>
      <c r="AJ2" s="319"/>
      <c r="AK2" s="319"/>
      <c r="AL2" s="65"/>
      <c r="AM2" s="1"/>
      <c r="AP2" s="65"/>
      <c r="AQ2" s="319"/>
      <c r="AR2" s="319"/>
      <c r="AS2" s="319"/>
      <c r="AT2" s="319"/>
      <c r="AU2" s="319"/>
      <c r="AV2" s="125" t="s">
        <v>5</v>
      </c>
      <c r="AW2" s="319"/>
      <c r="AX2" s="319"/>
      <c r="AY2" s="319"/>
      <c r="AZ2" s="125"/>
      <c r="BA2" s="319"/>
      <c r="BB2" s="319"/>
      <c r="BC2" s="319"/>
      <c r="BD2" s="319"/>
      <c r="BE2" s="319"/>
      <c r="BF2" s="319"/>
      <c r="BG2" s="125"/>
      <c r="BH2" s="319"/>
      <c r="BI2" s="319"/>
      <c r="BJ2" s="319"/>
      <c r="BK2" s="319"/>
      <c r="BL2" s="319"/>
      <c r="BM2" s="319"/>
      <c r="BN2" s="319"/>
      <c r="BO2" s="319"/>
      <c r="BP2" s="319"/>
      <c r="BQ2" s="319"/>
      <c r="BR2" s="319"/>
      <c r="BS2" s="320"/>
      <c r="BT2" s="320"/>
      <c r="BU2" s="320"/>
      <c r="BV2" s="320"/>
      <c r="BW2" s="320"/>
      <c r="BX2" s="320"/>
      <c r="BY2" s="320"/>
      <c r="BZ2" s="125" t="s">
        <v>21</v>
      </c>
      <c r="CA2" s="320"/>
      <c r="CB2" s="320"/>
      <c r="CC2" s="320"/>
      <c r="CD2" s="320"/>
      <c r="CE2" s="320"/>
      <c r="CF2" s="320"/>
      <c r="CG2" s="125" t="s">
        <v>30</v>
      </c>
      <c r="CH2" s="320"/>
      <c r="CI2" s="320"/>
      <c r="CJ2" s="320"/>
      <c r="CK2" s="320"/>
      <c r="CL2" s="320"/>
      <c r="CM2" s="320"/>
      <c r="CN2" s="320"/>
      <c r="CO2" s="320"/>
      <c r="CP2" s="320"/>
      <c r="CQ2" s="320"/>
      <c r="CR2" s="320"/>
      <c r="CS2" s="320"/>
      <c r="CT2" s="320"/>
      <c r="CU2" s="320"/>
      <c r="CV2" s="320"/>
      <c r="CW2" s="320"/>
      <c r="CX2" s="320"/>
      <c r="CY2" s="321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</row>
    <row r="3" spans="2:115" s="322" customFormat="1" ht="23.25" customHeight="1" x14ac:dyDescent="0.35">
      <c r="B3" s="323"/>
      <c r="C3" s="324"/>
      <c r="D3" s="133"/>
      <c r="E3" s="112"/>
      <c r="F3" s="2"/>
      <c r="G3" s="2"/>
      <c r="H3" s="2"/>
      <c r="I3" s="2"/>
      <c r="J3" s="2"/>
      <c r="K3" s="2"/>
      <c r="L3" s="2"/>
      <c r="M3" s="2"/>
      <c r="N3" s="177"/>
      <c r="O3" s="127"/>
      <c r="P3" s="127"/>
      <c r="Q3" s="127"/>
      <c r="R3" s="127"/>
      <c r="S3" s="127"/>
      <c r="T3" s="128"/>
      <c r="U3" s="112">
        <f t="shared" ref="U3:AI3" si="0">T3+1</f>
        <v>1</v>
      </c>
      <c r="V3" s="2">
        <f t="shared" si="0"/>
        <v>2</v>
      </c>
      <c r="W3" s="2">
        <f t="shared" si="0"/>
        <v>3</v>
      </c>
      <c r="X3" s="2">
        <f t="shared" si="0"/>
        <v>4</v>
      </c>
      <c r="Y3" s="2">
        <f t="shared" si="0"/>
        <v>5</v>
      </c>
      <c r="Z3" s="2">
        <f t="shared" si="0"/>
        <v>6</v>
      </c>
      <c r="AA3" s="2">
        <f t="shared" si="0"/>
        <v>7</v>
      </c>
      <c r="AB3" s="2">
        <f t="shared" si="0"/>
        <v>8</v>
      </c>
      <c r="AC3" s="2">
        <f t="shared" si="0"/>
        <v>9</v>
      </c>
      <c r="AD3" s="2">
        <f t="shared" si="0"/>
        <v>10</v>
      </c>
      <c r="AE3" s="2">
        <f t="shared" si="0"/>
        <v>11</v>
      </c>
      <c r="AF3" s="2">
        <f t="shared" si="0"/>
        <v>12</v>
      </c>
      <c r="AG3" s="2">
        <f t="shared" si="0"/>
        <v>13</v>
      </c>
      <c r="AH3" s="2">
        <f t="shared" si="0"/>
        <v>14</v>
      </c>
      <c r="AI3" s="2">
        <f t="shared" si="0"/>
        <v>15</v>
      </c>
      <c r="AJ3" s="3"/>
      <c r="AK3" s="325" t="s">
        <v>10</v>
      </c>
      <c r="AL3" s="326"/>
      <c r="AM3" s="133"/>
      <c r="AN3" s="2">
        <f>E3</f>
        <v>0</v>
      </c>
      <c r="AO3" s="110">
        <f>F3</f>
        <v>0</v>
      </c>
      <c r="AP3" s="130"/>
      <c r="AQ3" s="131"/>
      <c r="AR3" s="131"/>
      <c r="AS3" s="131"/>
      <c r="AT3" s="131"/>
      <c r="AU3" s="131"/>
      <c r="AV3" s="127"/>
      <c r="AW3" s="177"/>
      <c r="AX3" s="127"/>
      <c r="AY3" s="127"/>
      <c r="AZ3" s="127"/>
      <c r="BA3" s="127"/>
      <c r="BB3" s="127"/>
      <c r="BC3" s="158"/>
      <c r="BD3" s="177"/>
      <c r="BE3" s="127"/>
      <c r="BF3" s="127"/>
      <c r="BG3" s="127"/>
      <c r="BH3" s="127"/>
      <c r="BI3" s="127"/>
      <c r="BJ3" s="128"/>
      <c r="BK3" s="112"/>
      <c r="BL3" s="28"/>
      <c r="BM3" s="28"/>
      <c r="BN3" s="28"/>
      <c r="BO3" s="28"/>
      <c r="BP3" s="28"/>
      <c r="BQ3" s="28"/>
      <c r="BR3" s="65"/>
      <c r="BS3" s="324"/>
      <c r="BT3" s="133"/>
      <c r="BU3" s="2"/>
      <c r="BV3" s="28"/>
      <c r="BW3" s="130"/>
      <c r="BX3" s="131"/>
      <c r="BY3" s="131"/>
      <c r="BZ3" s="131"/>
      <c r="CA3" s="131"/>
      <c r="CB3" s="131"/>
      <c r="CC3" s="127"/>
      <c r="CD3" s="177"/>
      <c r="CE3" s="127"/>
      <c r="CF3" s="127"/>
      <c r="CG3" s="127"/>
      <c r="CH3" s="127"/>
      <c r="CI3" s="127"/>
      <c r="CJ3" s="158"/>
      <c r="CK3" s="177"/>
      <c r="CL3" s="127"/>
      <c r="CM3" s="127"/>
      <c r="CN3" s="127"/>
      <c r="CO3" s="127"/>
      <c r="CP3" s="127"/>
      <c r="CQ3" s="128"/>
      <c r="CR3" s="112">
        <f t="shared" ref="CR3:CX3" si="1">AB3</f>
        <v>8</v>
      </c>
      <c r="CS3" s="28">
        <f t="shared" si="1"/>
        <v>9</v>
      </c>
      <c r="CT3" s="28">
        <f t="shared" si="1"/>
        <v>10</v>
      </c>
      <c r="CU3" s="28">
        <f t="shared" si="1"/>
        <v>11</v>
      </c>
      <c r="CV3" s="28">
        <f t="shared" si="1"/>
        <v>12</v>
      </c>
      <c r="CW3" s="28">
        <f t="shared" si="1"/>
        <v>13</v>
      </c>
      <c r="CX3" s="28">
        <f t="shared" si="1"/>
        <v>14</v>
      </c>
      <c r="CY3" s="327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</row>
    <row r="4" spans="2:115" s="322" customFormat="1" ht="23.25" customHeight="1" thickBot="1" x14ac:dyDescent="0.4">
      <c r="B4" s="328"/>
      <c r="C4" s="329">
        <v>40299</v>
      </c>
      <c r="D4" s="6"/>
      <c r="E4" s="113" t="str">
        <f>TEXT(E3,"Ddd")</f>
        <v>Sat</v>
      </c>
      <c r="F4" s="5" t="str">
        <f t="shared" ref="F4:AI4" si="2">TEXT(F3,"Ddd")</f>
        <v>Sat</v>
      </c>
      <c r="G4" s="5" t="str">
        <f t="shared" si="2"/>
        <v>Sat</v>
      </c>
      <c r="H4" s="5" t="str">
        <f t="shared" si="2"/>
        <v>Sat</v>
      </c>
      <c r="I4" s="5" t="str">
        <f t="shared" si="2"/>
        <v>Sat</v>
      </c>
      <c r="J4" s="5" t="str">
        <f t="shared" si="2"/>
        <v>Sat</v>
      </c>
      <c r="K4" s="5" t="str">
        <f t="shared" si="2"/>
        <v>Sat</v>
      </c>
      <c r="L4" s="5" t="str">
        <f t="shared" si="2"/>
        <v>Sat</v>
      </c>
      <c r="M4" s="5" t="str">
        <f t="shared" si="2"/>
        <v>Sat</v>
      </c>
      <c r="N4" s="176" t="s">
        <v>23</v>
      </c>
      <c r="O4" s="168" t="s">
        <v>24</v>
      </c>
      <c r="P4" s="168" t="s">
        <v>25</v>
      </c>
      <c r="Q4" s="168" t="s">
        <v>26</v>
      </c>
      <c r="R4" s="168" t="s">
        <v>27</v>
      </c>
      <c r="S4" s="168" t="s">
        <v>28</v>
      </c>
      <c r="T4" s="169" t="s">
        <v>29</v>
      </c>
      <c r="U4" s="113" t="str">
        <f t="shared" si="2"/>
        <v>Sun</v>
      </c>
      <c r="V4" s="5" t="str">
        <f t="shared" si="2"/>
        <v>Mon</v>
      </c>
      <c r="W4" s="5" t="str">
        <f t="shared" si="2"/>
        <v>Tue</v>
      </c>
      <c r="X4" s="5" t="str">
        <f t="shared" si="2"/>
        <v>Wed</v>
      </c>
      <c r="Y4" s="5" t="str">
        <f t="shared" si="2"/>
        <v>Thu</v>
      </c>
      <c r="Z4" s="5" t="str">
        <f t="shared" si="2"/>
        <v>Fri</v>
      </c>
      <c r="AA4" s="5" t="str">
        <f t="shared" si="2"/>
        <v>Sat</v>
      </c>
      <c r="AB4" s="5" t="str">
        <f t="shared" si="2"/>
        <v>Sun</v>
      </c>
      <c r="AC4" s="5" t="str">
        <f t="shared" si="2"/>
        <v>Mon</v>
      </c>
      <c r="AD4" s="5" t="str">
        <f t="shared" si="2"/>
        <v>Tue</v>
      </c>
      <c r="AE4" s="5" t="str">
        <f t="shared" si="2"/>
        <v>Wed</v>
      </c>
      <c r="AF4" s="5" t="str">
        <f t="shared" si="2"/>
        <v>Thu</v>
      </c>
      <c r="AG4" s="5" t="str">
        <f t="shared" si="2"/>
        <v>Fri</v>
      </c>
      <c r="AH4" s="5" t="str">
        <f t="shared" si="2"/>
        <v>Sat</v>
      </c>
      <c r="AI4" s="7" t="str">
        <f t="shared" si="2"/>
        <v>Sun</v>
      </c>
      <c r="AJ4" s="8"/>
      <c r="AK4" s="330" t="s">
        <v>2</v>
      </c>
      <c r="AL4" s="331" t="s">
        <v>3</v>
      </c>
      <c r="AM4" s="30"/>
      <c r="AN4" s="4" t="str">
        <f>E4</f>
        <v>Sat</v>
      </c>
      <c r="AO4" s="111" t="str">
        <f>F4</f>
        <v>Sat</v>
      </c>
      <c r="AP4" s="129" t="s">
        <v>23</v>
      </c>
      <c r="AQ4" s="126" t="s">
        <v>24</v>
      </c>
      <c r="AR4" s="126" t="s">
        <v>25</v>
      </c>
      <c r="AS4" s="126" t="s">
        <v>26</v>
      </c>
      <c r="AT4" s="126" t="s">
        <v>27</v>
      </c>
      <c r="AU4" s="126" t="s">
        <v>28</v>
      </c>
      <c r="AV4" s="132" t="s">
        <v>29</v>
      </c>
      <c r="AW4" s="176" t="s">
        <v>23</v>
      </c>
      <c r="AX4" s="168" t="s">
        <v>24</v>
      </c>
      <c r="AY4" s="168" t="s">
        <v>25</v>
      </c>
      <c r="AZ4" s="168" t="s">
        <v>26</v>
      </c>
      <c r="BA4" s="168" t="s">
        <v>27</v>
      </c>
      <c r="BB4" s="168" t="s">
        <v>28</v>
      </c>
      <c r="BC4" s="169" t="s">
        <v>29</v>
      </c>
      <c r="BD4" s="176" t="s">
        <v>23</v>
      </c>
      <c r="BE4" s="168" t="s">
        <v>24</v>
      </c>
      <c r="BF4" s="168" t="s">
        <v>25</v>
      </c>
      <c r="BG4" s="168" t="s">
        <v>26</v>
      </c>
      <c r="BH4" s="168" t="s">
        <v>27</v>
      </c>
      <c r="BI4" s="168" t="s">
        <v>28</v>
      </c>
      <c r="BJ4" s="170" t="s">
        <v>29</v>
      </c>
      <c r="BK4" s="113" t="str">
        <f t="shared" ref="BK4:BQ4" si="3">AB4</f>
        <v>Sun</v>
      </c>
      <c r="BL4" s="5" t="str">
        <f t="shared" si="3"/>
        <v>Mon</v>
      </c>
      <c r="BM4" s="5" t="str">
        <f t="shared" si="3"/>
        <v>Tue</v>
      </c>
      <c r="BN4" s="5" t="str">
        <f t="shared" si="3"/>
        <v>Wed</v>
      </c>
      <c r="BO4" s="5" t="str">
        <f t="shared" si="3"/>
        <v>Thu</v>
      </c>
      <c r="BP4" s="5" t="str">
        <f t="shared" si="3"/>
        <v>Fri</v>
      </c>
      <c r="BQ4" s="5" t="str">
        <f t="shared" si="3"/>
        <v>Sat</v>
      </c>
      <c r="BR4" s="65"/>
      <c r="BS4" s="329"/>
      <c r="BT4" s="6"/>
      <c r="BU4" s="4" t="str">
        <f>TEXT(BU3,"Ddd")</f>
        <v>Sat</v>
      </c>
      <c r="BV4" s="5" t="str">
        <f>TEXT(BV3,"Ddd")</f>
        <v>Sat</v>
      </c>
      <c r="BW4" s="129" t="s">
        <v>23</v>
      </c>
      <c r="BX4" s="126" t="s">
        <v>24</v>
      </c>
      <c r="BY4" s="126" t="s">
        <v>25</v>
      </c>
      <c r="BZ4" s="126" t="s">
        <v>26</v>
      </c>
      <c r="CA4" s="126" t="s">
        <v>27</v>
      </c>
      <c r="CB4" s="126" t="s">
        <v>28</v>
      </c>
      <c r="CC4" s="132" t="s">
        <v>29</v>
      </c>
      <c r="CD4" s="176" t="s">
        <v>23</v>
      </c>
      <c r="CE4" s="168" t="s">
        <v>24</v>
      </c>
      <c r="CF4" s="168" t="s">
        <v>25</v>
      </c>
      <c r="CG4" s="168" t="s">
        <v>26</v>
      </c>
      <c r="CH4" s="168" t="s">
        <v>27</v>
      </c>
      <c r="CI4" s="168" t="s">
        <v>28</v>
      </c>
      <c r="CJ4" s="169" t="s">
        <v>29</v>
      </c>
      <c r="CK4" s="176" t="s">
        <v>23</v>
      </c>
      <c r="CL4" s="168" t="s">
        <v>24</v>
      </c>
      <c r="CM4" s="168" t="s">
        <v>25</v>
      </c>
      <c r="CN4" s="168" t="s">
        <v>26</v>
      </c>
      <c r="CO4" s="168" t="s">
        <v>27</v>
      </c>
      <c r="CP4" s="168" t="s">
        <v>28</v>
      </c>
      <c r="CQ4" s="170" t="s">
        <v>29</v>
      </c>
      <c r="CR4" s="113" t="str">
        <f t="shared" ref="CR4:CX4" si="4">TEXT(CR3,"Ddd")</f>
        <v>Sun</v>
      </c>
      <c r="CS4" s="5" t="str">
        <f t="shared" si="4"/>
        <v>Mon</v>
      </c>
      <c r="CT4" s="5" t="str">
        <f t="shared" si="4"/>
        <v>Tue</v>
      </c>
      <c r="CU4" s="5" t="str">
        <f t="shared" si="4"/>
        <v>Wed</v>
      </c>
      <c r="CV4" s="5" t="str">
        <f t="shared" si="4"/>
        <v>Thu</v>
      </c>
      <c r="CW4" s="5" t="str">
        <f t="shared" si="4"/>
        <v>Fri</v>
      </c>
      <c r="CX4" s="5" t="str">
        <f t="shared" si="4"/>
        <v>Sat</v>
      </c>
      <c r="CY4" s="327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</row>
    <row r="5" spans="2:115" s="332" customFormat="1" ht="23.25" customHeight="1" thickBot="1" x14ac:dyDescent="0.4">
      <c r="B5" s="333"/>
      <c r="C5" s="334" t="s">
        <v>4</v>
      </c>
      <c r="D5" s="82"/>
      <c r="E5" s="83">
        <f>MAX(E6:E35)</f>
        <v>0</v>
      </c>
      <c r="F5" s="83">
        <f t="shared" ref="F5:AI5" si="5">MAX(F6:F35)</f>
        <v>0</v>
      </c>
      <c r="G5" s="83">
        <f>MAX(G6:G35)</f>
        <v>0</v>
      </c>
      <c r="H5" s="83">
        <f t="shared" si="5"/>
        <v>0</v>
      </c>
      <c r="I5" s="83">
        <f t="shared" si="5"/>
        <v>0</v>
      </c>
      <c r="J5" s="83">
        <f t="shared" si="5"/>
        <v>0</v>
      </c>
      <c r="K5" s="83">
        <f t="shared" si="5"/>
        <v>0</v>
      </c>
      <c r="L5" s="83">
        <f t="shared" si="5"/>
        <v>0</v>
      </c>
      <c r="M5" s="83">
        <f t="shared" si="5"/>
        <v>0</v>
      </c>
      <c r="N5" s="173">
        <f t="shared" si="5"/>
        <v>430.84839999999997</v>
      </c>
      <c r="O5" s="173">
        <f t="shared" si="5"/>
        <v>396.07870000000003</v>
      </c>
      <c r="P5" s="173">
        <f t="shared" si="5"/>
        <v>384.34350000000001</v>
      </c>
      <c r="Q5" s="173">
        <f t="shared" si="5"/>
        <v>372.1343</v>
      </c>
      <c r="R5" s="173">
        <f t="shared" si="5"/>
        <v>390.8854</v>
      </c>
      <c r="S5" s="173">
        <f t="shared" si="5"/>
        <v>299.38670000000002</v>
      </c>
      <c r="T5" s="174">
        <f t="shared" si="5"/>
        <v>146.56049999999999</v>
      </c>
      <c r="U5" s="83">
        <f t="shared" si="5"/>
        <v>430.84839999999997</v>
      </c>
      <c r="V5" s="83">
        <f t="shared" si="5"/>
        <v>396.07870000000003</v>
      </c>
      <c r="W5" s="83">
        <f t="shared" si="5"/>
        <v>384.34350000000001</v>
      </c>
      <c r="X5" s="83">
        <f t="shared" si="5"/>
        <v>372.1343</v>
      </c>
      <c r="Y5" s="83">
        <f t="shared" si="5"/>
        <v>390.8854</v>
      </c>
      <c r="Z5" s="83">
        <f t="shared" si="5"/>
        <v>299.38670000000002</v>
      </c>
      <c r="AA5" s="83">
        <f t="shared" si="5"/>
        <v>146.56049999999999</v>
      </c>
      <c r="AB5" s="83">
        <f t="shared" si="5"/>
        <v>0</v>
      </c>
      <c r="AC5" s="83">
        <f t="shared" si="5"/>
        <v>0</v>
      </c>
      <c r="AD5" s="83">
        <f t="shared" si="5"/>
        <v>0</v>
      </c>
      <c r="AE5" s="83">
        <f t="shared" si="5"/>
        <v>0</v>
      </c>
      <c r="AF5" s="83">
        <f t="shared" si="5"/>
        <v>0</v>
      </c>
      <c r="AG5" s="83">
        <f t="shared" si="5"/>
        <v>0</v>
      </c>
      <c r="AH5" s="83">
        <f t="shared" si="5"/>
        <v>0</v>
      </c>
      <c r="AI5" s="83">
        <f t="shared" si="5"/>
        <v>0</v>
      </c>
      <c r="AJ5" s="83"/>
      <c r="AK5" s="335"/>
      <c r="AL5" s="336"/>
      <c r="AM5" s="9"/>
      <c r="AN5" s="10">
        <f t="shared" ref="AN5:BQ5" si="6">MAX(AN6:AN19)</f>
        <v>0</v>
      </c>
      <c r="AO5" s="10">
        <f t="shared" si="6"/>
        <v>0</v>
      </c>
      <c r="AP5" s="83">
        <f t="shared" si="6"/>
        <v>0</v>
      </c>
      <c r="AQ5" s="83">
        <f t="shared" si="6"/>
        <v>0</v>
      </c>
      <c r="AR5" s="83">
        <f t="shared" si="6"/>
        <v>0</v>
      </c>
      <c r="AS5" s="83">
        <f t="shared" si="6"/>
        <v>0</v>
      </c>
      <c r="AT5" s="83">
        <f t="shared" si="6"/>
        <v>0</v>
      </c>
      <c r="AU5" s="83">
        <f t="shared" si="6"/>
        <v>0</v>
      </c>
      <c r="AV5" s="83">
        <f t="shared" si="6"/>
        <v>0</v>
      </c>
      <c r="AW5" s="83">
        <f t="shared" si="6"/>
        <v>114.4141</v>
      </c>
      <c r="AX5" s="83">
        <f t="shared" si="6"/>
        <v>115.41420000000001</v>
      </c>
      <c r="AY5" s="83">
        <f t="shared" si="6"/>
        <v>99.333399999999997</v>
      </c>
      <c r="AZ5" s="83">
        <f t="shared" si="6"/>
        <v>108.36359999999999</v>
      </c>
      <c r="BA5" s="83">
        <f t="shared" si="6"/>
        <v>105.2</v>
      </c>
      <c r="BB5" s="83">
        <f t="shared" si="6"/>
        <v>156.8519</v>
      </c>
      <c r="BC5" s="83">
        <f t="shared" si="6"/>
        <v>84.227099999999979</v>
      </c>
      <c r="BD5" s="83">
        <f t="shared" si="6"/>
        <v>114.4141</v>
      </c>
      <c r="BE5" s="83">
        <f t="shared" si="6"/>
        <v>115.41420000000001</v>
      </c>
      <c r="BF5" s="83">
        <f t="shared" si="6"/>
        <v>99.333399999999997</v>
      </c>
      <c r="BG5" s="83">
        <f t="shared" si="6"/>
        <v>108.36359999999999</v>
      </c>
      <c r="BH5" s="83">
        <f t="shared" si="6"/>
        <v>105.2</v>
      </c>
      <c r="BI5" s="83">
        <f t="shared" si="6"/>
        <v>156.8519</v>
      </c>
      <c r="BJ5" s="134">
        <f t="shared" si="6"/>
        <v>84.227099999999979</v>
      </c>
      <c r="BK5" s="10">
        <f t="shared" si="6"/>
        <v>0</v>
      </c>
      <c r="BL5" s="10">
        <f t="shared" si="6"/>
        <v>0</v>
      </c>
      <c r="BM5" s="10">
        <f t="shared" si="6"/>
        <v>0</v>
      </c>
      <c r="BN5" s="10">
        <f t="shared" si="6"/>
        <v>0</v>
      </c>
      <c r="BO5" s="10">
        <f t="shared" si="6"/>
        <v>0</v>
      </c>
      <c r="BP5" s="10">
        <f t="shared" si="6"/>
        <v>0</v>
      </c>
      <c r="BQ5" s="10">
        <f t="shared" si="6"/>
        <v>0</v>
      </c>
      <c r="BR5" s="337"/>
      <c r="BS5" s="338"/>
      <c r="BT5" s="6"/>
      <c r="BU5" s="10">
        <f t="shared" ref="BU5:CX5" si="7">MAX(BU6:BU35)</f>
        <v>0</v>
      </c>
      <c r="BV5" s="10">
        <f t="shared" si="7"/>
        <v>0</v>
      </c>
      <c r="BW5" s="10">
        <f t="shared" si="7"/>
        <v>0</v>
      </c>
      <c r="BX5" s="10">
        <f t="shared" si="7"/>
        <v>0</v>
      </c>
      <c r="BY5" s="10">
        <f t="shared" si="7"/>
        <v>0</v>
      </c>
      <c r="BZ5" s="10">
        <f t="shared" si="7"/>
        <v>0</v>
      </c>
      <c r="CA5" s="10" t="e">
        <f t="shared" si="7"/>
        <v>#REF!</v>
      </c>
      <c r="CB5" s="10" t="e">
        <f t="shared" si="7"/>
        <v>#REF!</v>
      </c>
      <c r="CC5" s="10" t="e">
        <f t="shared" si="7"/>
        <v>#REF!</v>
      </c>
      <c r="CD5" s="10">
        <f t="shared" si="7"/>
        <v>0</v>
      </c>
      <c r="CE5" s="10">
        <f t="shared" si="7"/>
        <v>0</v>
      </c>
      <c r="CF5" s="10">
        <f t="shared" si="7"/>
        <v>0</v>
      </c>
      <c r="CG5" s="10">
        <f t="shared" si="7"/>
        <v>0</v>
      </c>
      <c r="CH5" s="10">
        <f t="shared" si="7"/>
        <v>0</v>
      </c>
      <c r="CI5" s="10">
        <f t="shared" si="7"/>
        <v>0</v>
      </c>
      <c r="CJ5" s="10">
        <f t="shared" si="7"/>
        <v>0</v>
      </c>
      <c r="CK5" s="118">
        <f t="shared" si="7"/>
        <v>0</v>
      </c>
      <c r="CL5" s="118">
        <f t="shared" si="7"/>
        <v>0</v>
      </c>
      <c r="CM5" s="118">
        <f t="shared" si="7"/>
        <v>0</v>
      </c>
      <c r="CN5" s="118">
        <f t="shared" si="7"/>
        <v>0</v>
      </c>
      <c r="CO5" s="118">
        <f t="shared" si="7"/>
        <v>0</v>
      </c>
      <c r="CP5" s="118">
        <f t="shared" si="7"/>
        <v>0</v>
      </c>
      <c r="CQ5" s="175">
        <f t="shared" si="7"/>
        <v>0</v>
      </c>
      <c r="CR5" s="10" t="e">
        <f t="shared" si="7"/>
        <v>#REF!</v>
      </c>
      <c r="CS5" s="10" t="e">
        <f t="shared" si="7"/>
        <v>#REF!</v>
      </c>
      <c r="CT5" s="10" t="e">
        <f t="shared" si="7"/>
        <v>#REF!</v>
      </c>
      <c r="CU5" s="10" t="e">
        <f t="shared" si="7"/>
        <v>#REF!</v>
      </c>
      <c r="CV5" s="10">
        <f t="shared" si="7"/>
        <v>0</v>
      </c>
      <c r="CW5" s="10">
        <f t="shared" si="7"/>
        <v>0</v>
      </c>
      <c r="CX5" s="10">
        <f t="shared" si="7"/>
        <v>0</v>
      </c>
      <c r="CY5" s="339"/>
      <c r="CZ5" s="337"/>
      <c r="DA5" s="337"/>
      <c r="DB5" s="337"/>
      <c r="DC5" s="337"/>
      <c r="DD5" s="337"/>
      <c r="DE5" s="337"/>
      <c r="DF5" s="337"/>
      <c r="DG5" s="337"/>
      <c r="DH5" s="337"/>
      <c r="DI5" s="337"/>
      <c r="DJ5" s="337"/>
      <c r="DK5" s="337"/>
    </row>
    <row r="6" spans="2:115" s="322" customFormat="1" ht="23.25" customHeight="1" x14ac:dyDescent="0.35">
      <c r="B6" s="117">
        <f t="shared" ref="B6:B35" si="8">MAX(E6:AI6)</f>
        <v>105.2</v>
      </c>
      <c r="C6" s="340">
        <v>0.29166666666424135</v>
      </c>
      <c r="D6" s="341"/>
      <c r="E6" s="342"/>
      <c r="F6" s="343"/>
      <c r="G6" s="344"/>
      <c r="H6" s="344"/>
      <c r="I6" s="344"/>
      <c r="J6" s="344"/>
      <c r="K6" s="344"/>
      <c r="L6" s="344"/>
      <c r="M6" s="345"/>
      <c r="N6" s="346">
        <v>69.889799999999994</v>
      </c>
      <c r="O6" s="347">
        <v>83.125500000000017</v>
      </c>
      <c r="P6" s="347">
        <v>88.057500000000005</v>
      </c>
      <c r="Q6" s="347">
        <v>87.470799999999997</v>
      </c>
      <c r="R6" s="347">
        <v>105.2</v>
      </c>
      <c r="S6" s="347"/>
      <c r="T6" s="348"/>
      <c r="U6" s="349">
        <f>N6</f>
        <v>69.889799999999994</v>
      </c>
      <c r="V6" s="344">
        <f t="shared" ref="V6:V35" si="9">O6</f>
        <v>83.125500000000017</v>
      </c>
      <c r="W6" s="344">
        <f t="shared" ref="W6:W35" si="10">P6</f>
        <v>88.057500000000005</v>
      </c>
      <c r="X6" s="344">
        <f t="shared" ref="X6:X35" si="11">Q6</f>
        <v>87.470799999999997</v>
      </c>
      <c r="Y6" s="344">
        <f t="shared" ref="Y6:Y35" si="12">R6</f>
        <v>105.2</v>
      </c>
      <c r="Z6" s="344">
        <f t="shared" ref="Z6:Z35" si="13">S6</f>
        <v>0</v>
      </c>
      <c r="AA6" s="344">
        <f t="shared" ref="AA6:AA35" si="14">T6</f>
        <v>0</v>
      </c>
      <c r="AB6" s="344"/>
      <c r="AC6" s="344"/>
      <c r="AD6" s="344"/>
      <c r="AE6" s="344"/>
      <c r="AF6" s="344"/>
      <c r="AG6" s="350"/>
      <c r="AH6" s="350"/>
      <c r="AI6" s="351"/>
      <c r="AJ6" s="15"/>
      <c r="AK6" s="340">
        <v>0.29166666666424135</v>
      </c>
      <c r="AL6" s="352">
        <v>0.645833333372138</v>
      </c>
      <c r="AM6" s="353">
        <f t="shared" ref="AM6:AM12" si="15">MAX(E44:AI44)</f>
        <v>0</v>
      </c>
      <c r="AN6" s="12">
        <f t="shared" ref="AN6:AV6" si="16">IF(E6&lt;0,0,E6)</f>
        <v>0</v>
      </c>
      <c r="AO6" s="13">
        <f t="shared" si="16"/>
        <v>0</v>
      </c>
      <c r="AP6" s="12">
        <f t="shared" si="16"/>
        <v>0</v>
      </c>
      <c r="AQ6" s="13">
        <f t="shared" si="16"/>
        <v>0</v>
      </c>
      <c r="AR6" s="13">
        <f t="shared" si="16"/>
        <v>0</v>
      </c>
      <c r="AS6" s="13">
        <f t="shared" si="16"/>
        <v>0</v>
      </c>
      <c r="AT6" s="13">
        <f t="shared" si="16"/>
        <v>0</v>
      </c>
      <c r="AU6" s="13">
        <f t="shared" si="16"/>
        <v>0</v>
      </c>
      <c r="AV6" s="68">
        <f t="shared" si="16"/>
        <v>0</v>
      </c>
      <c r="AW6" s="160">
        <f>IF($N$6&lt;0,0,$N$6)</f>
        <v>69.889799999999994</v>
      </c>
      <c r="AX6" s="161">
        <f>IF($O$6&lt;0,0,$O$6)</f>
        <v>83.125500000000017</v>
      </c>
      <c r="AY6" s="161">
        <f>IF($P$6&lt;0,0,$P$6)</f>
        <v>88.057500000000005</v>
      </c>
      <c r="AZ6" s="161">
        <f>IF($Q$6&lt;0,0,$Q$6)</f>
        <v>87.470799999999997</v>
      </c>
      <c r="BA6" s="161">
        <f>IF($R$6&lt;0,0,$R$6)</f>
        <v>105.2</v>
      </c>
      <c r="BB6" s="161"/>
      <c r="BC6" s="162"/>
      <c r="BD6" s="163">
        <f>IF($N$6&lt;0,0,$N$6)</f>
        <v>69.889799999999994</v>
      </c>
      <c r="BE6" s="161">
        <f>IF($O$6&lt;0,0,$O$6)</f>
        <v>83.125500000000017</v>
      </c>
      <c r="BF6" s="161">
        <f>IF($P$6&lt;0,0,$P$6)</f>
        <v>88.057500000000005</v>
      </c>
      <c r="BG6" s="161">
        <f>IF($Q$6&lt;0,0,$Q$6)</f>
        <v>87.470799999999997</v>
      </c>
      <c r="BH6" s="161">
        <f>IF($R$6&lt;0,0,$R$6)</f>
        <v>105.2</v>
      </c>
      <c r="BI6" s="161"/>
      <c r="BJ6" s="171"/>
      <c r="BK6" s="71">
        <f t="shared" ref="BK6:BQ6" si="17">IF(AB6&lt;0,0,AB6)</f>
        <v>0</v>
      </c>
      <c r="BL6" s="13">
        <f t="shared" si="17"/>
        <v>0</v>
      </c>
      <c r="BM6" s="13">
        <f t="shared" si="17"/>
        <v>0</v>
      </c>
      <c r="BN6" s="13">
        <f t="shared" si="17"/>
        <v>0</v>
      </c>
      <c r="BO6" s="13">
        <f t="shared" si="17"/>
        <v>0</v>
      </c>
      <c r="BP6" s="13">
        <f t="shared" si="17"/>
        <v>0</v>
      </c>
      <c r="BQ6" s="14">
        <f t="shared" si="17"/>
        <v>0</v>
      </c>
      <c r="BR6" s="65"/>
      <c r="BS6" s="340">
        <v>0.29166666666424135</v>
      </c>
      <c r="BT6" s="354"/>
      <c r="BU6" s="16"/>
      <c r="BV6" s="45"/>
      <c r="BW6" s="119"/>
      <c r="BX6" s="120"/>
      <c r="BY6" s="120"/>
      <c r="BZ6" s="120"/>
      <c r="CA6" s="120" t="e">
        <f>#REF!</f>
        <v>#REF!</v>
      </c>
      <c r="CB6" s="120" t="e">
        <f>#REF!</f>
        <v>#REF!</v>
      </c>
      <c r="CC6" s="139" t="e">
        <f>#REF!</f>
        <v>#REF!</v>
      </c>
      <c r="CD6" s="142">
        <f>SCHEDULES!$I$8</f>
        <v>0</v>
      </c>
      <c r="CE6" s="143">
        <f>SCHEDULES!$I$51</f>
        <v>0</v>
      </c>
      <c r="CF6" s="143">
        <f>SCHEDULES!$I$93</f>
        <v>0</v>
      </c>
      <c r="CG6" s="143">
        <f>SCHEDULES!$I$134</f>
        <v>0</v>
      </c>
      <c r="CH6" s="143">
        <f>SCHEDULES!$I$175</f>
        <v>0</v>
      </c>
      <c r="CI6" s="143">
        <f>SCHEDULES!$I$216</f>
        <v>0</v>
      </c>
      <c r="CJ6" s="144">
        <f>SCHEDULES!$I$257</f>
        <v>0</v>
      </c>
      <c r="CK6" s="153">
        <f>NEWSCHEDULES!$I$8</f>
        <v>0</v>
      </c>
      <c r="CL6" s="154">
        <f>NEWSCHEDULES!$I$51</f>
        <v>0</v>
      </c>
      <c r="CM6" s="154">
        <f>NEWSCHEDULES!$I$93</f>
        <v>0</v>
      </c>
      <c r="CN6" s="154">
        <f>NEWSCHEDULES!$I$134</f>
        <v>0</v>
      </c>
      <c r="CO6" s="154">
        <f>NEWSCHEDULES!$I$175</f>
        <v>0</v>
      </c>
      <c r="CP6" s="154">
        <f>NEWSCHEDULES!$I$216</f>
        <v>0</v>
      </c>
      <c r="CQ6" s="155">
        <f>NEWSCHEDULES!$I$257</f>
        <v>0</v>
      </c>
      <c r="CR6" s="107" t="e">
        <f>#REF!</f>
        <v>#REF!</v>
      </c>
      <c r="CS6" s="45" t="e">
        <f>#REF!</f>
        <v>#REF!</v>
      </c>
      <c r="CT6" s="45" t="e">
        <f>#REF!</f>
        <v>#REF!</v>
      </c>
      <c r="CU6" s="45" t="e">
        <f>#REF!</f>
        <v>#REF!</v>
      </c>
      <c r="CV6" s="45"/>
      <c r="CW6" s="45"/>
      <c r="CX6" s="46"/>
      <c r="CY6" s="327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</row>
    <row r="7" spans="2:115" s="322" customFormat="1" ht="23.25" customHeight="1" x14ac:dyDescent="0.35">
      <c r="B7" s="117">
        <f t="shared" si="8"/>
        <v>156.21280000000002</v>
      </c>
      <c r="C7" s="355">
        <v>0.3125</v>
      </c>
      <c r="D7" s="341"/>
      <c r="E7" s="356"/>
      <c r="F7" s="357"/>
      <c r="G7" s="358"/>
      <c r="H7" s="358"/>
      <c r="I7" s="358"/>
      <c r="J7" s="358"/>
      <c r="K7" s="358"/>
      <c r="L7" s="358"/>
      <c r="M7" s="359"/>
      <c r="N7" s="360">
        <v>96.628500000000003</v>
      </c>
      <c r="O7" s="361">
        <v>114.89109999999999</v>
      </c>
      <c r="P7" s="361">
        <v>120.4799</v>
      </c>
      <c r="Q7" s="361">
        <v>119.2274</v>
      </c>
      <c r="R7" s="361">
        <v>156.21280000000002</v>
      </c>
      <c r="S7" s="361"/>
      <c r="T7" s="362"/>
      <c r="U7" s="363">
        <f t="shared" ref="U7:U35" si="18">N7</f>
        <v>96.628500000000003</v>
      </c>
      <c r="V7" s="358">
        <f t="shared" si="9"/>
        <v>114.89109999999999</v>
      </c>
      <c r="W7" s="358">
        <f t="shared" si="10"/>
        <v>120.4799</v>
      </c>
      <c r="X7" s="358">
        <f t="shared" si="11"/>
        <v>119.2274</v>
      </c>
      <c r="Y7" s="358">
        <f t="shared" si="12"/>
        <v>156.21280000000002</v>
      </c>
      <c r="Z7" s="358">
        <f t="shared" si="13"/>
        <v>0</v>
      </c>
      <c r="AA7" s="358">
        <f t="shared" si="14"/>
        <v>0</v>
      </c>
      <c r="AB7" s="358"/>
      <c r="AC7" s="358"/>
      <c r="AD7" s="358"/>
      <c r="AE7" s="358"/>
      <c r="AF7" s="358"/>
      <c r="AG7" s="364"/>
      <c r="AH7" s="364"/>
      <c r="AI7" s="365"/>
      <c r="AJ7" s="15"/>
      <c r="AK7" s="355">
        <v>0.3125</v>
      </c>
      <c r="AL7" s="366">
        <v>0.66666666670789698</v>
      </c>
      <c r="AM7" s="353">
        <f t="shared" si="15"/>
        <v>0</v>
      </c>
      <c r="AN7" s="17">
        <f t="shared" ref="AN7:AV12" si="19">IF((E7-E6)&lt;0,0,E7-E6)</f>
        <v>0</v>
      </c>
      <c r="AO7" s="18">
        <f t="shared" si="19"/>
        <v>0</v>
      </c>
      <c r="AP7" s="17">
        <f t="shared" si="19"/>
        <v>0</v>
      </c>
      <c r="AQ7" s="18">
        <f t="shared" si="19"/>
        <v>0</v>
      </c>
      <c r="AR7" s="18">
        <f t="shared" si="19"/>
        <v>0</v>
      </c>
      <c r="AS7" s="18">
        <f t="shared" si="19"/>
        <v>0</v>
      </c>
      <c r="AT7" s="18">
        <f t="shared" si="19"/>
        <v>0</v>
      </c>
      <c r="AU7" s="18">
        <f t="shared" si="19"/>
        <v>0</v>
      </c>
      <c r="AV7" s="69">
        <f t="shared" si="19"/>
        <v>0</v>
      </c>
      <c r="AW7" s="164">
        <f>IF(($N$7-$N$6)&lt;0,0,$N$7-$N$6)</f>
        <v>26.738700000000009</v>
      </c>
      <c r="AX7" s="18">
        <f>IF(($O$7-$O$6)&lt;0,0,$O$7-$O$6)</f>
        <v>31.765599999999978</v>
      </c>
      <c r="AY7" s="18">
        <f>IF(($P$7-$P$6)&lt;0,0,$P$7-$P$6)</f>
        <v>32.422399999999996</v>
      </c>
      <c r="AZ7" s="18">
        <f>IF(($Q$7-$Q$6)&lt;0,0,$Q$7-$Q$6)</f>
        <v>31.756600000000006</v>
      </c>
      <c r="BA7" s="18">
        <f>IF(($R$7-$R$6)&lt;0,0,$R$7-$R$6)</f>
        <v>51.012800000000013</v>
      </c>
      <c r="BB7" s="18"/>
      <c r="BC7" s="156"/>
      <c r="BD7" s="72">
        <f>IF(($N$7-$N$6)&lt;0,0,$N$7-$N$6)</f>
        <v>26.738700000000009</v>
      </c>
      <c r="BE7" s="18">
        <f>IF(($O$7-$O$6)&lt;0,0,$O$7-$O$6)</f>
        <v>31.765599999999978</v>
      </c>
      <c r="BF7" s="18">
        <f>IF(($P$7-$P$6)&lt;0,0,$P$7-$P$6)</f>
        <v>32.422399999999996</v>
      </c>
      <c r="BG7" s="18">
        <f>IF(($Q$7-$Q$6)&lt;0,0,$Q$7-$Q$6)</f>
        <v>31.756600000000006</v>
      </c>
      <c r="BH7" s="18">
        <f>IF(($R$7-$R$6)&lt;0,0,$R$7-$R$6)</f>
        <v>51.012800000000013</v>
      </c>
      <c r="BI7" s="18"/>
      <c r="BJ7" s="19"/>
      <c r="BK7" s="72">
        <f t="shared" ref="BK7:BQ12" si="20">IF((AB7-AB6)&lt;0,0,AB7-AB6)</f>
        <v>0</v>
      </c>
      <c r="BL7" s="18">
        <f t="shared" si="20"/>
        <v>0</v>
      </c>
      <c r="BM7" s="18">
        <f t="shared" si="20"/>
        <v>0</v>
      </c>
      <c r="BN7" s="18">
        <f t="shared" si="20"/>
        <v>0</v>
      </c>
      <c r="BO7" s="18">
        <f t="shared" si="20"/>
        <v>0</v>
      </c>
      <c r="BP7" s="18">
        <f t="shared" si="20"/>
        <v>0</v>
      </c>
      <c r="BQ7" s="19">
        <f t="shared" si="20"/>
        <v>0</v>
      </c>
      <c r="BR7" s="65"/>
      <c r="BS7" s="355">
        <v>0.3125</v>
      </c>
      <c r="BT7" s="354"/>
      <c r="BU7" s="20"/>
      <c r="BV7" s="47"/>
      <c r="BW7" s="121"/>
      <c r="BX7" s="122"/>
      <c r="BY7" s="122"/>
      <c r="BZ7" s="122"/>
      <c r="CA7" s="122" t="e">
        <f>#REF!</f>
        <v>#REF!</v>
      </c>
      <c r="CB7" s="122" t="e">
        <f>#REF!</f>
        <v>#REF!</v>
      </c>
      <c r="CC7" s="140" t="e">
        <f>#REF!</f>
        <v>#REF!</v>
      </c>
      <c r="CD7" s="145">
        <f>SCHEDULES!$I$9</f>
        <v>0</v>
      </c>
      <c r="CE7" s="122">
        <f>SCHEDULES!$I$52</f>
        <v>0</v>
      </c>
      <c r="CF7" s="122">
        <f>SCHEDULES!$I$94</f>
        <v>0</v>
      </c>
      <c r="CG7" s="122">
        <f>SCHEDULES!$I$135</f>
        <v>0</v>
      </c>
      <c r="CH7" s="122">
        <f>SCHEDULES!$I$176</f>
        <v>0</v>
      </c>
      <c r="CI7" s="122">
        <f>SCHEDULES!$I$217</f>
        <v>0</v>
      </c>
      <c r="CJ7" s="146">
        <f>SCHEDULES!$I$258</f>
        <v>0</v>
      </c>
      <c r="CK7" s="108">
        <f>NEWSCHEDULES!$I$9</f>
        <v>0</v>
      </c>
      <c r="CL7" s="47">
        <f>NEWSCHEDULES!$I$52</f>
        <v>0</v>
      </c>
      <c r="CM7" s="47">
        <f>NEWSCHEDULES!$I$94</f>
        <v>0</v>
      </c>
      <c r="CN7" s="47">
        <f>NEWSCHEDULES!$I$135</f>
        <v>0</v>
      </c>
      <c r="CO7" s="47">
        <f>NEWSCHEDULES!$I$176</f>
        <v>0</v>
      </c>
      <c r="CP7" s="47">
        <f>NEWSCHEDULES!$I$217</f>
        <v>0</v>
      </c>
      <c r="CQ7" s="48">
        <f>NEWSCHEDULES!$I$258</f>
        <v>0</v>
      </c>
      <c r="CR7" s="108" t="e">
        <f>#REF!</f>
        <v>#REF!</v>
      </c>
      <c r="CS7" s="47" t="e">
        <f>#REF!</f>
        <v>#REF!</v>
      </c>
      <c r="CT7" s="47" t="e">
        <f>#REF!</f>
        <v>#REF!</v>
      </c>
      <c r="CU7" s="47" t="e">
        <f>#REF!</f>
        <v>#REF!</v>
      </c>
      <c r="CV7" s="47"/>
      <c r="CW7" s="47"/>
      <c r="CX7" s="48"/>
      <c r="CY7" s="327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</row>
    <row r="8" spans="2:115" s="322" customFormat="1" ht="23.25" customHeight="1" x14ac:dyDescent="0.35">
      <c r="B8" s="117">
        <f t="shared" si="8"/>
        <v>226.58669999999998</v>
      </c>
      <c r="C8" s="355">
        <v>0.33333333333575865</v>
      </c>
      <c r="D8" s="341"/>
      <c r="E8" s="356"/>
      <c r="F8" s="357"/>
      <c r="G8" s="358"/>
      <c r="H8" s="358"/>
      <c r="I8" s="358"/>
      <c r="J8" s="358"/>
      <c r="K8" s="358"/>
      <c r="L8" s="358"/>
      <c r="M8" s="359"/>
      <c r="N8" s="360">
        <v>155.4419</v>
      </c>
      <c r="O8" s="361">
        <v>193.92470000000003</v>
      </c>
      <c r="P8" s="361">
        <v>186.78399999999999</v>
      </c>
      <c r="Q8" s="361">
        <v>185.23149999999998</v>
      </c>
      <c r="R8" s="361">
        <v>226.58669999999998</v>
      </c>
      <c r="S8" s="361">
        <v>142.53480000000002</v>
      </c>
      <c r="T8" s="362">
        <v>62.333400000000005</v>
      </c>
      <c r="U8" s="363">
        <f t="shared" si="18"/>
        <v>155.4419</v>
      </c>
      <c r="V8" s="358">
        <f t="shared" si="9"/>
        <v>193.92470000000003</v>
      </c>
      <c r="W8" s="358">
        <f t="shared" si="10"/>
        <v>186.78399999999999</v>
      </c>
      <c r="X8" s="358">
        <f t="shared" si="11"/>
        <v>185.23149999999998</v>
      </c>
      <c r="Y8" s="358">
        <f t="shared" si="12"/>
        <v>226.58669999999998</v>
      </c>
      <c r="Z8" s="358">
        <f t="shared" si="13"/>
        <v>142.53480000000002</v>
      </c>
      <c r="AA8" s="358">
        <f t="shared" si="14"/>
        <v>62.333400000000005</v>
      </c>
      <c r="AB8" s="358"/>
      <c r="AC8" s="358"/>
      <c r="AD8" s="358"/>
      <c r="AE8" s="358"/>
      <c r="AF8" s="358"/>
      <c r="AG8" s="364"/>
      <c r="AH8" s="364"/>
      <c r="AI8" s="365"/>
      <c r="AJ8" s="15"/>
      <c r="AK8" s="355">
        <v>0.33333333333575865</v>
      </c>
      <c r="AL8" s="366">
        <v>0.68750000004365597</v>
      </c>
      <c r="AM8" s="353">
        <f t="shared" si="15"/>
        <v>0</v>
      </c>
      <c r="AN8" s="17">
        <f t="shared" si="19"/>
        <v>0</v>
      </c>
      <c r="AO8" s="18">
        <f t="shared" si="19"/>
        <v>0</v>
      </c>
      <c r="AP8" s="17">
        <f t="shared" si="19"/>
        <v>0</v>
      </c>
      <c r="AQ8" s="18">
        <f t="shared" si="19"/>
        <v>0</v>
      </c>
      <c r="AR8" s="18">
        <f t="shared" si="19"/>
        <v>0</v>
      </c>
      <c r="AS8" s="18">
        <f t="shared" si="19"/>
        <v>0</v>
      </c>
      <c r="AT8" s="18">
        <f t="shared" si="19"/>
        <v>0</v>
      </c>
      <c r="AU8" s="18">
        <f t="shared" si="19"/>
        <v>0</v>
      </c>
      <c r="AV8" s="69">
        <f t="shared" si="19"/>
        <v>0</v>
      </c>
      <c r="AW8" s="164">
        <f>IF(($N$8-$N$7)&lt;0,0,$N$8-$N$7)</f>
        <v>58.813400000000001</v>
      </c>
      <c r="AX8" s="18">
        <f>IF(($O$8-$O$7)&lt;0,0,$O$8-$O$7)</f>
        <v>79.033600000000035</v>
      </c>
      <c r="AY8" s="18">
        <f>IF(($P$8-$P$7)&lt;0,0,$P$8-$P$7)</f>
        <v>66.304099999999991</v>
      </c>
      <c r="AZ8" s="18">
        <f>IF(($Q$8-$Q$7)&lt;0,0,$Q$8-$Q$7)</f>
        <v>66.00409999999998</v>
      </c>
      <c r="BA8" s="18">
        <f>IF(($R$8-$R$7)&lt;0,0,$R$8-$R$7)</f>
        <v>70.373899999999963</v>
      </c>
      <c r="BB8" s="18">
        <f>$S$8</f>
        <v>142.53480000000002</v>
      </c>
      <c r="BC8" s="156">
        <f>T8</f>
        <v>62.333400000000005</v>
      </c>
      <c r="BD8" s="72">
        <f>IF(($N$8-$N$7)&lt;0,0,$N$8-$N$7)</f>
        <v>58.813400000000001</v>
      </c>
      <c r="BE8" s="18">
        <f>IF(($O$8-$O$7)&lt;0,0,$O$8-$O$7)</f>
        <v>79.033600000000035</v>
      </c>
      <c r="BF8" s="18">
        <f>IF(($P$8-$P$7)&lt;0,0,$P$8-$P$7)</f>
        <v>66.304099999999991</v>
      </c>
      <c r="BG8" s="18">
        <f>IF(($Q$8-$Q$7)&lt;0,0,$Q$8-$Q$7)</f>
        <v>66.00409999999998</v>
      </c>
      <c r="BH8" s="18">
        <f>IF(($R$8-$R$7)&lt;0,0,$R$8-$R$7)</f>
        <v>70.373899999999963</v>
      </c>
      <c r="BI8" s="18">
        <f>$S$8</f>
        <v>142.53480000000002</v>
      </c>
      <c r="BJ8" s="19">
        <f>AA8</f>
        <v>62.333400000000005</v>
      </c>
      <c r="BK8" s="72">
        <f t="shared" si="20"/>
        <v>0</v>
      </c>
      <c r="BL8" s="18">
        <f t="shared" si="20"/>
        <v>0</v>
      </c>
      <c r="BM8" s="18">
        <f t="shared" si="20"/>
        <v>0</v>
      </c>
      <c r="BN8" s="18">
        <f t="shared" si="20"/>
        <v>0</v>
      </c>
      <c r="BO8" s="18">
        <f t="shared" si="20"/>
        <v>0</v>
      </c>
      <c r="BP8" s="18">
        <f t="shared" si="20"/>
        <v>0</v>
      </c>
      <c r="BQ8" s="19">
        <f t="shared" si="20"/>
        <v>0</v>
      </c>
      <c r="BR8" s="65"/>
      <c r="BS8" s="355">
        <v>0.33333333333575865</v>
      </c>
      <c r="BT8" s="354"/>
      <c r="BU8" s="20"/>
      <c r="BV8" s="47"/>
      <c r="BW8" s="121"/>
      <c r="BX8" s="122"/>
      <c r="BY8" s="122"/>
      <c r="BZ8" s="122"/>
      <c r="CA8" s="122" t="e">
        <f>#REF!</f>
        <v>#REF!</v>
      </c>
      <c r="CB8" s="122" t="e">
        <f>#REF!</f>
        <v>#REF!</v>
      </c>
      <c r="CC8" s="140" t="e">
        <f>#REF!</f>
        <v>#REF!</v>
      </c>
      <c r="CD8" s="145">
        <f>SCHEDULES!$I$10</f>
        <v>0</v>
      </c>
      <c r="CE8" s="122">
        <f>SCHEDULES!$I$53</f>
        <v>0</v>
      </c>
      <c r="CF8" s="122">
        <f>SCHEDULES!$I$95</f>
        <v>0</v>
      </c>
      <c r="CG8" s="122">
        <f>SCHEDULES!$I$136</f>
        <v>0</v>
      </c>
      <c r="CH8" s="122">
        <f>SCHEDULES!$I$177</f>
        <v>0</v>
      </c>
      <c r="CI8" s="122">
        <f>SCHEDULES!$I$218</f>
        <v>0</v>
      </c>
      <c r="CJ8" s="146">
        <f>SCHEDULES!$I$259</f>
        <v>0</v>
      </c>
      <c r="CK8" s="108">
        <f>NEWSCHEDULES!$I$10</f>
        <v>0</v>
      </c>
      <c r="CL8" s="47">
        <f>NEWSCHEDULES!$I$53</f>
        <v>0</v>
      </c>
      <c r="CM8" s="47">
        <f>NEWSCHEDULES!$I$95</f>
        <v>0</v>
      </c>
      <c r="CN8" s="47">
        <f>NEWSCHEDULES!$I$136</f>
        <v>0</v>
      </c>
      <c r="CO8" s="47">
        <f>NEWSCHEDULES!$I$177</f>
        <v>0</v>
      </c>
      <c r="CP8" s="47">
        <f>NEWSCHEDULES!$I$218</f>
        <v>0</v>
      </c>
      <c r="CQ8" s="48">
        <f>NEWSCHEDULES!$I$259</f>
        <v>0</v>
      </c>
      <c r="CR8" s="108" t="e">
        <f>#REF!</f>
        <v>#REF!</v>
      </c>
      <c r="CS8" s="47" t="e">
        <f>#REF!</f>
        <v>#REF!</v>
      </c>
      <c r="CT8" s="47" t="e">
        <f>#REF!</f>
        <v>#REF!</v>
      </c>
      <c r="CU8" s="47" t="e">
        <f>#REF!</f>
        <v>#REF!</v>
      </c>
      <c r="CV8" s="47"/>
      <c r="CW8" s="47"/>
      <c r="CX8" s="48"/>
      <c r="CY8" s="327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</row>
    <row r="9" spans="2:115" s="322" customFormat="1" ht="23.25" customHeight="1" x14ac:dyDescent="0.35">
      <c r="B9" s="117">
        <f t="shared" si="8"/>
        <v>270.8107</v>
      </c>
      <c r="C9" s="355">
        <v>0.35416666666424135</v>
      </c>
      <c r="D9" s="341"/>
      <c r="E9" s="356"/>
      <c r="F9" s="357"/>
      <c r="G9" s="358"/>
      <c r="H9" s="358"/>
      <c r="I9" s="358"/>
      <c r="J9" s="358"/>
      <c r="K9" s="358"/>
      <c r="L9" s="358"/>
      <c r="M9" s="359"/>
      <c r="N9" s="360">
        <v>234.98590000000002</v>
      </c>
      <c r="O9" s="361">
        <v>229.80870000000004</v>
      </c>
      <c r="P9" s="361">
        <v>231.8202</v>
      </c>
      <c r="Q9" s="361">
        <v>218.64529999999999</v>
      </c>
      <c r="R9" s="361">
        <v>270.8107</v>
      </c>
      <c r="S9" s="361">
        <v>181.85079999999999</v>
      </c>
      <c r="T9" s="362">
        <v>69.45450000000001</v>
      </c>
      <c r="U9" s="363">
        <f t="shared" si="18"/>
        <v>234.98590000000002</v>
      </c>
      <c r="V9" s="358">
        <f t="shared" si="9"/>
        <v>229.80870000000004</v>
      </c>
      <c r="W9" s="358">
        <f t="shared" si="10"/>
        <v>231.8202</v>
      </c>
      <c r="X9" s="358">
        <f t="shared" si="11"/>
        <v>218.64529999999999</v>
      </c>
      <c r="Y9" s="358">
        <f t="shared" si="12"/>
        <v>270.8107</v>
      </c>
      <c r="Z9" s="358">
        <f t="shared" si="13"/>
        <v>181.85079999999999</v>
      </c>
      <c r="AA9" s="358">
        <f t="shared" si="14"/>
        <v>69.45450000000001</v>
      </c>
      <c r="AB9" s="358"/>
      <c r="AC9" s="358"/>
      <c r="AD9" s="358"/>
      <c r="AE9" s="358"/>
      <c r="AF9" s="358"/>
      <c r="AG9" s="364"/>
      <c r="AH9" s="364"/>
      <c r="AI9" s="365"/>
      <c r="AJ9" s="15"/>
      <c r="AK9" s="355">
        <v>0.35416666666424135</v>
      </c>
      <c r="AL9" s="366">
        <v>0.70833333337941495</v>
      </c>
      <c r="AM9" s="353">
        <f t="shared" si="15"/>
        <v>0</v>
      </c>
      <c r="AN9" s="17">
        <f t="shared" si="19"/>
        <v>0</v>
      </c>
      <c r="AO9" s="18">
        <f t="shared" si="19"/>
        <v>0</v>
      </c>
      <c r="AP9" s="17">
        <f t="shared" si="19"/>
        <v>0</v>
      </c>
      <c r="AQ9" s="18">
        <f t="shared" si="19"/>
        <v>0</v>
      </c>
      <c r="AR9" s="18">
        <f t="shared" si="19"/>
        <v>0</v>
      </c>
      <c r="AS9" s="18">
        <f t="shared" si="19"/>
        <v>0</v>
      </c>
      <c r="AT9" s="18">
        <f t="shared" si="19"/>
        <v>0</v>
      </c>
      <c r="AU9" s="18">
        <f t="shared" si="19"/>
        <v>0</v>
      </c>
      <c r="AV9" s="69">
        <f t="shared" si="19"/>
        <v>0</v>
      </c>
      <c r="AW9" s="164">
        <f>IF(($N$9-$N$8)&lt;0,0,$N$9-$N$8)</f>
        <v>79.544000000000011</v>
      </c>
      <c r="AX9" s="18">
        <f>IF(($O$9-$O$8)&lt;0,0,$O$9-$O$8)</f>
        <v>35.884000000000015</v>
      </c>
      <c r="AY9" s="18">
        <f>IF(($P$9-$P$8)&lt;0,0,$P$9-$P$8)</f>
        <v>45.036200000000008</v>
      </c>
      <c r="AZ9" s="18">
        <f>IF(($Q$9-$Q$8)&lt;0,0,$Q$9-$Q$8)</f>
        <v>33.413800000000009</v>
      </c>
      <c r="BA9" s="18">
        <f>IF(($R$9-$R$8)&lt;0,0,$R$9-$R$8)</f>
        <v>44.224000000000018</v>
      </c>
      <c r="BB9" s="18">
        <f>$S$5-$BB$8</f>
        <v>156.8519</v>
      </c>
      <c r="BC9" s="156">
        <f>$T$5-$BC$8</f>
        <v>84.227099999999979</v>
      </c>
      <c r="BD9" s="72">
        <f>IF(($N$9-$N$8)&lt;0,0,$N$9-$N$8)</f>
        <v>79.544000000000011</v>
      </c>
      <c r="BE9" s="18">
        <f>IF(($O$9-$O$8)&lt;0,0,$O$9-$O$8)</f>
        <v>35.884000000000015</v>
      </c>
      <c r="BF9" s="18">
        <f>IF(($P$9-$P$8)&lt;0,0,$P$9-$P$8)</f>
        <v>45.036200000000008</v>
      </c>
      <c r="BG9" s="18">
        <f>IF(($Q$9-$Q$8)&lt;0,0,$Q$9-$Q$8)</f>
        <v>33.413800000000009</v>
      </c>
      <c r="BH9" s="18">
        <f>IF(($R$9-$R$8)&lt;0,0,$R$9-$R$8)</f>
        <v>44.224000000000018</v>
      </c>
      <c r="BI9" s="18">
        <f>$S$5-$BB$8</f>
        <v>156.8519</v>
      </c>
      <c r="BJ9" s="19">
        <f>$T$5-$BC$8</f>
        <v>84.227099999999979</v>
      </c>
      <c r="BK9" s="72">
        <f t="shared" si="20"/>
        <v>0</v>
      </c>
      <c r="BL9" s="18">
        <f t="shared" si="20"/>
        <v>0</v>
      </c>
      <c r="BM9" s="18">
        <f t="shared" si="20"/>
        <v>0</v>
      </c>
      <c r="BN9" s="18">
        <f t="shared" si="20"/>
        <v>0</v>
      </c>
      <c r="BO9" s="18">
        <f t="shared" si="20"/>
        <v>0</v>
      </c>
      <c r="BP9" s="18">
        <f t="shared" si="20"/>
        <v>0</v>
      </c>
      <c r="BQ9" s="19">
        <f t="shared" si="20"/>
        <v>0</v>
      </c>
      <c r="BR9" s="65"/>
      <c r="BS9" s="355">
        <v>0.35416666666424135</v>
      </c>
      <c r="BT9" s="354"/>
      <c r="BU9" s="20"/>
      <c r="BV9" s="47"/>
      <c r="BW9" s="121"/>
      <c r="BX9" s="122"/>
      <c r="BY9" s="122"/>
      <c r="BZ9" s="122"/>
      <c r="CA9" s="122" t="e">
        <f>#REF!</f>
        <v>#REF!</v>
      </c>
      <c r="CB9" s="122" t="e">
        <f>#REF!</f>
        <v>#REF!</v>
      </c>
      <c r="CC9" s="140" t="e">
        <f>#REF!</f>
        <v>#REF!</v>
      </c>
      <c r="CD9" s="145">
        <f>SCHEDULES!$I$11</f>
        <v>0</v>
      </c>
      <c r="CE9" s="122">
        <f>SCHEDULES!$I$54</f>
        <v>0</v>
      </c>
      <c r="CF9" s="122">
        <f>SCHEDULES!$I$96</f>
        <v>0</v>
      </c>
      <c r="CG9" s="122">
        <f>SCHEDULES!$I$137</f>
        <v>0</v>
      </c>
      <c r="CH9" s="122">
        <f>SCHEDULES!$I$178</f>
        <v>0</v>
      </c>
      <c r="CI9" s="122">
        <f>SCHEDULES!$I$219</f>
        <v>0</v>
      </c>
      <c r="CJ9" s="146">
        <f>SCHEDULES!$I$260</f>
        <v>0</v>
      </c>
      <c r="CK9" s="108">
        <f>NEWSCHEDULES!$I$11</f>
        <v>0</v>
      </c>
      <c r="CL9" s="47">
        <f>NEWSCHEDULES!$I$54</f>
        <v>0</v>
      </c>
      <c r="CM9" s="47">
        <f>NEWSCHEDULES!$I$96</f>
        <v>0</v>
      </c>
      <c r="CN9" s="47">
        <f>NEWSCHEDULES!$I$137</f>
        <v>0</v>
      </c>
      <c r="CO9" s="47">
        <f>NEWSCHEDULES!$I$178</f>
        <v>0</v>
      </c>
      <c r="CP9" s="47">
        <f>NEWSCHEDULES!$I$219</f>
        <v>0</v>
      </c>
      <c r="CQ9" s="48">
        <f>NEWSCHEDULES!$I$260</f>
        <v>0</v>
      </c>
      <c r="CR9" s="108" t="e">
        <f>#REF!</f>
        <v>#REF!</v>
      </c>
      <c r="CS9" s="47" t="e">
        <f>#REF!</f>
        <v>#REF!</v>
      </c>
      <c r="CT9" s="47" t="e">
        <f>#REF!</f>
        <v>#REF!</v>
      </c>
      <c r="CU9" s="47" t="e">
        <f>#REF!</f>
        <v>#REF!</v>
      </c>
      <c r="CV9" s="47"/>
      <c r="CW9" s="47"/>
      <c r="CX9" s="48"/>
      <c r="CY9" s="327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</row>
    <row r="10" spans="2:115" s="322" customFormat="1" ht="23.25" customHeight="1" x14ac:dyDescent="0.35">
      <c r="B10" s="117">
        <f t="shared" si="8"/>
        <v>348.12440000000004</v>
      </c>
      <c r="C10" s="355">
        <v>0.375</v>
      </c>
      <c r="D10" s="341"/>
      <c r="E10" s="356"/>
      <c r="F10" s="357"/>
      <c r="G10" s="358"/>
      <c r="H10" s="358"/>
      <c r="I10" s="358"/>
      <c r="J10" s="358"/>
      <c r="K10" s="358"/>
      <c r="L10" s="358"/>
      <c r="M10" s="359"/>
      <c r="N10" s="360">
        <v>341.12400000000002</v>
      </c>
      <c r="O10" s="361">
        <v>305.31319999999999</v>
      </c>
      <c r="P10" s="361">
        <v>301.39669999999995</v>
      </c>
      <c r="Q10" s="361">
        <v>291.2799</v>
      </c>
      <c r="R10" s="361">
        <v>348.12440000000004</v>
      </c>
      <c r="S10" s="361">
        <v>214.94230000000005</v>
      </c>
      <c r="T10" s="362">
        <v>78.787899999999993</v>
      </c>
      <c r="U10" s="363">
        <f t="shared" si="18"/>
        <v>341.12400000000002</v>
      </c>
      <c r="V10" s="358">
        <f t="shared" si="9"/>
        <v>305.31319999999999</v>
      </c>
      <c r="W10" s="358">
        <f t="shared" si="10"/>
        <v>301.39669999999995</v>
      </c>
      <c r="X10" s="358">
        <f t="shared" si="11"/>
        <v>291.2799</v>
      </c>
      <c r="Y10" s="358">
        <f t="shared" si="12"/>
        <v>348.12440000000004</v>
      </c>
      <c r="Z10" s="358">
        <f t="shared" si="13"/>
        <v>214.94230000000005</v>
      </c>
      <c r="AA10" s="358">
        <f t="shared" si="14"/>
        <v>78.787899999999993</v>
      </c>
      <c r="AB10" s="358"/>
      <c r="AC10" s="358"/>
      <c r="AD10" s="358"/>
      <c r="AE10" s="358"/>
      <c r="AF10" s="358"/>
      <c r="AG10" s="364"/>
      <c r="AH10" s="364"/>
      <c r="AI10" s="365"/>
      <c r="AJ10" s="15"/>
      <c r="AK10" s="355">
        <v>0.375</v>
      </c>
      <c r="AL10" s="366">
        <v>0.72916666671517405</v>
      </c>
      <c r="AM10" s="353">
        <f t="shared" si="15"/>
        <v>0</v>
      </c>
      <c r="AN10" s="17">
        <f t="shared" si="19"/>
        <v>0</v>
      </c>
      <c r="AO10" s="18">
        <f t="shared" si="19"/>
        <v>0</v>
      </c>
      <c r="AP10" s="17">
        <f t="shared" si="19"/>
        <v>0</v>
      </c>
      <c r="AQ10" s="18">
        <f t="shared" si="19"/>
        <v>0</v>
      </c>
      <c r="AR10" s="18">
        <f t="shared" si="19"/>
        <v>0</v>
      </c>
      <c r="AS10" s="18">
        <f t="shared" si="19"/>
        <v>0</v>
      </c>
      <c r="AT10" s="18">
        <f t="shared" si="19"/>
        <v>0</v>
      </c>
      <c r="AU10" s="18">
        <f t="shared" si="19"/>
        <v>0</v>
      </c>
      <c r="AV10" s="69">
        <f t="shared" si="19"/>
        <v>0</v>
      </c>
      <c r="AW10" s="164">
        <f>IF(($N$10-$N$9)&lt;0,0,$N$10-$N$9)</f>
        <v>106.13810000000001</v>
      </c>
      <c r="AX10" s="18">
        <f>IF(($O$10-$O$9)&lt;0,0,$O$10-$O$9)</f>
        <v>75.50449999999995</v>
      </c>
      <c r="AY10" s="18">
        <f>IF(($P$10-$P$9)&lt;0,0,$P$10-$P$9)</f>
        <v>69.576499999999953</v>
      </c>
      <c r="AZ10" s="18">
        <f>IF(($Q$10-$Q$9)&lt;0,0,$Q$10-$Q$9)</f>
        <v>72.634600000000006</v>
      </c>
      <c r="BA10" s="18">
        <f>IF(($R$10-$R$9)&lt;0,0,$R$10-$R$9)</f>
        <v>77.31370000000004</v>
      </c>
      <c r="BB10" s="18"/>
      <c r="BC10" s="156"/>
      <c r="BD10" s="72">
        <f>IF(($N$10-$N$9)&lt;0,0,$N$10-$N$9)</f>
        <v>106.13810000000001</v>
      </c>
      <c r="BE10" s="18">
        <f>IF(($O$10-$O$9)&lt;0,0,$O$10-$O$9)</f>
        <v>75.50449999999995</v>
      </c>
      <c r="BF10" s="18">
        <f>IF(($P$10-$P$9)&lt;0,0,$P$10-$P$9)</f>
        <v>69.576499999999953</v>
      </c>
      <c r="BG10" s="18">
        <f>IF(($Q$10-$Q$9)&lt;0,0,$Q$10-$Q$9)</f>
        <v>72.634600000000006</v>
      </c>
      <c r="BH10" s="18">
        <f>IF(($R$10-$R$9)&lt;0,0,$R$10-$R$9)</f>
        <v>77.31370000000004</v>
      </c>
      <c r="BI10" s="18"/>
      <c r="BJ10" s="19"/>
      <c r="BK10" s="72">
        <f t="shared" si="20"/>
        <v>0</v>
      </c>
      <c r="BL10" s="18">
        <f t="shared" si="20"/>
        <v>0</v>
      </c>
      <c r="BM10" s="18">
        <f t="shared" si="20"/>
        <v>0</v>
      </c>
      <c r="BN10" s="18">
        <f t="shared" si="20"/>
        <v>0</v>
      </c>
      <c r="BO10" s="18">
        <f t="shared" si="20"/>
        <v>0</v>
      </c>
      <c r="BP10" s="18">
        <f t="shared" si="20"/>
        <v>0</v>
      </c>
      <c r="BQ10" s="19">
        <f t="shared" si="20"/>
        <v>0</v>
      </c>
      <c r="BR10" s="65"/>
      <c r="BS10" s="355">
        <v>0.375</v>
      </c>
      <c r="BT10" s="354"/>
      <c r="BU10" s="20"/>
      <c r="BV10" s="47"/>
      <c r="BW10" s="121"/>
      <c r="BX10" s="122"/>
      <c r="BY10" s="122"/>
      <c r="BZ10" s="122"/>
      <c r="CA10" s="122" t="e">
        <f>#REF!</f>
        <v>#REF!</v>
      </c>
      <c r="CB10" s="122" t="e">
        <f>#REF!</f>
        <v>#REF!</v>
      </c>
      <c r="CC10" s="140" t="e">
        <f>#REF!</f>
        <v>#REF!</v>
      </c>
      <c r="CD10" s="145">
        <f>SCHEDULES!$I$12</f>
        <v>0</v>
      </c>
      <c r="CE10" s="122">
        <f>SCHEDULES!$I$55</f>
        <v>0</v>
      </c>
      <c r="CF10" s="122">
        <f>SCHEDULES!$I$97</f>
        <v>0</v>
      </c>
      <c r="CG10" s="122">
        <f>SCHEDULES!$I$138</f>
        <v>0</v>
      </c>
      <c r="CH10" s="122">
        <f>SCHEDULES!$I$179</f>
        <v>0</v>
      </c>
      <c r="CI10" s="122">
        <f>SCHEDULES!$I$220</f>
        <v>0</v>
      </c>
      <c r="CJ10" s="146">
        <f>SCHEDULES!$I$261</f>
        <v>0</v>
      </c>
      <c r="CK10" s="108">
        <f>NEWSCHEDULES!$I$12</f>
        <v>0</v>
      </c>
      <c r="CL10" s="47">
        <f>NEWSCHEDULES!$I$55</f>
        <v>0</v>
      </c>
      <c r="CM10" s="47">
        <f>NEWSCHEDULES!$I$97</f>
        <v>0</v>
      </c>
      <c r="CN10" s="47">
        <f>NEWSCHEDULES!$I$138</f>
        <v>0</v>
      </c>
      <c r="CO10" s="47">
        <f>NEWSCHEDULES!$I$179</f>
        <v>0</v>
      </c>
      <c r="CP10" s="47">
        <f>NEWSCHEDULES!$I$220</f>
        <v>0</v>
      </c>
      <c r="CQ10" s="48">
        <f>NEWSCHEDULES!$I$261</f>
        <v>0</v>
      </c>
      <c r="CR10" s="108" t="e">
        <f>#REF!</f>
        <v>#REF!</v>
      </c>
      <c r="CS10" s="47" t="e">
        <f>#REF!</f>
        <v>#REF!</v>
      </c>
      <c r="CT10" s="47" t="e">
        <f>#REF!</f>
        <v>#REF!</v>
      </c>
      <c r="CU10" s="47" t="e">
        <f>#REF!</f>
        <v>#REF!</v>
      </c>
      <c r="CV10" s="47"/>
      <c r="CW10" s="47"/>
      <c r="CX10" s="48"/>
      <c r="CY10" s="327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</row>
    <row r="11" spans="2:115" s="322" customFormat="1" ht="23.25" customHeight="1" x14ac:dyDescent="0.35">
      <c r="B11" s="117">
        <f t="shared" si="8"/>
        <v>390.62090000000006</v>
      </c>
      <c r="C11" s="355">
        <v>0.39583333333575865</v>
      </c>
      <c r="D11" s="341"/>
      <c r="E11" s="356"/>
      <c r="F11" s="357"/>
      <c r="G11" s="358"/>
      <c r="H11" s="358"/>
      <c r="I11" s="358"/>
      <c r="J11" s="358"/>
      <c r="K11" s="358"/>
      <c r="L11" s="358"/>
      <c r="M11" s="359"/>
      <c r="N11" s="360">
        <v>390.62090000000006</v>
      </c>
      <c r="O11" s="361">
        <v>349.31330000000003</v>
      </c>
      <c r="P11" s="361">
        <v>342.9468</v>
      </c>
      <c r="Q11" s="361">
        <v>321.45799999999997</v>
      </c>
      <c r="R11" s="361">
        <v>379.60400000000004</v>
      </c>
      <c r="S11" s="361">
        <v>232.40180000000001</v>
      </c>
      <c r="T11" s="362">
        <v>91.303100000000001</v>
      </c>
      <c r="U11" s="363">
        <f t="shared" si="18"/>
        <v>390.62090000000006</v>
      </c>
      <c r="V11" s="358">
        <f t="shared" si="9"/>
        <v>349.31330000000003</v>
      </c>
      <c r="W11" s="358">
        <f t="shared" si="10"/>
        <v>342.9468</v>
      </c>
      <c r="X11" s="358">
        <f t="shared" si="11"/>
        <v>321.45799999999997</v>
      </c>
      <c r="Y11" s="358">
        <f t="shared" si="12"/>
        <v>379.60400000000004</v>
      </c>
      <c r="Z11" s="358">
        <f t="shared" si="13"/>
        <v>232.40180000000001</v>
      </c>
      <c r="AA11" s="358">
        <f t="shared" si="14"/>
        <v>91.303100000000001</v>
      </c>
      <c r="AB11" s="358"/>
      <c r="AC11" s="358"/>
      <c r="AD11" s="358"/>
      <c r="AE11" s="358"/>
      <c r="AF11" s="358"/>
      <c r="AG11" s="364"/>
      <c r="AH11" s="364"/>
      <c r="AI11" s="365"/>
      <c r="AJ11" s="15"/>
      <c r="AK11" s="355">
        <v>0.39583333333575865</v>
      </c>
      <c r="AL11" s="366">
        <v>0.75000000005093304</v>
      </c>
      <c r="AM11" s="353">
        <f t="shared" si="15"/>
        <v>0</v>
      </c>
      <c r="AN11" s="17">
        <f t="shared" si="19"/>
        <v>0</v>
      </c>
      <c r="AO11" s="18">
        <f t="shared" si="19"/>
        <v>0</v>
      </c>
      <c r="AP11" s="17">
        <f t="shared" si="19"/>
        <v>0</v>
      </c>
      <c r="AQ11" s="18">
        <f t="shared" si="19"/>
        <v>0</v>
      </c>
      <c r="AR11" s="18">
        <f t="shared" si="19"/>
        <v>0</v>
      </c>
      <c r="AS11" s="18">
        <f t="shared" si="19"/>
        <v>0</v>
      </c>
      <c r="AT11" s="18">
        <f t="shared" si="19"/>
        <v>0</v>
      </c>
      <c r="AU11" s="18">
        <f t="shared" si="19"/>
        <v>0</v>
      </c>
      <c r="AV11" s="69">
        <f t="shared" si="19"/>
        <v>0</v>
      </c>
      <c r="AW11" s="164">
        <f>IF(($N$11-$N$10)&lt;0,0,$N$11-$N$10)</f>
        <v>49.496900000000039</v>
      </c>
      <c r="AX11" s="18">
        <f>IF(($O$11-$O$10)&lt;0,0,$O$11-$O$10)</f>
        <v>44.000100000000032</v>
      </c>
      <c r="AY11" s="18">
        <f>IF(($P$11-$P$10)&lt;0,0,$P$11-$P$10)</f>
        <v>41.550100000000043</v>
      </c>
      <c r="AZ11" s="18">
        <f>IF(($Q$11-$Q$10)&lt;0,0,$Q$11-$Q$10)</f>
        <v>30.178099999999972</v>
      </c>
      <c r="BA11" s="18">
        <f>IF(($R$11-$R$10)&lt;0,0,$R$11-$R$10)</f>
        <v>31.479600000000005</v>
      </c>
      <c r="BB11" s="18"/>
      <c r="BC11" s="156"/>
      <c r="BD11" s="72">
        <f>IF(($N$11-$N$10)&lt;0,0,$N$11-$N$10)</f>
        <v>49.496900000000039</v>
      </c>
      <c r="BE11" s="18">
        <f>IF(($O$11-$O$10)&lt;0,0,$O$11-$O$10)</f>
        <v>44.000100000000032</v>
      </c>
      <c r="BF11" s="18">
        <f>IF(($P$11-$P$10)&lt;0,0,$P$11-$P$10)</f>
        <v>41.550100000000043</v>
      </c>
      <c r="BG11" s="18">
        <f>IF(($Q$11-$Q$10)&lt;0,0,$Q$11-$Q$10)</f>
        <v>30.178099999999972</v>
      </c>
      <c r="BH11" s="18">
        <f>IF(($R$11-$R$10)&lt;0,0,$R$11-$R$10)</f>
        <v>31.479600000000005</v>
      </c>
      <c r="BI11" s="18"/>
      <c r="BJ11" s="19"/>
      <c r="BK11" s="72">
        <f t="shared" si="20"/>
        <v>0</v>
      </c>
      <c r="BL11" s="18">
        <f t="shared" si="20"/>
        <v>0</v>
      </c>
      <c r="BM11" s="18">
        <f t="shared" si="20"/>
        <v>0</v>
      </c>
      <c r="BN11" s="18">
        <f t="shared" si="20"/>
        <v>0</v>
      </c>
      <c r="BO11" s="18">
        <f t="shared" si="20"/>
        <v>0</v>
      </c>
      <c r="BP11" s="18">
        <f t="shared" si="20"/>
        <v>0</v>
      </c>
      <c r="BQ11" s="19">
        <f t="shared" si="20"/>
        <v>0</v>
      </c>
      <c r="BR11" s="65"/>
      <c r="BS11" s="355">
        <v>0.39583333333575865</v>
      </c>
      <c r="BT11" s="354"/>
      <c r="BU11" s="20"/>
      <c r="BV11" s="47"/>
      <c r="BW11" s="121"/>
      <c r="BX11" s="122"/>
      <c r="BY11" s="122"/>
      <c r="BZ11" s="122"/>
      <c r="CA11" s="122" t="e">
        <f>#REF!</f>
        <v>#REF!</v>
      </c>
      <c r="CB11" s="122" t="e">
        <f>#REF!</f>
        <v>#REF!</v>
      </c>
      <c r="CC11" s="140" t="e">
        <f>#REF!</f>
        <v>#REF!</v>
      </c>
      <c r="CD11" s="145">
        <f>SCHEDULES!$I$13</f>
        <v>0</v>
      </c>
      <c r="CE11" s="122">
        <f>SCHEDULES!$I$56</f>
        <v>0</v>
      </c>
      <c r="CF11" s="122">
        <f>SCHEDULES!$I$98</f>
        <v>0</v>
      </c>
      <c r="CG11" s="122">
        <f>SCHEDULES!$I$139</f>
        <v>0</v>
      </c>
      <c r="CH11" s="122">
        <f>SCHEDULES!$I$180</f>
        <v>0</v>
      </c>
      <c r="CI11" s="122">
        <f>SCHEDULES!$I$221</f>
        <v>0</v>
      </c>
      <c r="CJ11" s="146">
        <f>SCHEDULES!$I$262</f>
        <v>0</v>
      </c>
      <c r="CK11" s="108">
        <f>NEWSCHEDULES!$I$13</f>
        <v>0</v>
      </c>
      <c r="CL11" s="47">
        <f>NEWSCHEDULES!$I$56</f>
        <v>0</v>
      </c>
      <c r="CM11" s="47">
        <f>NEWSCHEDULES!$I$98</f>
        <v>0</v>
      </c>
      <c r="CN11" s="47">
        <f>NEWSCHEDULES!$I$139</f>
        <v>0</v>
      </c>
      <c r="CO11" s="47">
        <f>NEWSCHEDULES!$I$180</f>
        <v>0</v>
      </c>
      <c r="CP11" s="47">
        <f>NEWSCHEDULES!$I$221</f>
        <v>0</v>
      </c>
      <c r="CQ11" s="48">
        <f>NEWSCHEDULES!$I$262</f>
        <v>0</v>
      </c>
      <c r="CR11" s="108" t="e">
        <f>#REF!</f>
        <v>#REF!</v>
      </c>
      <c r="CS11" s="47" t="e">
        <f>#REF!</f>
        <v>#REF!</v>
      </c>
      <c r="CT11" s="47" t="e">
        <f>#REF!</f>
        <v>#REF!</v>
      </c>
      <c r="CU11" s="47" t="e">
        <f>#REF!</f>
        <v>#REF!</v>
      </c>
      <c r="CV11" s="47"/>
      <c r="CW11" s="47"/>
      <c r="CX11" s="48"/>
      <c r="CY11" s="327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</row>
    <row r="12" spans="2:115" s="322" customFormat="1" ht="23.25" customHeight="1" x14ac:dyDescent="0.35">
      <c r="B12" s="117">
        <f t="shared" si="8"/>
        <v>412.51480000000004</v>
      </c>
      <c r="C12" s="355">
        <v>0.41666666666424135</v>
      </c>
      <c r="D12" s="341"/>
      <c r="E12" s="356"/>
      <c r="F12" s="357"/>
      <c r="G12" s="358"/>
      <c r="H12" s="358"/>
      <c r="I12" s="358"/>
      <c r="J12" s="358"/>
      <c r="K12" s="358"/>
      <c r="L12" s="358"/>
      <c r="M12" s="359"/>
      <c r="N12" s="360">
        <v>412.51480000000004</v>
      </c>
      <c r="O12" s="361">
        <v>356.44440000000003</v>
      </c>
      <c r="P12" s="361">
        <v>358.22430000000003</v>
      </c>
      <c r="Q12" s="361">
        <v>340.76759999999996</v>
      </c>
      <c r="R12" s="361">
        <v>382.39280000000002</v>
      </c>
      <c r="S12" s="361">
        <v>276.35660000000001</v>
      </c>
      <c r="T12" s="362">
        <v>109.9479</v>
      </c>
      <c r="U12" s="363">
        <f t="shared" si="18"/>
        <v>412.51480000000004</v>
      </c>
      <c r="V12" s="358">
        <f t="shared" si="9"/>
        <v>356.44440000000003</v>
      </c>
      <c r="W12" s="358">
        <f t="shared" si="10"/>
        <v>358.22430000000003</v>
      </c>
      <c r="X12" s="358">
        <f t="shared" si="11"/>
        <v>340.76759999999996</v>
      </c>
      <c r="Y12" s="358">
        <f t="shared" si="12"/>
        <v>382.39280000000002</v>
      </c>
      <c r="Z12" s="358">
        <f t="shared" si="13"/>
        <v>276.35660000000001</v>
      </c>
      <c r="AA12" s="358">
        <f t="shared" si="14"/>
        <v>109.9479</v>
      </c>
      <c r="AB12" s="358"/>
      <c r="AC12" s="358"/>
      <c r="AD12" s="358"/>
      <c r="AE12" s="358"/>
      <c r="AF12" s="358"/>
      <c r="AG12" s="364"/>
      <c r="AH12" s="364"/>
      <c r="AI12" s="365"/>
      <c r="AJ12" s="15"/>
      <c r="AK12" s="355">
        <v>0.41666666666424135</v>
      </c>
      <c r="AL12" s="366">
        <v>0.77083333338669202</v>
      </c>
      <c r="AM12" s="353">
        <f t="shared" si="15"/>
        <v>0</v>
      </c>
      <c r="AN12" s="17">
        <f t="shared" si="19"/>
        <v>0</v>
      </c>
      <c r="AO12" s="18">
        <f t="shared" si="19"/>
        <v>0</v>
      </c>
      <c r="AP12" s="17">
        <f t="shared" si="19"/>
        <v>0</v>
      </c>
      <c r="AQ12" s="18">
        <f t="shared" si="19"/>
        <v>0</v>
      </c>
      <c r="AR12" s="18">
        <f t="shared" si="19"/>
        <v>0</v>
      </c>
      <c r="AS12" s="18">
        <f t="shared" si="19"/>
        <v>0</v>
      </c>
      <c r="AT12" s="18">
        <f t="shared" si="19"/>
        <v>0</v>
      </c>
      <c r="AU12" s="18">
        <f t="shared" si="19"/>
        <v>0</v>
      </c>
      <c r="AV12" s="69">
        <f t="shared" si="19"/>
        <v>0</v>
      </c>
      <c r="AW12" s="164">
        <f>IF(($N$12-$N$11)&lt;0,0,$N$12-$N$11)</f>
        <v>21.893899999999974</v>
      </c>
      <c r="AX12" s="18">
        <f>IF(($O$12-$O$11)&lt;0,0,$O$12-$O$11)</f>
        <v>7.1311000000000035</v>
      </c>
      <c r="AY12" s="18">
        <f>IF(($P$12-$P$11)&lt;0,0,$P$12-$P$11)</f>
        <v>15.277500000000032</v>
      </c>
      <c r="AZ12" s="18">
        <f>IF(($Q$12-$Q$11)&lt;0,0,$Q$12-$Q$11)</f>
        <v>19.309599999999989</v>
      </c>
      <c r="BA12" s="18">
        <f>IF(($R$12-$R$11)&lt;0,0,$R$12-$R$11)</f>
        <v>2.7887999999999806</v>
      </c>
      <c r="BB12" s="18"/>
      <c r="BC12" s="156"/>
      <c r="BD12" s="72">
        <f>IF(($N$12-$N$11)&lt;0,0,$N$12-$N$11)</f>
        <v>21.893899999999974</v>
      </c>
      <c r="BE12" s="18">
        <f>IF(($O$12-$O$11)&lt;0,0,$O$12-$O$11)</f>
        <v>7.1311000000000035</v>
      </c>
      <c r="BF12" s="18">
        <f>IF(($P$12-$P$11)&lt;0,0,$P$12-$P$11)</f>
        <v>15.277500000000032</v>
      </c>
      <c r="BG12" s="18">
        <f>IF(($Q$12-$Q$11)&lt;0,0,$Q$12-$Q$11)</f>
        <v>19.309599999999989</v>
      </c>
      <c r="BH12" s="18">
        <f>IF(($R$12-$R$11)&lt;0,0,$R$12-$R$11)</f>
        <v>2.7887999999999806</v>
      </c>
      <c r="BI12" s="18"/>
      <c r="BJ12" s="19"/>
      <c r="BK12" s="72">
        <f t="shared" si="20"/>
        <v>0</v>
      </c>
      <c r="BL12" s="18">
        <f t="shared" si="20"/>
        <v>0</v>
      </c>
      <c r="BM12" s="18">
        <f t="shared" si="20"/>
        <v>0</v>
      </c>
      <c r="BN12" s="18">
        <f t="shared" si="20"/>
        <v>0</v>
      </c>
      <c r="BO12" s="18">
        <f t="shared" si="20"/>
        <v>0</v>
      </c>
      <c r="BP12" s="18">
        <f t="shared" si="20"/>
        <v>0</v>
      </c>
      <c r="BQ12" s="19">
        <f t="shared" si="20"/>
        <v>0</v>
      </c>
      <c r="BR12" s="65"/>
      <c r="BS12" s="355">
        <v>0.41666666666424135</v>
      </c>
      <c r="BT12" s="354"/>
      <c r="BU12" s="20"/>
      <c r="BV12" s="47"/>
      <c r="BW12" s="121"/>
      <c r="BX12" s="122"/>
      <c r="BY12" s="122"/>
      <c r="BZ12" s="122"/>
      <c r="CA12" s="122" t="e">
        <f>#REF!</f>
        <v>#REF!</v>
      </c>
      <c r="CB12" s="122" t="e">
        <f>#REF!</f>
        <v>#REF!</v>
      </c>
      <c r="CC12" s="140" t="e">
        <f>#REF!</f>
        <v>#REF!</v>
      </c>
      <c r="CD12" s="145">
        <f>SCHEDULES!$I$14</f>
        <v>0</v>
      </c>
      <c r="CE12" s="122">
        <f>SCHEDULES!$I$57</f>
        <v>0</v>
      </c>
      <c r="CF12" s="122">
        <f>SCHEDULES!$I$99</f>
        <v>0</v>
      </c>
      <c r="CG12" s="122">
        <f>SCHEDULES!$I$140</f>
        <v>0</v>
      </c>
      <c r="CH12" s="122">
        <f>SCHEDULES!$I$181</f>
        <v>0</v>
      </c>
      <c r="CI12" s="122">
        <f>SCHEDULES!$I$222</f>
        <v>0</v>
      </c>
      <c r="CJ12" s="146">
        <f>SCHEDULES!$I$263</f>
        <v>0</v>
      </c>
      <c r="CK12" s="108">
        <f>NEWSCHEDULES!$I$14</f>
        <v>0</v>
      </c>
      <c r="CL12" s="47">
        <f>NEWSCHEDULES!$I$57</f>
        <v>0</v>
      </c>
      <c r="CM12" s="47">
        <f>NEWSCHEDULES!$I$99</f>
        <v>0</v>
      </c>
      <c r="CN12" s="47">
        <f>NEWSCHEDULES!$I$140</f>
        <v>0</v>
      </c>
      <c r="CO12" s="47">
        <f>NEWSCHEDULES!$I$181</f>
        <v>0</v>
      </c>
      <c r="CP12" s="47">
        <f>NEWSCHEDULES!$I$222</f>
        <v>0</v>
      </c>
      <c r="CQ12" s="48">
        <f>NEWSCHEDULES!$I$263</f>
        <v>0</v>
      </c>
      <c r="CR12" s="108" t="e">
        <f>#REF!</f>
        <v>#REF!</v>
      </c>
      <c r="CS12" s="47" t="e">
        <f>#REF!</f>
        <v>#REF!</v>
      </c>
      <c r="CT12" s="47" t="e">
        <f>#REF!</f>
        <v>#REF!</v>
      </c>
      <c r="CU12" s="47" t="e">
        <f>#REF!</f>
        <v>#REF!</v>
      </c>
      <c r="CV12" s="47"/>
      <c r="CW12" s="47"/>
      <c r="CX12" s="48"/>
      <c r="CY12" s="327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</row>
    <row r="13" spans="2:115" s="322" customFormat="1" ht="23.25" customHeight="1" x14ac:dyDescent="0.35">
      <c r="B13" s="117">
        <f t="shared" si="8"/>
        <v>424.96769999999998</v>
      </c>
      <c r="C13" s="355">
        <v>0.4375</v>
      </c>
      <c r="D13" s="341"/>
      <c r="E13" s="356"/>
      <c r="F13" s="357"/>
      <c r="G13" s="358"/>
      <c r="H13" s="358"/>
      <c r="I13" s="358"/>
      <c r="J13" s="358"/>
      <c r="K13" s="358"/>
      <c r="L13" s="358"/>
      <c r="M13" s="359"/>
      <c r="N13" s="360">
        <v>424.96769999999998</v>
      </c>
      <c r="O13" s="361">
        <v>365.45699999999999</v>
      </c>
      <c r="P13" s="361">
        <v>360.61890000000005</v>
      </c>
      <c r="Q13" s="361">
        <v>344.89920000000001</v>
      </c>
      <c r="R13" s="361">
        <v>380.19499999999999</v>
      </c>
      <c r="S13" s="361">
        <v>296.63690000000003</v>
      </c>
      <c r="T13" s="362">
        <v>117.82890000000002</v>
      </c>
      <c r="U13" s="363">
        <f t="shared" si="18"/>
        <v>424.96769999999998</v>
      </c>
      <c r="V13" s="358">
        <f t="shared" si="9"/>
        <v>365.45699999999999</v>
      </c>
      <c r="W13" s="358">
        <f t="shared" si="10"/>
        <v>360.61890000000005</v>
      </c>
      <c r="X13" s="358">
        <f t="shared" si="11"/>
        <v>344.89920000000001</v>
      </c>
      <c r="Y13" s="358">
        <f t="shared" si="12"/>
        <v>380.19499999999999</v>
      </c>
      <c r="Z13" s="358">
        <f t="shared" si="13"/>
        <v>296.63690000000003</v>
      </c>
      <c r="AA13" s="358">
        <f t="shared" si="14"/>
        <v>117.82890000000002</v>
      </c>
      <c r="AB13" s="358"/>
      <c r="AC13" s="358"/>
      <c r="AD13" s="358"/>
      <c r="AE13" s="358"/>
      <c r="AF13" s="358"/>
      <c r="AG13" s="364"/>
      <c r="AH13" s="364"/>
      <c r="AI13" s="365"/>
      <c r="AJ13" s="15"/>
      <c r="AK13" s="355">
        <v>0.4375</v>
      </c>
      <c r="AL13" s="366">
        <v>0.79166666672245101</v>
      </c>
      <c r="AM13" s="353">
        <f t="shared" ref="AM13:AM19" si="21">MAX(E62:AI62)</f>
        <v>0</v>
      </c>
      <c r="AN13" s="17">
        <f t="shared" ref="AN13:AV18" si="22">IF(E29-E30&lt;0,0,E29-E30)</f>
        <v>0</v>
      </c>
      <c r="AO13" s="18">
        <f t="shared" si="22"/>
        <v>0</v>
      </c>
      <c r="AP13" s="17">
        <f t="shared" si="22"/>
        <v>0</v>
      </c>
      <c r="AQ13" s="18">
        <f t="shared" si="22"/>
        <v>0</v>
      </c>
      <c r="AR13" s="18">
        <f t="shared" si="22"/>
        <v>0</v>
      </c>
      <c r="AS13" s="18">
        <f t="shared" si="22"/>
        <v>0</v>
      </c>
      <c r="AT13" s="18">
        <f t="shared" si="22"/>
        <v>0</v>
      </c>
      <c r="AU13" s="18">
        <f t="shared" si="22"/>
        <v>0</v>
      </c>
      <c r="AV13" s="69">
        <f t="shared" si="22"/>
        <v>0</v>
      </c>
      <c r="AW13" s="164">
        <f>IF($N$29-$N$30&lt;0,0,$N$29-$N$30)</f>
        <v>44.676500000000004</v>
      </c>
      <c r="AX13" s="18">
        <f>IF($O$29-$O$30&lt;0,0,$O$29-$O$30)</f>
        <v>32.842999999999961</v>
      </c>
      <c r="AY13" s="18">
        <f>IF($P$29-$P$30&lt;0,0,$P$29-$P$30)</f>
        <v>25.080699999999979</v>
      </c>
      <c r="AZ13" s="18">
        <f>IF($Q$29-$Q$30&lt;0,0,$Q$29-$Q$30)</f>
        <v>32.943399999999997</v>
      </c>
      <c r="BA13" s="18">
        <f>IF($R$29-$R$30&lt;0,0,$R$29-$R$30)</f>
        <v>38.858899999999949</v>
      </c>
      <c r="BB13" s="18"/>
      <c r="BC13" s="156"/>
      <c r="BD13" s="72">
        <f>IF($N$29-$N$30&lt;0,0,$N$29-$N$30)</f>
        <v>44.676500000000004</v>
      </c>
      <c r="BE13" s="18">
        <f>IF($O$29-$O$30&lt;0,0,$O$29-$O$30)</f>
        <v>32.842999999999961</v>
      </c>
      <c r="BF13" s="18">
        <f>IF($P$29-$P$30&lt;0,0,$P$29-$P$30)</f>
        <v>25.080699999999979</v>
      </c>
      <c r="BG13" s="18">
        <f>IF($Q$29-$Q$30&lt;0,0,$Q$29-$Q$30)</f>
        <v>32.943399999999997</v>
      </c>
      <c r="BH13" s="18">
        <f>IF($R$29-$R$30&lt;0,0,$R$29-$R$30)</f>
        <v>38.858899999999949</v>
      </c>
      <c r="BI13" s="18"/>
      <c r="BJ13" s="19"/>
      <c r="BK13" s="72">
        <f t="shared" ref="BK13:BQ18" si="23">IF(AB29-AB30&lt;0,0,AB29-AB30)</f>
        <v>0</v>
      </c>
      <c r="BL13" s="18">
        <f t="shared" si="23"/>
        <v>0</v>
      </c>
      <c r="BM13" s="18">
        <f t="shared" si="23"/>
        <v>0</v>
      </c>
      <c r="BN13" s="18">
        <f t="shared" si="23"/>
        <v>0</v>
      </c>
      <c r="BO13" s="18">
        <f t="shared" si="23"/>
        <v>0</v>
      </c>
      <c r="BP13" s="18">
        <f t="shared" si="23"/>
        <v>0</v>
      </c>
      <c r="BQ13" s="19">
        <f t="shared" si="23"/>
        <v>0</v>
      </c>
      <c r="BR13" s="65"/>
      <c r="BS13" s="355">
        <v>0.4375</v>
      </c>
      <c r="BT13" s="354"/>
      <c r="BU13" s="20"/>
      <c r="BV13" s="47"/>
      <c r="BW13" s="121"/>
      <c r="BX13" s="122"/>
      <c r="BY13" s="122"/>
      <c r="BZ13" s="122"/>
      <c r="CA13" s="122" t="e">
        <f>#REF!</f>
        <v>#REF!</v>
      </c>
      <c r="CB13" s="122" t="e">
        <f>#REF!</f>
        <v>#REF!</v>
      </c>
      <c r="CC13" s="140" t="e">
        <f>#REF!</f>
        <v>#REF!</v>
      </c>
      <c r="CD13" s="145">
        <f>SCHEDULES!$I$15</f>
        <v>0</v>
      </c>
      <c r="CE13" s="122">
        <f>SCHEDULES!$I$58</f>
        <v>0</v>
      </c>
      <c r="CF13" s="122">
        <f>SCHEDULES!$I$100</f>
        <v>0</v>
      </c>
      <c r="CG13" s="122">
        <f>SCHEDULES!$I$141</f>
        <v>0</v>
      </c>
      <c r="CH13" s="122">
        <f>SCHEDULES!$I$182</f>
        <v>0</v>
      </c>
      <c r="CI13" s="122">
        <f>SCHEDULES!$I$223</f>
        <v>0</v>
      </c>
      <c r="CJ13" s="146">
        <f>SCHEDULES!$I$264</f>
        <v>0</v>
      </c>
      <c r="CK13" s="108">
        <f>NEWSCHEDULES!$I$15</f>
        <v>0</v>
      </c>
      <c r="CL13" s="47">
        <f>NEWSCHEDULES!$I$58</f>
        <v>0</v>
      </c>
      <c r="CM13" s="47">
        <f>NEWSCHEDULES!$I$100</f>
        <v>0</v>
      </c>
      <c r="CN13" s="47">
        <f>NEWSCHEDULES!$I$141</f>
        <v>0</v>
      </c>
      <c r="CO13" s="47">
        <f>NEWSCHEDULES!$I$182</f>
        <v>0</v>
      </c>
      <c r="CP13" s="47">
        <f>NEWSCHEDULES!$I$223</f>
        <v>0</v>
      </c>
      <c r="CQ13" s="48">
        <f>NEWSCHEDULES!$I$264</f>
        <v>0</v>
      </c>
      <c r="CR13" s="108" t="e">
        <f>#REF!</f>
        <v>#REF!</v>
      </c>
      <c r="CS13" s="47" t="e">
        <f>#REF!</f>
        <v>#REF!</v>
      </c>
      <c r="CT13" s="47" t="e">
        <f>#REF!</f>
        <v>#REF!</v>
      </c>
      <c r="CU13" s="47" t="e">
        <f>#REF!</f>
        <v>#REF!</v>
      </c>
      <c r="CV13" s="47"/>
      <c r="CW13" s="47"/>
      <c r="CX13" s="48"/>
      <c r="CY13" s="327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</row>
    <row r="14" spans="2:115" s="322" customFormat="1" ht="23.25" customHeight="1" x14ac:dyDescent="0.35">
      <c r="B14" s="117">
        <f t="shared" si="8"/>
        <v>430.84839999999997</v>
      </c>
      <c r="C14" s="355">
        <v>0.45833333333575865</v>
      </c>
      <c r="D14" s="341"/>
      <c r="E14" s="356"/>
      <c r="F14" s="357"/>
      <c r="G14" s="358"/>
      <c r="H14" s="358"/>
      <c r="I14" s="358"/>
      <c r="J14" s="358"/>
      <c r="K14" s="358"/>
      <c r="L14" s="358"/>
      <c r="M14" s="359"/>
      <c r="N14" s="360">
        <v>430.84839999999997</v>
      </c>
      <c r="O14" s="361">
        <v>396.07870000000003</v>
      </c>
      <c r="P14" s="361">
        <v>384.34350000000001</v>
      </c>
      <c r="Q14" s="361">
        <v>372.1343</v>
      </c>
      <c r="R14" s="361">
        <v>390.8854</v>
      </c>
      <c r="S14" s="361">
        <v>284.35400000000004</v>
      </c>
      <c r="T14" s="362">
        <v>119.32170000000001</v>
      </c>
      <c r="U14" s="363">
        <f t="shared" si="18"/>
        <v>430.84839999999997</v>
      </c>
      <c r="V14" s="358">
        <f t="shared" si="9"/>
        <v>396.07870000000003</v>
      </c>
      <c r="W14" s="358">
        <f t="shared" si="10"/>
        <v>384.34350000000001</v>
      </c>
      <c r="X14" s="358">
        <f t="shared" si="11"/>
        <v>372.1343</v>
      </c>
      <c r="Y14" s="358">
        <f t="shared" si="12"/>
        <v>390.8854</v>
      </c>
      <c r="Z14" s="358">
        <f t="shared" si="13"/>
        <v>284.35400000000004</v>
      </c>
      <c r="AA14" s="358">
        <f t="shared" si="14"/>
        <v>119.32170000000001</v>
      </c>
      <c r="AB14" s="358"/>
      <c r="AC14" s="358"/>
      <c r="AD14" s="358"/>
      <c r="AE14" s="358"/>
      <c r="AF14" s="358"/>
      <c r="AG14" s="364"/>
      <c r="AH14" s="364"/>
      <c r="AI14" s="365"/>
      <c r="AJ14" s="15"/>
      <c r="AK14" s="355">
        <v>0.45833333333575865</v>
      </c>
      <c r="AL14" s="366">
        <v>0.81250000005820999</v>
      </c>
      <c r="AM14" s="353">
        <f t="shared" si="21"/>
        <v>0</v>
      </c>
      <c r="AN14" s="17">
        <f t="shared" si="22"/>
        <v>0</v>
      </c>
      <c r="AO14" s="18">
        <f t="shared" si="22"/>
        <v>0</v>
      </c>
      <c r="AP14" s="17">
        <f t="shared" si="22"/>
        <v>0</v>
      </c>
      <c r="AQ14" s="18">
        <f t="shared" si="22"/>
        <v>0</v>
      </c>
      <c r="AR14" s="18">
        <f t="shared" si="22"/>
        <v>0</v>
      </c>
      <c r="AS14" s="18">
        <f t="shared" si="22"/>
        <v>0</v>
      </c>
      <c r="AT14" s="18">
        <f t="shared" si="22"/>
        <v>0</v>
      </c>
      <c r="AU14" s="18">
        <f t="shared" si="22"/>
        <v>0</v>
      </c>
      <c r="AV14" s="69">
        <f t="shared" si="22"/>
        <v>0</v>
      </c>
      <c r="AW14" s="164">
        <f>IF($N$30-$N$31&lt;0,0,$N$30-$N$31)</f>
        <v>21.341800000000006</v>
      </c>
      <c r="AX14" s="18">
        <f>IF($O$30-$O$31&lt;0,0,$O$30-$O$31)</f>
        <v>26.993800000000022</v>
      </c>
      <c r="AY14" s="18">
        <f>IF($P$30-$P$31&lt;0,0,$P$30-$P$31)</f>
        <v>21.41870000000003</v>
      </c>
      <c r="AZ14" s="18">
        <f>IF($Q$30-$Q$31&lt;0,0,$Q$30-$Q$31)</f>
        <v>27.517200000000059</v>
      </c>
      <c r="BA14" s="18">
        <f>IF($R$30-$R$31&lt;0,0,$R$30-$R$31)</f>
        <v>27.504800000000017</v>
      </c>
      <c r="BB14" s="18"/>
      <c r="BC14" s="156"/>
      <c r="BD14" s="72">
        <f>IF($N$30-$N$31&lt;0,0,$N$30-$N$31)</f>
        <v>21.341800000000006</v>
      </c>
      <c r="BE14" s="18">
        <f>IF($O$30-$O$31&lt;0,0,$O$30-$O$31)</f>
        <v>26.993800000000022</v>
      </c>
      <c r="BF14" s="18">
        <f>IF($P$30-$P$31&lt;0,0,$P$30-$P$31)</f>
        <v>21.41870000000003</v>
      </c>
      <c r="BG14" s="18">
        <f>IF($Q$30-$Q$31&lt;0,0,$Q$30-$Q$31)</f>
        <v>27.517200000000059</v>
      </c>
      <c r="BH14" s="18">
        <f>IF($R$30-$R$31&lt;0,0,$R$30-$R$31)</f>
        <v>27.504800000000017</v>
      </c>
      <c r="BI14" s="18"/>
      <c r="BJ14" s="19"/>
      <c r="BK14" s="72">
        <f t="shared" si="23"/>
        <v>0</v>
      </c>
      <c r="BL14" s="18">
        <f t="shared" si="23"/>
        <v>0</v>
      </c>
      <c r="BM14" s="18">
        <f t="shared" si="23"/>
        <v>0</v>
      </c>
      <c r="BN14" s="18">
        <f t="shared" si="23"/>
        <v>0</v>
      </c>
      <c r="BO14" s="18">
        <f t="shared" si="23"/>
        <v>0</v>
      </c>
      <c r="BP14" s="18">
        <f t="shared" si="23"/>
        <v>0</v>
      </c>
      <c r="BQ14" s="19">
        <f t="shared" si="23"/>
        <v>0</v>
      </c>
      <c r="BR14" s="65"/>
      <c r="BS14" s="355">
        <v>0.45833333333575865</v>
      </c>
      <c r="BT14" s="354"/>
      <c r="BU14" s="20"/>
      <c r="BV14" s="47"/>
      <c r="BW14" s="121"/>
      <c r="BX14" s="122"/>
      <c r="BY14" s="122"/>
      <c r="BZ14" s="122"/>
      <c r="CA14" s="122" t="e">
        <f>#REF!</f>
        <v>#REF!</v>
      </c>
      <c r="CB14" s="122" t="e">
        <f>#REF!</f>
        <v>#REF!</v>
      </c>
      <c r="CC14" s="140" t="e">
        <f>#REF!</f>
        <v>#REF!</v>
      </c>
      <c r="CD14" s="145">
        <f>SCHEDULES!$I$16</f>
        <v>0</v>
      </c>
      <c r="CE14" s="122">
        <f>SCHEDULES!$I$59</f>
        <v>0</v>
      </c>
      <c r="CF14" s="122">
        <f>SCHEDULES!$I$101</f>
        <v>0</v>
      </c>
      <c r="CG14" s="122">
        <f>SCHEDULES!$I$142</f>
        <v>0</v>
      </c>
      <c r="CH14" s="122">
        <f>SCHEDULES!$I$183</f>
        <v>0</v>
      </c>
      <c r="CI14" s="122">
        <f>SCHEDULES!$I$224</f>
        <v>0</v>
      </c>
      <c r="CJ14" s="146">
        <f>SCHEDULES!$I$265</f>
        <v>0</v>
      </c>
      <c r="CK14" s="108">
        <f>NEWSCHEDULES!$I$16</f>
        <v>0</v>
      </c>
      <c r="CL14" s="47">
        <f>NEWSCHEDULES!$I$59</f>
        <v>0</v>
      </c>
      <c r="CM14" s="47">
        <f>NEWSCHEDULES!$I$101</f>
        <v>0</v>
      </c>
      <c r="CN14" s="47">
        <f>NEWSCHEDULES!$I$142</f>
        <v>0</v>
      </c>
      <c r="CO14" s="47">
        <f>NEWSCHEDULES!$I$183</f>
        <v>0</v>
      </c>
      <c r="CP14" s="47">
        <f>NEWSCHEDULES!$I$224</f>
        <v>0</v>
      </c>
      <c r="CQ14" s="48">
        <f>NEWSCHEDULES!$I$265</f>
        <v>0</v>
      </c>
      <c r="CR14" s="108" t="e">
        <f>#REF!</f>
        <v>#REF!</v>
      </c>
      <c r="CS14" s="47" t="e">
        <f>#REF!</f>
        <v>#REF!</v>
      </c>
      <c r="CT14" s="47" t="e">
        <f>#REF!</f>
        <v>#REF!</v>
      </c>
      <c r="CU14" s="47" t="e">
        <f>#REF!</f>
        <v>#REF!</v>
      </c>
      <c r="CV14" s="47"/>
      <c r="CW14" s="47"/>
      <c r="CX14" s="48"/>
      <c r="CY14" s="327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</row>
    <row r="15" spans="2:115" s="322" customFormat="1" ht="23.25" customHeight="1" x14ac:dyDescent="0.35">
      <c r="B15" s="117">
        <f t="shared" si="8"/>
        <v>376.64850000000001</v>
      </c>
      <c r="C15" s="355">
        <v>0.47916666666424135</v>
      </c>
      <c r="D15" s="341"/>
      <c r="E15" s="356"/>
      <c r="F15" s="357"/>
      <c r="G15" s="358"/>
      <c r="H15" s="358"/>
      <c r="I15" s="358"/>
      <c r="J15" s="358"/>
      <c r="K15" s="358"/>
      <c r="L15" s="358"/>
      <c r="M15" s="359"/>
      <c r="N15" s="360">
        <v>368.95180000000011</v>
      </c>
      <c r="O15" s="361">
        <v>376.64850000000001</v>
      </c>
      <c r="P15" s="361">
        <v>367.8</v>
      </c>
      <c r="Q15" s="361">
        <v>350.28680000000003</v>
      </c>
      <c r="R15" s="361">
        <v>365.08920000000001</v>
      </c>
      <c r="S15" s="361">
        <v>299.38670000000002</v>
      </c>
      <c r="T15" s="362">
        <v>129.25790000000001</v>
      </c>
      <c r="U15" s="363">
        <f t="shared" si="18"/>
        <v>368.95180000000011</v>
      </c>
      <c r="V15" s="358">
        <f t="shared" si="9"/>
        <v>376.64850000000001</v>
      </c>
      <c r="W15" s="358">
        <f t="shared" si="10"/>
        <v>367.8</v>
      </c>
      <c r="X15" s="358">
        <f t="shared" si="11"/>
        <v>350.28680000000003</v>
      </c>
      <c r="Y15" s="358">
        <f t="shared" si="12"/>
        <v>365.08920000000001</v>
      </c>
      <c r="Z15" s="358">
        <f t="shared" si="13"/>
        <v>299.38670000000002</v>
      </c>
      <c r="AA15" s="358">
        <f t="shared" si="14"/>
        <v>129.25790000000001</v>
      </c>
      <c r="AB15" s="358"/>
      <c r="AC15" s="358"/>
      <c r="AD15" s="358"/>
      <c r="AE15" s="358"/>
      <c r="AF15" s="358"/>
      <c r="AG15" s="364"/>
      <c r="AH15" s="364"/>
      <c r="AI15" s="365"/>
      <c r="AJ15" s="15"/>
      <c r="AK15" s="355">
        <v>0.47916666666424135</v>
      </c>
      <c r="AL15" s="366">
        <v>0.83333333339396898</v>
      </c>
      <c r="AM15" s="353">
        <f t="shared" si="21"/>
        <v>0</v>
      </c>
      <c r="AN15" s="17">
        <f t="shared" si="22"/>
        <v>0</v>
      </c>
      <c r="AO15" s="18">
        <f t="shared" si="22"/>
        <v>0</v>
      </c>
      <c r="AP15" s="17">
        <f t="shared" si="22"/>
        <v>0</v>
      </c>
      <c r="AQ15" s="18">
        <f t="shared" si="22"/>
        <v>0</v>
      </c>
      <c r="AR15" s="18">
        <f t="shared" si="22"/>
        <v>0</v>
      </c>
      <c r="AS15" s="18">
        <f t="shared" si="22"/>
        <v>0</v>
      </c>
      <c r="AT15" s="18">
        <f t="shared" si="22"/>
        <v>0</v>
      </c>
      <c r="AU15" s="18">
        <f t="shared" si="22"/>
        <v>0</v>
      </c>
      <c r="AV15" s="69">
        <f t="shared" si="22"/>
        <v>0</v>
      </c>
      <c r="AW15" s="164">
        <f>IF($N$31-$N$32&lt;0,0,$N$31-$N$32)</f>
        <v>35.157800000000009</v>
      </c>
      <c r="AX15" s="18">
        <f>IF($O$31-$O$32&lt;0,0,$O$31-$O$32)</f>
        <v>27.25230000000002</v>
      </c>
      <c r="AY15" s="18">
        <f>IF($P$31-$P$32&lt;0,0,$P$31-$P$32)</f>
        <v>32.265599999999978</v>
      </c>
      <c r="AZ15" s="18">
        <f>IF($Q$31-$Q$32&lt;0,0,$Q$31-$Q$32)</f>
        <v>23.688699999999955</v>
      </c>
      <c r="BA15" s="18">
        <f>IF($R$31-$R$32&lt;0,0,$R$31-$R$32)</f>
        <v>20.918599999999998</v>
      </c>
      <c r="BB15" s="18"/>
      <c r="BC15" s="156"/>
      <c r="BD15" s="72">
        <f>IF($N$31-$N$32&lt;0,0,$N$31-$N$32)</f>
        <v>35.157800000000009</v>
      </c>
      <c r="BE15" s="18">
        <f>IF($O$31-$O$32&lt;0,0,$O$31-$O$32)</f>
        <v>27.25230000000002</v>
      </c>
      <c r="BF15" s="18">
        <f>IF($P$31-$P$32&lt;0,0,$P$31-$P$32)</f>
        <v>32.265599999999978</v>
      </c>
      <c r="BG15" s="18">
        <f>IF($Q$31-$Q$32&lt;0,0,$Q$31-$Q$32)</f>
        <v>23.688699999999955</v>
      </c>
      <c r="BH15" s="18">
        <f>IF($R$31-$R$32&lt;0,0,$R$31-$R$32)</f>
        <v>20.918599999999998</v>
      </c>
      <c r="BI15" s="18"/>
      <c r="BJ15" s="19"/>
      <c r="BK15" s="72">
        <f t="shared" si="23"/>
        <v>0</v>
      </c>
      <c r="BL15" s="18">
        <f t="shared" si="23"/>
        <v>0</v>
      </c>
      <c r="BM15" s="18">
        <f t="shared" si="23"/>
        <v>0</v>
      </c>
      <c r="BN15" s="18">
        <f t="shared" si="23"/>
        <v>0</v>
      </c>
      <c r="BO15" s="18">
        <f t="shared" si="23"/>
        <v>0</v>
      </c>
      <c r="BP15" s="18">
        <f t="shared" si="23"/>
        <v>0</v>
      </c>
      <c r="BQ15" s="19">
        <f t="shared" si="23"/>
        <v>0</v>
      </c>
      <c r="BR15" s="65"/>
      <c r="BS15" s="355">
        <v>0.47916666666424135</v>
      </c>
      <c r="BT15" s="354"/>
      <c r="BU15" s="20"/>
      <c r="BV15" s="47"/>
      <c r="BW15" s="121"/>
      <c r="BX15" s="122"/>
      <c r="BY15" s="122"/>
      <c r="BZ15" s="122"/>
      <c r="CA15" s="122" t="e">
        <f>#REF!</f>
        <v>#REF!</v>
      </c>
      <c r="CB15" s="122" t="e">
        <f>#REF!</f>
        <v>#REF!</v>
      </c>
      <c r="CC15" s="140" t="e">
        <f>#REF!</f>
        <v>#REF!</v>
      </c>
      <c r="CD15" s="145">
        <f>SCHEDULES!$I$17</f>
        <v>0</v>
      </c>
      <c r="CE15" s="122">
        <f>SCHEDULES!$I$60</f>
        <v>0</v>
      </c>
      <c r="CF15" s="122">
        <f>SCHEDULES!$I$102</f>
        <v>0</v>
      </c>
      <c r="CG15" s="122">
        <f>SCHEDULES!$I$143</f>
        <v>0</v>
      </c>
      <c r="CH15" s="122">
        <f>SCHEDULES!$I$184</f>
        <v>0</v>
      </c>
      <c r="CI15" s="122">
        <f>SCHEDULES!$I$225</f>
        <v>0</v>
      </c>
      <c r="CJ15" s="146">
        <f>SCHEDULES!$I$266</f>
        <v>0</v>
      </c>
      <c r="CK15" s="108">
        <f>NEWSCHEDULES!$I$17</f>
        <v>0</v>
      </c>
      <c r="CL15" s="47">
        <f>NEWSCHEDULES!$I$60</f>
        <v>0</v>
      </c>
      <c r="CM15" s="47">
        <f>NEWSCHEDULES!$I$102</f>
        <v>0</v>
      </c>
      <c r="CN15" s="47">
        <f>NEWSCHEDULES!$I$143</f>
        <v>0</v>
      </c>
      <c r="CO15" s="47">
        <f>NEWSCHEDULES!$I$184</f>
        <v>0</v>
      </c>
      <c r="CP15" s="47">
        <f>NEWSCHEDULES!$I$225</f>
        <v>0</v>
      </c>
      <c r="CQ15" s="48">
        <f>NEWSCHEDULES!$I$266</f>
        <v>0</v>
      </c>
      <c r="CR15" s="108" t="e">
        <f>#REF!</f>
        <v>#REF!</v>
      </c>
      <c r="CS15" s="47" t="e">
        <f>#REF!</f>
        <v>#REF!</v>
      </c>
      <c r="CT15" s="47" t="e">
        <f>#REF!</f>
        <v>#REF!</v>
      </c>
      <c r="CU15" s="47" t="e">
        <f>#REF!</f>
        <v>#REF!</v>
      </c>
      <c r="CV15" s="47"/>
      <c r="CW15" s="47"/>
      <c r="CX15" s="48"/>
      <c r="CY15" s="327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</row>
    <row r="16" spans="2:115" s="322" customFormat="1" ht="23.25" customHeight="1" x14ac:dyDescent="0.35">
      <c r="B16" s="117">
        <f t="shared" si="8"/>
        <v>392.3981</v>
      </c>
      <c r="C16" s="355">
        <v>0.5</v>
      </c>
      <c r="D16" s="341"/>
      <c r="E16" s="356"/>
      <c r="F16" s="357"/>
      <c r="G16" s="358"/>
      <c r="H16" s="358"/>
      <c r="I16" s="358"/>
      <c r="J16" s="358"/>
      <c r="K16" s="358"/>
      <c r="L16" s="358"/>
      <c r="M16" s="359"/>
      <c r="N16" s="360">
        <v>392.3981</v>
      </c>
      <c r="O16" s="361">
        <v>358.64869999999996</v>
      </c>
      <c r="P16" s="361">
        <v>351.25970000000001</v>
      </c>
      <c r="Q16" s="361">
        <v>344.15100000000007</v>
      </c>
      <c r="R16" s="361">
        <v>345.31989999999996</v>
      </c>
      <c r="S16" s="361">
        <v>269.97180000000003</v>
      </c>
      <c r="T16" s="362">
        <v>146.56049999999999</v>
      </c>
      <c r="U16" s="363">
        <f t="shared" si="18"/>
        <v>392.3981</v>
      </c>
      <c r="V16" s="358">
        <f t="shared" si="9"/>
        <v>358.64869999999996</v>
      </c>
      <c r="W16" s="358">
        <f t="shared" si="10"/>
        <v>351.25970000000001</v>
      </c>
      <c r="X16" s="358">
        <f t="shared" si="11"/>
        <v>344.15100000000007</v>
      </c>
      <c r="Y16" s="358">
        <f t="shared" si="12"/>
        <v>345.31989999999996</v>
      </c>
      <c r="Z16" s="358">
        <f t="shared" si="13"/>
        <v>269.97180000000003</v>
      </c>
      <c r="AA16" s="358">
        <f t="shared" si="14"/>
        <v>146.56049999999999</v>
      </c>
      <c r="AB16" s="358"/>
      <c r="AC16" s="358"/>
      <c r="AD16" s="358"/>
      <c r="AE16" s="358"/>
      <c r="AF16" s="358"/>
      <c r="AG16" s="364"/>
      <c r="AH16" s="364"/>
      <c r="AI16" s="365"/>
      <c r="AJ16" s="15"/>
      <c r="AK16" s="355">
        <v>0.5</v>
      </c>
      <c r="AL16" s="366">
        <v>0.85416666672972796</v>
      </c>
      <c r="AM16" s="353">
        <f t="shared" si="21"/>
        <v>0</v>
      </c>
      <c r="AN16" s="17">
        <f t="shared" si="22"/>
        <v>0</v>
      </c>
      <c r="AO16" s="18">
        <f t="shared" si="22"/>
        <v>0</v>
      </c>
      <c r="AP16" s="17">
        <f t="shared" si="22"/>
        <v>0</v>
      </c>
      <c r="AQ16" s="18">
        <f t="shared" si="22"/>
        <v>0</v>
      </c>
      <c r="AR16" s="18">
        <f t="shared" si="22"/>
        <v>0</v>
      </c>
      <c r="AS16" s="18">
        <f t="shared" si="22"/>
        <v>0</v>
      </c>
      <c r="AT16" s="18">
        <f t="shared" si="22"/>
        <v>0</v>
      </c>
      <c r="AU16" s="18">
        <f t="shared" si="22"/>
        <v>0</v>
      </c>
      <c r="AV16" s="69">
        <f t="shared" si="22"/>
        <v>0</v>
      </c>
      <c r="AW16" s="164">
        <f>IF($N$32-$N$33&lt;0,0,$N$32-$N$33)</f>
        <v>21.121399999999994</v>
      </c>
      <c r="AX16" s="18">
        <f>IF($O$32-$O$33&lt;0,0,$O$32-$O$33)</f>
        <v>15.106999999999971</v>
      </c>
      <c r="AY16" s="18">
        <f>IF($P$32-$P$33&lt;0,0,$P$32-$P$33)</f>
        <v>15.837000000000018</v>
      </c>
      <c r="AZ16" s="18">
        <f>IF($Q$32-$Q$33&lt;0,0,$Q$32-$Q$33)</f>
        <v>19.669799999999981</v>
      </c>
      <c r="BA16" s="18">
        <f>IF($R$32-$R$33&lt;0,0,$R$32-$R$33)</f>
        <v>17.709600000000009</v>
      </c>
      <c r="BB16" s="18"/>
      <c r="BC16" s="156"/>
      <c r="BD16" s="72">
        <f>IF($N$32-$N$33&lt;0,0,$N$32-$N$33)</f>
        <v>21.121399999999994</v>
      </c>
      <c r="BE16" s="18">
        <f>IF($O$32-$O$33&lt;0,0,$O$32-$O$33)</f>
        <v>15.106999999999971</v>
      </c>
      <c r="BF16" s="18">
        <f>IF($P$32-$P$33&lt;0,0,$P$32-$P$33)</f>
        <v>15.837000000000018</v>
      </c>
      <c r="BG16" s="18">
        <f>IF($Q$32-$Q$33&lt;0,0,$Q$32-$Q$33)</f>
        <v>19.669799999999981</v>
      </c>
      <c r="BH16" s="18">
        <f>IF($R$32-$R$33&lt;0,0,$R$32-$R$33)</f>
        <v>17.709600000000009</v>
      </c>
      <c r="BI16" s="18"/>
      <c r="BJ16" s="19"/>
      <c r="BK16" s="72">
        <f t="shared" si="23"/>
        <v>0</v>
      </c>
      <c r="BL16" s="18">
        <f t="shared" si="23"/>
        <v>0</v>
      </c>
      <c r="BM16" s="18">
        <f t="shared" si="23"/>
        <v>0</v>
      </c>
      <c r="BN16" s="18">
        <f t="shared" si="23"/>
        <v>0</v>
      </c>
      <c r="BO16" s="18">
        <f t="shared" si="23"/>
        <v>0</v>
      </c>
      <c r="BP16" s="18">
        <f t="shared" si="23"/>
        <v>0</v>
      </c>
      <c r="BQ16" s="19">
        <f t="shared" si="23"/>
        <v>0</v>
      </c>
      <c r="BR16" s="65"/>
      <c r="BS16" s="355">
        <v>0.5</v>
      </c>
      <c r="BT16" s="354"/>
      <c r="BU16" s="20"/>
      <c r="BV16" s="47"/>
      <c r="BW16" s="121"/>
      <c r="BX16" s="122"/>
      <c r="BY16" s="122"/>
      <c r="BZ16" s="122"/>
      <c r="CA16" s="122" t="e">
        <f>#REF!</f>
        <v>#REF!</v>
      </c>
      <c r="CB16" s="122" t="e">
        <f>#REF!</f>
        <v>#REF!</v>
      </c>
      <c r="CC16" s="140" t="e">
        <f>#REF!</f>
        <v>#REF!</v>
      </c>
      <c r="CD16" s="145">
        <f>SCHEDULES!$I$18</f>
        <v>0</v>
      </c>
      <c r="CE16" s="122">
        <f>SCHEDULES!$I$61</f>
        <v>0</v>
      </c>
      <c r="CF16" s="122">
        <f>SCHEDULES!$I$103</f>
        <v>0</v>
      </c>
      <c r="CG16" s="122">
        <f>SCHEDULES!$I$144</f>
        <v>0</v>
      </c>
      <c r="CH16" s="122">
        <f>SCHEDULES!$I$185</f>
        <v>0</v>
      </c>
      <c r="CI16" s="122">
        <f>SCHEDULES!$I$226</f>
        <v>0</v>
      </c>
      <c r="CJ16" s="146">
        <f>SCHEDULES!$I$267</f>
        <v>0</v>
      </c>
      <c r="CK16" s="108">
        <f>NEWSCHEDULES!$I$18</f>
        <v>0</v>
      </c>
      <c r="CL16" s="47">
        <f>NEWSCHEDULES!$I$61</f>
        <v>0</v>
      </c>
      <c r="CM16" s="47">
        <f>NEWSCHEDULES!$I$103</f>
        <v>0</v>
      </c>
      <c r="CN16" s="47">
        <f>NEWSCHEDULES!$I$144</f>
        <v>0</v>
      </c>
      <c r="CO16" s="47">
        <f>NEWSCHEDULES!$I$185</f>
        <v>0</v>
      </c>
      <c r="CP16" s="47">
        <f>NEWSCHEDULES!$I$226</f>
        <v>0</v>
      </c>
      <c r="CQ16" s="48">
        <f>NEWSCHEDULES!$I$267</f>
        <v>0</v>
      </c>
      <c r="CR16" s="108" t="e">
        <f>#REF!</f>
        <v>#REF!</v>
      </c>
      <c r="CS16" s="47" t="e">
        <f>#REF!</f>
        <v>#REF!</v>
      </c>
      <c r="CT16" s="47" t="e">
        <f>#REF!</f>
        <v>#REF!</v>
      </c>
      <c r="CU16" s="47" t="e">
        <f>#REF!</f>
        <v>#REF!</v>
      </c>
      <c r="CV16" s="47"/>
      <c r="CW16" s="47"/>
      <c r="CX16" s="48"/>
      <c r="CY16" s="327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</row>
    <row r="17" spans="2:115" s="322" customFormat="1" ht="23.25" customHeight="1" x14ac:dyDescent="0.35">
      <c r="B17" s="117">
        <f t="shared" si="8"/>
        <v>378.67660000000006</v>
      </c>
      <c r="C17" s="355">
        <v>0.52083333333575865</v>
      </c>
      <c r="D17" s="341"/>
      <c r="E17" s="356"/>
      <c r="F17" s="357"/>
      <c r="G17" s="358"/>
      <c r="H17" s="358"/>
      <c r="I17" s="358"/>
      <c r="J17" s="358"/>
      <c r="K17" s="358"/>
      <c r="L17" s="358"/>
      <c r="M17" s="359"/>
      <c r="N17" s="360">
        <v>349.67870000000005</v>
      </c>
      <c r="O17" s="361">
        <v>378.67660000000006</v>
      </c>
      <c r="P17" s="361">
        <v>360.62060000000008</v>
      </c>
      <c r="Q17" s="361">
        <v>359.4957</v>
      </c>
      <c r="R17" s="361">
        <v>347.22620000000001</v>
      </c>
      <c r="S17" s="361">
        <v>255.9298</v>
      </c>
      <c r="T17" s="362">
        <v>138.84209999999999</v>
      </c>
      <c r="U17" s="363">
        <f t="shared" si="18"/>
        <v>349.67870000000005</v>
      </c>
      <c r="V17" s="358">
        <f t="shared" si="9"/>
        <v>378.67660000000006</v>
      </c>
      <c r="W17" s="358">
        <f t="shared" si="10"/>
        <v>360.62060000000008</v>
      </c>
      <c r="X17" s="358">
        <f t="shared" si="11"/>
        <v>359.4957</v>
      </c>
      <c r="Y17" s="358">
        <f t="shared" si="12"/>
        <v>347.22620000000001</v>
      </c>
      <c r="Z17" s="358">
        <f t="shared" si="13"/>
        <v>255.9298</v>
      </c>
      <c r="AA17" s="358">
        <f t="shared" si="14"/>
        <v>138.84209999999999</v>
      </c>
      <c r="AB17" s="358"/>
      <c r="AC17" s="358"/>
      <c r="AD17" s="358"/>
      <c r="AE17" s="358"/>
      <c r="AF17" s="358"/>
      <c r="AG17" s="364"/>
      <c r="AH17" s="364"/>
      <c r="AI17" s="365"/>
      <c r="AJ17" s="15"/>
      <c r="AK17" s="355">
        <v>0.52083333333575865</v>
      </c>
      <c r="AL17" s="366">
        <v>0.87500000006548695</v>
      </c>
      <c r="AM17" s="353">
        <f t="shared" si="21"/>
        <v>0</v>
      </c>
      <c r="AN17" s="17">
        <f t="shared" si="22"/>
        <v>0</v>
      </c>
      <c r="AO17" s="18">
        <f t="shared" si="22"/>
        <v>0</v>
      </c>
      <c r="AP17" s="17">
        <f t="shared" si="22"/>
        <v>0</v>
      </c>
      <c r="AQ17" s="18">
        <f t="shared" si="22"/>
        <v>0</v>
      </c>
      <c r="AR17" s="18">
        <f t="shared" si="22"/>
        <v>0</v>
      </c>
      <c r="AS17" s="18">
        <f t="shared" si="22"/>
        <v>0</v>
      </c>
      <c r="AT17" s="18">
        <f t="shared" si="22"/>
        <v>0</v>
      </c>
      <c r="AU17" s="18">
        <f t="shared" si="22"/>
        <v>0</v>
      </c>
      <c r="AV17" s="69">
        <f t="shared" si="22"/>
        <v>0</v>
      </c>
      <c r="AW17" s="164">
        <f>IF($N$33-$N$34&lt;0,0,$N$33-$N$34)</f>
        <v>40.117500000000007</v>
      </c>
      <c r="AX17" s="18">
        <f>IF($O$33-$O$34&lt;0,0,$O$33-$O$34)</f>
        <v>31.905900000000031</v>
      </c>
      <c r="AY17" s="18">
        <f>IF($P$33-$P$34&lt;0,0,$P$33-$P$34)</f>
        <v>32.076799999999977</v>
      </c>
      <c r="AZ17" s="18">
        <f>IF($Q$33-$Q$34&lt;0,0,$Q$33-$Q$34)</f>
        <v>41.745500000000021</v>
      </c>
      <c r="BA17" s="18">
        <f>IF($R$33-$R$34&lt;0,0,$R$33-$R$34)</f>
        <v>37.193099999999987</v>
      </c>
      <c r="BB17" s="18"/>
      <c r="BC17" s="156"/>
      <c r="BD17" s="72">
        <f>IF($N$33-$N$34&lt;0,0,$N$33-$N$34)</f>
        <v>40.117500000000007</v>
      </c>
      <c r="BE17" s="18">
        <f>IF($O$33-$O$34&lt;0,0,$O$33-$O$34)</f>
        <v>31.905900000000031</v>
      </c>
      <c r="BF17" s="18">
        <f>IF($P$33-$P$34&lt;0,0,$P$33-$P$34)</f>
        <v>32.076799999999977</v>
      </c>
      <c r="BG17" s="18">
        <f>IF($Q$33-$Q$34&lt;0,0,$Q$33-$Q$34)</f>
        <v>41.745500000000021</v>
      </c>
      <c r="BH17" s="18">
        <f>IF($R$33-$R$34&lt;0,0,$R$33-$R$34)</f>
        <v>37.193099999999987</v>
      </c>
      <c r="BI17" s="18"/>
      <c r="BJ17" s="19"/>
      <c r="BK17" s="72">
        <f t="shared" si="23"/>
        <v>0</v>
      </c>
      <c r="BL17" s="18">
        <f t="shared" si="23"/>
        <v>0</v>
      </c>
      <c r="BM17" s="18">
        <f t="shared" si="23"/>
        <v>0</v>
      </c>
      <c r="BN17" s="18">
        <f t="shared" si="23"/>
        <v>0</v>
      </c>
      <c r="BO17" s="18">
        <f t="shared" si="23"/>
        <v>0</v>
      </c>
      <c r="BP17" s="18">
        <f t="shared" si="23"/>
        <v>0</v>
      </c>
      <c r="BQ17" s="19">
        <f t="shared" si="23"/>
        <v>0</v>
      </c>
      <c r="BR17" s="65"/>
      <c r="BS17" s="355">
        <v>0.52083333333575865</v>
      </c>
      <c r="BT17" s="354"/>
      <c r="BU17" s="20"/>
      <c r="BV17" s="47"/>
      <c r="BW17" s="121"/>
      <c r="BX17" s="122"/>
      <c r="BY17" s="122"/>
      <c r="BZ17" s="122"/>
      <c r="CA17" s="122" t="e">
        <f>#REF!</f>
        <v>#REF!</v>
      </c>
      <c r="CB17" s="122" t="e">
        <f>#REF!</f>
        <v>#REF!</v>
      </c>
      <c r="CC17" s="140" t="e">
        <f>#REF!</f>
        <v>#REF!</v>
      </c>
      <c r="CD17" s="145">
        <f>SCHEDULES!$I$19</f>
        <v>0</v>
      </c>
      <c r="CE17" s="122">
        <f>SCHEDULES!$I$62</f>
        <v>0</v>
      </c>
      <c r="CF17" s="122">
        <f>SCHEDULES!$I$104</f>
        <v>0</v>
      </c>
      <c r="CG17" s="122">
        <f>SCHEDULES!$I$145</f>
        <v>0</v>
      </c>
      <c r="CH17" s="122">
        <f>SCHEDULES!$I$186</f>
        <v>0</v>
      </c>
      <c r="CI17" s="122">
        <f>SCHEDULES!$I$227</f>
        <v>0</v>
      </c>
      <c r="CJ17" s="146">
        <f>SCHEDULES!$I$268</f>
        <v>0</v>
      </c>
      <c r="CK17" s="108">
        <f>NEWSCHEDULES!$I$19</f>
        <v>0</v>
      </c>
      <c r="CL17" s="47">
        <f>NEWSCHEDULES!$I$62</f>
        <v>0</v>
      </c>
      <c r="CM17" s="47">
        <f>NEWSCHEDULES!$I$104</f>
        <v>0</v>
      </c>
      <c r="CN17" s="47">
        <f>NEWSCHEDULES!$I$145</f>
        <v>0</v>
      </c>
      <c r="CO17" s="47">
        <f>NEWSCHEDULES!$I$186</f>
        <v>0</v>
      </c>
      <c r="CP17" s="47">
        <f>NEWSCHEDULES!$I$227</f>
        <v>0</v>
      </c>
      <c r="CQ17" s="48">
        <f>NEWSCHEDULES!$I$268</f>
        <v>0</v>
      </c>
      <c r="CR17" s="108" t="e">
        <f>#REF!</f>
        <v>#REF!</v>
      </c>
      <c r="CS17" s="47" t="e">
        <f>#REF!</f>
        <v>#REF!</v>
      </c>
      <c r="CT17" s="47" t="e">
        <f>#REF!</f>
        <v>#REF!</v>
      </c>
      <c r="CU17" s="47" t="e">
        <f>#REF!</f>
        <v>#REF!</v>
      </c>
      <c r="CV17" s="47"/>
      <c r="CW17" s="47"/>
      <c r="CX17" s="48"/>
      <c r="CY17" s="327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</row>
    <row r="18" spans="2:115" s="322" customFormat="1" ht="23.25" customHeight="1" x14ac:dyDescent="0.35">
      <c r="B18" s="117">
        <f t="shared" si="8"/>
        <v>372.36359999999996</v>
      </c>
      <c r="C18" s="355">
        <v>0.54166666666424135</v>
      </c>
      <c r="D18" s="341"/>
      <c r="E18" s="356"/>
      <c r="F18" s="357"/>
      <c r="G18" s="358"/>
      <c r="H18" s="358"/>
      <c r="I18" s="358"/>
      <c r="J18" s="358"/>
      <c r="K18" s="358"/>
      <c r="L18" s="358"/>
      <c r="M18" s="359"/>
      <c r="N18" s="360">
        <v>350.62810000000007</v>
      </c>
      <c r="O18" s="361">
        <v>371.82350000000008</v>
      </c>
      <c r="P18" s="361">
        <v>372.36359999999996</v>
      </c>
      <c r="Q18" s="361">
        <v>365.47690000000006</v>
      </c>
      <c r="R18" s="361">
        <v>341.96070000000003</v>
      </c>
      <c r="S18" s="361">
        <v>247.5291</v>
      </c>
      <c r="T18" s="362">
        <v>129.6917</v>
      </c>
      <c r="U18" s="363">
        <f t="shared" si="18"/>
        <v>350.62810000000007</v>
      </c>
      <c r="V18" s="358">
        <f t="shared" si="9"/>
        <v>371.82350000000008</v>
      </c>
      <c r="W18" s="358">
        <f t="shared" si="10"/>
        <v>372.36359999999996</v>
      </c>
      <c r="X18" s="358">
        <f t="shared" si="11"/>
        <v>365.47690000000006</v>
      </c>
      <c r="Y18" s="358">
        <f t="shared" si="12"/>
        <v>341.96070000000003</v>
      </c>
      <c r="Z18" s="358">
        <f t="shared" si="13"/>
        <v>247.5291</v>
      </c>
      <c r="AA18" s="358">
        <f t="shared" si="14"/>
        <v>129.6917</v>
      </c>
      <c r="AB18" s="358"/>
      <c r="AC18" s="358"/>
      <c r="AD18" s="358"/>
      <c r="AE18" s="358"/>
      <c r="AF18" s="358"/>
      <c r="AG18" s="364"/>
      <c r="AH18" s="364"/>
      <c r="AI18" s="365"/>
      <c r="AJ18" s="15"/>
      <c r="AK18" s="355">
        <v>0.54166666666424135</v>
      </c>
      <c r="AL18" s="366">
        <v>0.89583333340124605</v>
      </c>
      <c r="AM18" s="353">
        <f t="shared" si="21"/>
        <v>0</v>
      </c>
      <c r="AN18" s="17">
        <f t="shared" si="22"/>
        <v>0</v>
      </c>
      <c r="AO18" s="18">
        <f t="shared" si="22"/>
        <v>0</v>
      </c>
      <c r="AP18" s="17">
        <f t="shared" si="22"/>
        <v>0</v>
      </c>
      <c r="AQ18" s="18">
        <f t="shared" si="22"/>
        <v>0</v>
      </c>
      <c r="AR18" s="18">
        <f t="shared" si="22"/>
        <v>0</v>
      </c>
      <c r="AS18" s="18">
        <f t="shared" si="22"/>
        <v>0</v>
      </c>
      <c r="AT18" s="18">
        <f t="shared" si="22"/>
        <v>0</v>
      </c>
      <c r="AU18" s="18">
        <f t="shared" si="22"/>
        <v>0</v>
      </c>
      <c r="AV18" s="69">
        <f t="shared" si="22"/>
        <v>0</v>
      </c>
      <c r="AW18" s="164">
        <f>IF($N$34-$N$35&lt;0,0,$N$34-$N$35)</f>
        <v>19.202099999999987</v>
      </c>
      <c r="AX18" s="18">
        <f>IF($O$34-$O$35&lt;0,0,$O$34-$O$35)</f>
        <v>15.565599999999975</v>
      </c>
      <c r="AY18" s="18">
        <f>IF($P$34-$P$35&lt;0,0,$P$34-$P$35)</f>
        <v>17.555500000000023</v>
      </c>
      <c r="AZ18" s="18">
        <f>IF($Q$34-$Q$35&lt;0,0,$Q$34-$Q$35)</f>
        <v>13.818100000000015</v>
      </c>
      <c r="BA18" s="18">
        <f>IF($R$34-$R$35&lt;0,0,$R$34-$R$35)</f>
        <v>14.545500000000004</v>
      </c>
      <c r="BB18" s="18"/>
      <c r="BC18" s="156"/>
      <c r="BD18" s="72">
        <f>IF($N$34-$N$35&lt;0,0,$N$34-$N$35)</f>
        <v>19.202099999999987</v>
      </c>
      <c r="BE18" s="18">
        <f>IF($O$34-$O$35&lt;0,0,$O$34-$O$35)</f>
        <v>15.565599999999975</v>
      </c>
      <c r="BF18" s="18">
        <f>IF($P$34-$P$35&lt;0,0,$P$34-$P$35)</f>
        <v>17.555500000000023</v>
      </c>
      <c r="BG18" s="18">
        <f>IF($Q$34-$Q$35&lt;0,0,$Q$34-$Q$35)</f>
        <v>13.818100000000015</v>
      </c>
      <c r="BH18" s="18">
        <f>IF($R$34-$R$35&lt;0,0,$R$34-$R$35)</f>
        <v>14.545500000000004</v>
      </c>
      <c r="BI18" s="18"/>
      <c r="BJ18" s="19"/>
      <c r="BK18" s="72">
        <f t="shared" si="23"/>
        <v>0</v>
      </c>
      <c r="BL18" s="18">
        <f t="shared" si="23"/>
        <v>0</v>
      </c>
      <c r="BM18" s="18">
        <f t="shared" si="23"/>
        <v>0</v>
      </c>
      <c r="BN18" s="18">
        <f t="shared" si="23"/>
        <v>0</v>
      </c>
      <c r="BO18" s="18">
        <f t="shared" si="23"/>
        <v>0</v>
      </c>
      <c r="BP18" s="18">
        <f t="shared" si="23"/>
        <v>0</v>
      </c>
      <c r="BQ18" s="19">
        <f t="shared" si="23"/>
        <v>0</v>
      </c>
      <c r="BR18" s="65"/>
      <c r="BS18" s="355">
        <v>0.54166666666424135</v>
      </c>
      <c r="BT18" s="354"/>
      <c r="BU18" s="20"/>
      <c r="BV18" s="47"/>
      <c r="BW18" s="121"/>
      <c r="BX18" s="122"/>
      <c r="BY18" s="122"/>
      <c r="BZ18" s="122"/>
      <c r="CA18" s="122" t="e">
        <f>#REF!</f>
        <v>#REF!</v>
      </c>
      <c r="CB18" s="122" t="e">
        <f>#REF!</f>
        <v>#REF!</v>
      </c>
      <c r="CC18" s="140" t="e">
        <f>#REF!</f>
        <v>#REF!</v>
      </c>
      <c r="CD18" s="145">
        <f>SCHEDULES!$I$20</f>
        <v>0</v>
      </c>
      <c r="CE18" s="122">
        <f>SCHEDULES!$I$63</f>
        <v>0</v>
      </c>
      <c r="CF18" s="122">
        <f>SCHEDULES!$I$105</f>
        <v>0</v>
      </c>
      <c r="CG18" s="122">
        <f>SCHEDULES!$I$146</f>
        <v>0</v>
      </c>
      <c r="CH18" s="122">
        <f>SCHEDULES!$I$187</f>
        <v>0</v>
      </c>
      <c r="CI18" s="122">
        <f>SCHEDULES!$I$228</f>
        <v>0</v>
      </c>
      <c r="CJ18" s="146">
        <f>SCHEDULES!$I$269</f>
        <v>0</v>
      </c>
      <c r="CK18" s="108">
        <f>NEWSCHEDULES!$I$20</f>
        <v>0</v>
      </c>
      <c r="CL18" s="47">
        <f>NEWSCHEDULES!$I$63</f>
        <v>0</v>
      </c>
      <c r="CM18" s="47">
        <f>NEWSCHEDULES!$I$105</f>
        <v>0</v>
      </c>
      <c r="CN18" s="47">
        <f>NEWSCHEDULES!$I$146</f>
        <v>0</v>
      </c>
      <c r="CO18" s="47">
        <f>NEWSCHEDULES!$I$187</f>
        <v>0</v>
      </c>
      <c r="CP18" s="47">
        <f>NEWSCHEDULES!$I$228</f>
        <v>0</v>
      </c>
      <c r="CQ18" s="48">
        <f>NEWSCHEDULES!$I$269</f>
        <v>0</v>
      </c>
      <c r="CR18" s="108" t="e">
        <f>#REF!</f>
        <v>#REF!</v>
      </c>
      <c r="CS18" s="47" t="e">
        <f>#REF!</f>
        <v>#REF!</v>
      </c>
      <c r="CT18" s="47" t="e">
        <f>#REF!</f>
        <v>#REF!</v>
      </c>
      <c r="CU18" s="47" t="e">
        <f>#REF!</f>
        <v>#REF!</v>
      </c>
      <c r="CV18" s="47"/>
      <c r="CW18" s="47"/>
      <c r="CX18" s="48"/>
      <c r="CY18" s="327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</row>
    <row r="19" spans="2:115" s="322" customFormat="1" ht="23.25" customHeight="1" thickBot="1" x14ac:dyDescent="0.4">
      <c r="B19" s="117">
        <f t="shared" si="8"/>
        <v>380.41709999999995</v>
      </c>
      <c r="C19" s="355">
        <v>0.5625</v>
      </c>
      <c r="D19" s="341"/>
      <c r="E19" s="356"/>
      <c r="F19" s="357"/>
      <c r="G19" s="358"/>
      <c r="H19" s="358"/>
      <c r="I19" s="358"/>
      <c r="J19" s="358"/>
      <c r="K19" s="358"/>
      <c r="L19" s="358"/>
      <c r="M19" s="359"/>
      <c r="N19" s="360">
        <v>380.41709999999995</v>
      </c>
      <c r="O19" s="361">
        <v>364.15130000000005</v>
      </c>
      <c r="P19" s="361">
        <v>360.35970000000003</v>
      </c>
      <c r="Q19" s="361">
        <v>343.98419999999999</v>
      </c>
      <c r="R19" s="361">
        <v>344.30099999999999</v>
      </c>
      <c r="S19" s="361">
        <v>225.73079999999999</v>
      </c>
      <c r="T19" s="362">
        <v>135.9297</v>
      </c>
      <c r="U19" s="363">
        <f t="shared" si="18"/>
        <v>380.41709999999995</v>
      </c>
      <c r="V19" s="358">
        <f t="shared" si="9"/>
        <v>364.15130000000005</v>
      </c>
      <c r="W19" s="358">
        <f t="shared" si="10"/>
        <v>360.35970000000003</v>
      </c>
      <c r="X19" s="358">
        <f t="shared" si="11"/>
        <v>343.98419999999999</v>
      </c>
      <c r="Y19" s="358">
        <f t="shared" si="12"/>
        <v>344.30099999999999</v>
      </c>
      <c r="Z19" s="358">
        <f t="shared" si="13"/>
        <v>225.73079999999999</v>
      </c>
      <c r="AA19" s="358">
        <f t="shared" si="14"/>
        <v>135.9297</v>
      </c>
      <c r="AB19" s="358"/>
      <c r="AC19" s="358"/>
      <c r="AD19" s="358"/>
      <c r="AE19" s="358"/>
      <c r="AF19" s="358"/>
      <c r="AG19" s="364"/>
      <c r="AH19" s="364"/>
      <c r="AI19" s="365"/>
      <c r="AJ19" s="15"/>
      <c r="AK19" s="355">
        <v>0.5625</v>
      </c>
      <c r="AL19" s="366">
        <v>0.91666666673700503</v>
      </c>
      <c r="AM19" s="353">
        <f t="shared" si="21"/>
        <v>0</v>
      </c>
      <c r="AN19" s="97">
        <f t="shared" ref="AN19:AV19" si="24">IF(E35&lt;0,0,E35)</f>
        <v>0</v>
      </c>
      <c r="AO19" s="98">
        <f t="shared" si="24"/>
        <v>0</v>
      </c>
      <c r="AP19" s="97">
        <f t="shared" si="24"/>
        <v>0</v>
      </c>
      <c r="AQ19" s="98">
        <f t="shared" si="24"/>
        <v>0</v>
      </c>
      <c r="AR19" s="98">
        <f t="shared" si="24"/>
        <v>0</v>
      </c>
      <c r="AS19" s="98">
        <f t="shared" si="24"/>
        <v>0</v>
      </c>
      <c r="AT19" s="98">
        <f t="shared" si="24"/>
        <v>0</v>
      </c>
      <c r="AU19" s="98">
        <f t="shared" si="24"/>
        <v>0</v>
      </c>
      <c r="AV19" s="99">
        <f t="shared" si="24"/>
        <v>0</v>
      </c>
      <c r="AW19" s="165">
        <f>IF($N$35&lt;0,0,$N$35)</f>
        <v>114.4141</v>
      </c>
      <c r="AX19" s="98">
        <f>IF($O$35&lt;0,0,$O$35)</f>
        <v>115.41420000000001</v>
      </c>
      <c r="AY19" s="98">
        <f>IF($P$35&lt;0,0,$P$35)</f>
        <v>99.333399999999997</v>
      </c>
      <c r="AZ19" s="98">
        <f>IF($Q$35&lt;0,0,$Q$35)</f>
        <v>108.36359999999999</v>
      </c>
      <c r="BA19" s="98">
        <f>IF($R$35&lt;0,0,$R$35)</f>
        <v>69.616100000000003</v>
      </c>
      <c r="BB19" s="98"/>
      <c r="BC19" s="157"/>
      <c r="BD19" s="101">
        <f>IF($N$35&lt;0,0,$N$35)</f>
        <v>114.4141</v>
      </c>
      <c r="BE19" s="98">
        <f>IF($O$35&lt;0,0,$O$35)</f>
        <v>115.41420000000001</v>
      </c>
      <c r="BF19" s="98">
        <f>IF($P$35&lt;0,0,$P$35)</f>
        <v>99.333399999999997</v>
      </c>
      <c r="BG19" s="98">
        <f>IF($Q$35&lt;0,0,$Q$35)</f>
        <v>108.36359999999999</v>
      </c>
      <c r="BH19" s="98">
        <f>IF($R$35&lt;0,0,$R$35)</f>
        <v>69.616100000000003</v>
      </c>
      <c r="BI19" s="98"/>
      <c r="BJ19" s="100"/>
      <c r="BK19" s="101">
        <f t="shared" ref="BK19:BQ19" si="25">IF(AB35&lt;0,0,AB35)</f>
        <v>0</v>
      </c>
      <c r="BL19" s="98">
        <f t="shared" si="25"/>
        <v>0</v>
      </c>
      <c r="BM19" s="98">
        <f t="shared" si="25"/>
        <v>0</v>
      </c>
      <c r="BN19" s="98">
        <f t="shared" si="25"/>
        <v>0</v>
      </c>
      <c r="BO19" s="98">
        <f t="shared" si="25"/>
        <v>0</v>
      </c>
      <c r="BP19" s="98">
        <f t="shared" si="25"/>
        <v>0</v>
      </c>
      <c r="BQ19" s="100">
        <f t="shared" si="25"/>
        <v>0</v>
      </c>
      <c r="BR19" s="65"/>
      <c r="BS19" s="355">
        <v>0.5625</v>
      </c>
      <c r="BT19" s="354"/>
      <c r="BU19" s="20"/>
      <c r="BV19" s="47"/>
      <c r="BW19" s="121"/>
      <c r="BX19" s="122"/>
      <c r="BY19" s="122"/>
      <c r="BZ19" s="122"/>
      <c r="CA19" s="122" t="e">
        <f>#REF!</f>
        <v>#REF!</v>
      </c>
      <c r="CB19" s="122" t="e">
        <f>#REF!</f>
        <v>#REF!</v>
      </c>
      <c r="CC19" s="140" t="e">
        <f>#REF!</f>
        <v>#REF!</v>
      </c>
      <c r="CD19" s="145">
        <f>SCHEDULES!$I$21</f>
        <v>0</v>
      </c>
      <c r="CE19" s="122">
        <f>SCHEDULES!$I$64</f>
        <v>0</v>
      </c>
      <c r="CF19" s="122">
        <f>SCHEDULES!$I$106</f>
        <v>0</v>
      </c>
      <c r="CG19" s="122">
        <f>SCHEDULES!$I$147</f>
        <v>0</v>
      </c>
      <c r="CH19" s="122">
        <f>SCHEDULES!$I$188</f>
        <v>0</v>
      </c>
      <c r="CI19" s="122">
        <f>SCHEDULES!$I$229</f>
        <v>0</v>
      </c>
      <c r="CJ19" s="146">
        <f>SCHEDULES!$I$270</f>
        <v>0</v>
      </c>
      <c r="CK19" s="108">
        <f>NEWSCHEDULES!$I$21</f>
        <v>0</v>
      </c>
      <c r="CL19" s="47">
        <f>NEWSCHEDULES!$I$64</f>
        <v>0</v>
      </c>
      <c r="CM19" s="47">
        <f>NEWSCHEDULES!$I$106</f>
        <v>0</v>
      </c>
      <c r="CN19" s="47">
        <f>NEWSCHEDULES!$I$147</f>
        <v>0</v>
      </c>
      <c r="CO19" s="47">
        <f>NEWSCHEDULES!$I$188</f>
        <v>0</v>
      </c>
      <c r="CP19" s="47">
        <f>NEWSCHEDULES!$I$229</f>
        <v>0</v>
      </c>
      <c r="CQ19" s="48">
        <f>NEWSCHEDULES!$I$270</f>
        <v>0</v>
      </c>
      <c r="CR19" s="108" t="e">
        <f>#REF!</f>
        <v>#REF!</v>
      </c>
      <c r="CS19" s="47" t="e">
        <f>#REF!</f>
        <v>#REF!</v>
      </c>
      <c r="CT19" s="47" t="e">
        <f>#REF!</f>
        <v>#REF!</v>
      </c>
      <c r="CU19" s="47" t="e">
        <f>#REF!</f>
        <v>#REF!</v>
      </c>
      <c r="CV19" s="47"/>
      <c r="CW19" s="47"/>
      <c r="CX19" s="48"/>
      <c r="CY19" s="327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</row>
    <row r="20" spans="2:115" s="322" customFormat="1" ht="23.25" customHeight="1" thickBot="1" x14ac:dyDescent="0.4">
      <c r="B20" s="117">
        <f t="shared" si="8"/>
        <v>386.0899</v>
      </c>
      <c r="C20" s="355">
        <v>0.58333333333575899</v>
      </c>
      <c r="D20" s="341"/>
      <c r="E20" s="356"/>
      <c r="F20" s="357"/>
      <c r="G20" s="358"/>
      <c r="H20" s="358"/>
      <c r="I20" s="358"/>
      <c r="J20" s="358"/>
      <c r="K20" s="358"/>
      <c r="L20" s="358"/>
      <c r="M20" s="359"/>
      <c r="N20" s="360">
        <v>386.0899</v>
      </c>
      <c r="O20" s="361">
        <v>368.48699999999997</v>
      </c>
      <c r="P20" s="361">
        <v>355.74460000000005</v>
      </c>
      <c r="Q20" s="361">
        <v>354.17860000000002</v>
      </c>
      <c r="R20" s="361">
        <v>351.07859999999999</v>
      </c>
      <c r="S20" s="361">
        <v>199.10640000000001</v>
      </c>
      <c r="T20" s="362">
        <v>117.61380000000001</v>
      </c>
      <c r="U20" s="363">
        <f t="shared" si="18"/>
        <v>386.0899</v>
      </c>
      <c r="V20" s="358">
        <f t="shared" si="9"/>
        <v>368.48699999999997</v>
      </c>
      <c r="W20" s="358">
        <f t="shared" si="10"/>
        <v>355.74460000000005</v>
      </c>
      <c r="X20" s="358">
        <f t="shared" si="11"/>
        <v>354.17860000000002</v>
      </c>
      <c r="Y20" s="358">
        <f t="shared" si="12"/>
        <v>351.07859999999999</v>
      </c>
      <c r="Z20" s="358">
        <f t="shared" si="13"/>
        <v>199.10640000000001</v>
      </c>
      <c r="AA20" s="358">
        <f t="shared" si="14"/>
        <v>117.61380000000001</v>
      </c>
      <c r="AB20" s="358"/>
      <c r="AC20" s="358"/>
      <c r="AD20" s="358"/>
      <c r="AE20" s="358"/>
      <c r="AF20" s="358"/>
      <c r="AG20" s="364"/>
      <c r="AH20" s="364"/>
      <c r="AI20" s="365"/>
      <c r="AJ20" s="15"/>
      <c r="AK20" s="135"/>
      <c r="AL20" s="21"/>
      <c r="AM20" s="21"/>
      <c r="AN20" s="102">
        <f t="shared" ref="AN20:BQ20" si="26">SUM(AN6:AN19)</f>
        <v>0</v>
      </c>
      <c r="AO20" s="103">
        <f t="shared" si="26"/>
        <v>0</v>
      </c>
      <c r="AP20" s="102">
        <f t="shared" si="26"/>
        <v>0</v>
      </c>
      <c r="AQ20" s="103">
        <f t="shared" si="26"/>
        <v>0</v>
      </c>
      <c r="AR20" s="103">
        <f t="shared" si="26"/>
        <v>0</v>
      </c>
      <c r="AS20" s="103">
        <f t="shared" si="26"/>
        <v>0</v>
      </c>
      <c r="AT20" s="103">
        <f t="shared" si="26"/>
        <v>0</v>
      </c>
      <c r="AU20" s="103">
        <f t="shared" si="26"/>
        <v>0</v>
      </c>
      <c r="AV20" s="104">
        <f t="shared" si="26"/>
        <v>0</v>
      </c>
      <c r="AW20" s="166">
        <f t="shared" si="26"/>
        <v>708.54600000000005</v>
      </c>
      <c r="AX20" s="166">
        <f t="shared" si="26"/>
        <v>621.52620000000002</v>
      </c>
      <c r="AY20" s="166">
        <f t="shared" si="26"/>
        <v>601.79199999999992</v>
      </c>
      <c r="AZ20" s="166">
        <f t="shared" si="26"/>
        <v>608.51389999999992</v>
      </c>
      <c r="BA20" s="166">
        <f t="shared" si="26"/>
        <v>608.73939999999993</v>
      </c>
      <c r="BB20" s="166">
        <f t="shared" si="26"/>
        <v>299.38670000000002</v>
      </c>
      <c r="BC20" s="166">
        <f t="shared" si="26"/>
        <v>146.56049999999999</v>
      </c>
      <c r="BD20" s="167">
        <f t="shared" si="26"/>
        <v>708.54600000000005</v>
      </c>
      <c r="BE20" s="166">
        <f t="shared" si="26"/>
        <v>621.52620000000002</v>
      </c>
      <c r="BF20" s="166">
        <f t="shared" si="26"/>
        <v>601.79199999999992</v>
      </c>
      <c r="BG20" s="166">
        <f t="shared" si="26"/>
        <v>608.51389999999992</v>
      </c>
      <c r="BH20" s="166">
        <f t="shared" si="26"/>
        <v>608.73939999999993</v>
      </c>
      <c r="BI20" s="166">
        <f t="shared" si="26"/>
        <v>299.38670000000002</v>
      </c>
      <c r="BJ20" s="172">
        <f t="shared" si="26"/>
        <v>146.56049999999999</v>
      </c>
      <c r="BK20" s="106">
        <f t="shared" si="26"/>
        <v>0</v>
      </c>
      <c r="BL20" s="103">
        <f t="shared" si="26"/>
        <v>0</v>
      </c>
      <c r="BM20" s="103">
        <f t="shared" si="26"/>
        <v>0</v>
      </c>
      <c r="BN20" s="103">
        <f t="shared" si="26"/>
        <v>0</v>
      </c>
      <c r="BO20" s="103">
        <f t="shared" si="26"/>
        <v>0</v>
      </c>
      <c r="BP20" s="103">
        <f t="shared" si="26"/>
        <v>0</v>
      </c>
      <c r="BQ20" s="105">
        <f t="shared" si="26"/>
        <v>0</v>
      </c>
      <c r="BR20" s="65"/>
      <c r="BS20" s="355">
        <v>0.58333333333575899</v>
      </c>
      <c r="BT20" s="354"/>
      <c r="BU20" s="20"/>
      <c r="BV20" s="47"/>
      <c r="BW20" s="121"/>
      <c r="BX20" s="122"/>
      <c r="BY20" s="122"/>
      <c r="BZ20" s="122"/>
      <c r="CA20" s="122" t="e">
        <f>#REF!</f>
        <v>#REF!</v>
      </c>
      <c r="CB20" s="122" t="e">
        <f>#REF!</f>
        <v>#REF!</v>
      </c>
      <c r="CC20" s="140" t="e">
        <f>#REF!</f>
        <v>#REF!</v>
      </c>
      <c r="CD20" s="145">
        <f>SCHEDULES!$I$22</f>
        <v>0</v>
      </c>
      <c r="CE20" s="122">
        <f>SCHEDULES!$I$65</f>
        <v>0</v>
      </c>
      <c r="CF20" s="122">
        <f>SCHEDULES!$I$107</f>
        <v>0</v>
      </c>
      <c r="CG20" s="122">
        <f>SCHEDULES!$I$148</f>
        <v>0</v>
      </c>
      <c r="CH20" s="122">
        <f>SCHEDULES!$I$189</f>
        <v>0</v>
      </c>
      <c r="CI20" s="122">
        <f>SCHEDULES!$I$230</f>
        <v>0</v>
      </c>
      <c r="CJ20" s="146">
        <f>SCHEDULES!$I$271</f>
        <v>0</v>
      </c>
      <c r="CK20" s="108">
        <f>NEWSCHEDULES!$I$22</f>
        <v>0</v>
      </c>
      <c r="CL20" s="47">
        <f>NEWSCHEDULES!$I$65</f>
        <v>0</v>
      </c>
      <c r="CM20" s="47">
        <f>NEWSCHEDULES!$I$107</f>
        <v>0</v>
      </c>
      <c r="CN20" s="47">
        <f>NEWSCHEDULES!$I$148</f>
        <v>0</v>
      </c>
      <c r="CO20" s="47">
        <f>NEWSCHEDULES!$I$189</f>
        <v>0</v>
      </c>
      <c r="CP20" s="47">
        <f>NEWSCHEDULES!$I$230</f>
        <v>0</v>
      </c>
      <c r="CQ20" s="48">
        <f>NEWSCHEDULES!$I$271</f>
        <v>0</v>
      </c>
      <c r="CR20" s="108" t="e">
        <f>#REF!</f>
        <v>#REF!</v>
      </c>
      <c r="CS20" s="47" t="e">
        <f>#REF!</f>
        <v>#REF!</v>
      </c>
      <c r="CT20" s="47" t="e">
        <f>#REF!</f>
        <v>#REF!</v>
      </c>
      <c r="CU20" s="47" t="e">
        <f>#REF!</f>
        <v>#REF!</v>
      </c>
      <c r="CV20" s="47"/>
      <c r="CW20" s="47"/>
      <c r="CX20" s="48"/>
      <c r="CY20" s="327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</row>
    <row r="21" spans="2:115" s="322" customFormat="1" ht="23.25" customHeight="1" thickBot="1" x14ac:dyDescent="0.4">
      <c r="B21" s="117">
        <f t="shared" si="8"/>
        <v>378.9692</v>
      </c>
      <c r="C21" s="355">
        <v>0.60416666667151697</v>
      </c>
      <c r="D21" s="341"/>
      <c r="E21" s="356"/>
      <c r="F21" s="357"/>
      <c r="G21" s="358"/>
      <c r="H21" s="358"/>
      <c r="I21" s="358"/>
      <c r="J21" s="358"/>
      <c r="K21" s="358"/>
      <c r="L21" s="358"/>
      <c r="M21" s="359"/>
      <c r="N21" s="360">
        <v>378.9692</v>
      </c>
      <c r="O21" s="361">
        <v>365.60120000000001</v>
      </c>
      <c r="P21" s="361">
        <v>353.33240000000006</v>
      </c>
      <c r="Q21" s="361">
        <v>355.68340000000006</v>
      </c>
      <c r="R21" s="361">
        <v>347.01139999999998</v>
      </c>
      <c r="S21" s="361">
        <v>186.81910000000005</v>
      </c>
      <c r="T21" s="362">
        <v>114.64220000000002</v>
      </c>
      <c r="U21" s="363">
        <f t="shared" si="18"/>
        <v>378.9692</v>
      </c>
      <c r="V21" s="358">
        <f t="shared" si="9"/>
        <v>365.60120000000001</v>
      </c>
      <c r="W21" s="358">
        <f t="shared" si="10"/>
        <v>353.33240000000006</v>
      </c>
      <c r="X21" s="358">
        <f t="shared" si="11"/>
        <v>355.68340000000006</v>
      </c>
      <c r="Y21" s="358">
        <f t="shared" si="12"/>
        <v>347.01139999999998</v>
      </c>
      <c r="Z21" s="358">
        <f t="shared" si="13"/>
        <v>186.81910000000005</v>
      </c>
      <c r="AA21" s="358">
        <f t="shared" si="14"/>
        <v>114.64220000000002</v>
      </c>
      <c r="AB21" s="358"/>
      <c r="AC21" s="358"/>
      <c r="AD21" s="358"/>
      <c r="AE21" s="358"/>
      <c r="AF21" s="358"/>
      <c r="AG21" s="364"/>
      <c r="AH21" s="364"/>
      <c r="AI21" s="365"/>
      <c r="AJ21" s="15"/>
      <c r="AK21" s="135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136"/>
      <c r="BK21" s="21"/>
      <c r="BL21" s="21"/>
      <c r="BM21" s="21"/>
      <c r="BN21" s="21"/>
      <c r="BO21" s="21"/>
      <c r="BP21" s="21"/>
      <c r="BQ21" s="21"/>
      <c r="BR21" s="65"/>
      <c r="BS21" s="355">
        <v>0.60416666667151697</v>
      </c>
      <c r="BT21" s="354"/>
      <c r="BU21" s="20"/>
      <c r="BV21" s="47"/>
      <c r="BW21" s="121"/>
      <c r="BX21" s="122"/>
      <c r="BY21" s="122"/>
      <c r="BZ21" s="122"/>
      <c r="CA21" s="122" t="e">
        <f>#REF!</f>
        <v>#REF!</v>
      </c>
      <c r="CB21" s="122" t="e">
        <f>#REF!</f>
        <v>#REF!</v>
      </c>
      <c r="CC21" s="140" t="e">
        <f>#REF!</f>
        <v>#REF!</v>
      </c>
      <c r="CD21" s="145">
        <f>SCHEDULES!$I$23</f>
        <v>0</v>
      </c>
      <c r="CE21" s="122">
        <f>SCHEDULES!$I$66</f>
        <v>0</v>
      </c>
      <c r="CF21" s="122">
        <f>SCHEDULES!$I$108</f>
        <v>0</v>
      </c>
      <c r="CG21" s="122">
        <f>SCHEDULES!$I$149</f>
        <v>0</v>
      </c>
      <c r="CH21" s="122">
        <f>SCHEDULES!$I$190</f>
        <v>0</v>
      </c>
      <c r="CI21" s="122">
        <f>SCHEDULES!$I$231</f>
        <v>0</v>
      </c>
      <c r="CJ21" s="146">
        <f>SCHEDULES!$I$272</f>
        <v>0</v>
      </c>
      <c r="CK21" s="108">
        <f>NEWSCHEDULES!$I$23</f>
        <v>0</v>
      </c>
      <c r="CL21" s="47">
        <f>NEWSCHEDULES!$I$66</f>
        <v>0</v>
      </c>
      <c r="CM21" s="47">
        <f>NEWSCHEDULES!$I$108</f>
        <v>0</v>
      </c>
      <c r="CN21" s="47">
        <f>NEWSCHEDULES!$I$149</f>
        <v>0</v>
      </c>
      <c r="CO21" s="47">
        <f>NEWSCHEDULES!$I$190</f>
        <v>0</v>
      </c>
      <c r="CP21" s="47">
        <f>NEWSCHEDULES!$I$231</f>
        <v>0</v>
      </c>
      <c r="CQ21" s="48">
        <f>NEWSCHEDULES!$I$272</f>
        <v>0</v>
      </c>
      <c r="CR21" s="108" t="e">
        <f>#REF!</f>
        <v>#REF!</v>
      </c>
      <c r="CS21" s="47" t="e">
        <f>#REF!</f>
        <v>#REF!</v>
      </c>
      <c r="CT21" s="47" t="e">
        <f>#REF!</f>
        <v>#REF!</v>
      </c>
      <c r="CU21" s="47" t="e">
        <f>#REF!</f>
        <v>#REF!</v>
      </c>
      <c r="CV21" s="47"/>
      <c r="CW21" s="47"/>
      <c r="CX21" s="48"/>
      <c r="CY21" s="327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</row>
    <row r="22" spans="2:115" s="322" customFormat="1" ht="23.25" customHeight="1" x14ac:dyDescent="0.35">
      <c r="B22" s="117">
        <f t="shared" si="8"/>
        <v>386.20600000000002</v>
      </c>
      <c r="C22" s="355">
        <v>0.62500000000727596</v>
      </c>
      <c r="D22" s="341"/>
      <c r="E22" s="356"/>
      <c r="F22" s="357"/>
      <c r="G22" s="358"/>
      <c r="H22" s="358"/>
      <c r="I22" s="358"/>
      <c r="J22" s="358"/>
      <c r="K22" s="358"/>
      <c r="L22" s="358"/>
      <c r="M22" s="359"/>
      <c r="N22" s="360">
        <v>386.20600000000002</v>
      </c>
      <c r="O22" s="361">
        <v>373.5381999999999</v>
      </c>
      <c r="P22" s="361">
        <v>356.80259999999993</v>
      </c>
      <c r="Q22" s="361">
        <v>362.40720000000005</v>
      </c>
      <c r="R22" s="361">
        <v>366.16070000000002</v>
      </c>
      <c r="S22" s="361">
        <v>171.77080000000001</v>
      </c>
      <c r="T22" s="362">
        <v>108.71350000000001</v>
      </c>
      <c r="U22" s="363">
        <f t="shared" si="18"/>
        <v>386.20600000000002</v>
      </c>
      <c r="V22" s="358">
        <f t="shared" si="9"/>
        <v>373.5381999999999</v>
      </c>
      <c r="W22" s="358">
        <f t="shared" si="10"/>
        <v>356.80259999999993</v>
      </c>
      <c r="X22" s="358">
        <f t="shared" si="11"/>
        <v>362.40720000000005</v>
      </c>
      <c r="Y22" s="358">
        <f t="shared" si="12"/>
        <v>366.16070000000002</v>
      </c>
      <c r="Z22" s="358">
        <f t="shared" si="13"/>
        <v>171.77080000000001</v>
      </c>
      <c r="AA22" s="358">
        <f t="shared" si="14"/>
        <v>108.71350000000001</v>
      </c>
      <c r="AB22" s="358"/>
      <c r="AC22" s="358"/>
      <c r="AD22" s="358"/>
      <c r="AE22" s="358"/>
      <c r="AF22" s="358"/>
      <c r="AG22" s="364"/>
      <c r="AH22" s="364"/>
      <c r="AI22" s="365"/>
      <c r="AJ22" s="15"/>
      <c r="AK22" s="367" t="s">
        <v>0</v>
      </c>
      <c r="AL22" s="368" t="s">
        <v>1</v>
      </c>
      <c r="AM22" s="21"/>
      <c r="AN22" s="2">
        <f t="shared" ref="AN22:AV23" si="27">E3</f>
        <v>0</v>
      </c>
      <c r="AO22" s="110">
        <f t="shared" si="27"/>
        <v>0</v>
      </c>
      <c r="AP22" s="2">
        <f t="shared" si="27"/>
        <v>0</v>
      </c>
      <c r="AQ22" s="28">
        <f t="shared" si="27"/>
        <v>0</v>
      </c>
      <c r="AR22" s="28">
        <f t="shared" si="27"/>
        <v>0</v>
      </c>
      <c r="AS22" s="28">
        <f t="shared" si="27"/>
        <v>0</v>
      </c>
      <c r="AT22" s="28">
        <f t="shared" si="27"/>
        <v>0</v>
      </c>
      <c r="AU22" s="28">
        <f t="shared" si="27"/>
        <v>0</v>
      </c>
      <c r="AV22" s="28">
        <f t="shared" si="27"/>
        <v>0</v>
      </c>
      <c r="AW22" s="177"/>
      <c r="AX22" s="127"/>
      <c r="AY22" s="127"/>
      <c r="AZ22" s="127"/>
      <c r="BA22" s="127"/>
      <c r="BB22" s="127"/>
      <c r="BC22" s="158"/>
      <c r="BD22" s="177"/>
      <c r="BE22" s="127"/>
      <c r="BF22" s="127"/>
      <c r="BG22" s="127"/>
      <c r="BH22" s="127"/>
      <c r="BI22" s="127"/>
      <c r="BJ22" s="128"/>
      <c r="BK22" s="112">
        <f t="shared" ref="BK22:BQ23" si="28">AB3</f>
        <v>8</v>
      </c>
      <c r="BL22" s="28">
        <f t="shared" si="28"/>
        <v>9</v>
      </c>
      <c r="BM22" s="28">
        <f t="shared" si="28"/>
        <v>10</v>
      </c>
      <c r="BN22" s="28">
        <f t="shared" si="28"/>
        <v>11</v>
      </c>
      <c r="BO22" s="28">
        <f t="shared" si="28"/>
        <v>12</v>
      </c>
      <c r="BP22" s="28">
        <f t="shared" si="28"/>
        <v>13</v>
      </c>
      <c r="BQ22" s="28">
        <f t="shared" si="28"/>
        <v>14</v>
      </c>
      <c r="BR22" s="65"/>
      <c r="BS22" s="355">
        <v>0.62500000000727596</v>
      </c>
      <c r="BT22" s="354"/>
      <c r="BU22" s="20"/>
      <c r="BV22" s="47"/>
      <c r="BW22" s="121"/>
      <c r="BX22" s="122"/>
      <c r="BY22" s="122"/>
      <c r="BZ22" s="122"/>
      <c r="CA22" s="122" t="e">
        <f>#REF!</f>
        <v>#REF!</v>
      </c>
      <c r="CB22" s="122" t="e">
        <f>#REF!</f>
        <v>#REF!</v>
      </c>
      <c r="CC22" s="140" t="e">
        <f>#REF!</f>
        <v>#REF!</v>
      </c>
      <c r="CD22" s="145">
        <f>SCHEDULES!$I$24</f>
        <v>0</v>
      </c>
      <c r="CE22" s="122">
        <f>SCHEDULES!$I$67</f>
        <v>0</v>
      </c>
      <c r="CF22" s="122">
        <f>SCHEDULES!$I$109</f>
        <v>0</v>
      </c>
      <c r="CG22" s="122">
        <f>SCHEDULES!$I$150</f>
        <v>0</v>
      </c>
      <c r="CH22" s="122">
        <f>SCHEDULES!$I$191</f>
        <v>0</v>
      </c>
      <c r="CI22" s="122">
        <f>SCHEDULES!$I$232</f>
        <v>0</v>
      </c>
      <c r="CJ22" s="146">
        <f>SCHEDULES!$I$273</f>
        <v>0</v>
      </c>
      <c r="CK22" s="108">
        <f>NEWSCHEDULES!$I$24</f>
        <v>0</v>
      </c>
      <c r="CL22" s="47">
        <f>NEWSCHEDULES!$I$67</f>
        <v>0</v>
      </c>
      <c r="CM22" s="47">
        <f>NEWSCHEDULES!$I$109</f>
        <v>0</v>
      </c>
      <c r="CN22" s="47">
        <f>NEWSCHEDULES!$I$150</f>
        <v>0</v>
      </c>
      <c r="CO22" s="47">
        <f>NEWSCHEDULES!$I$191</f>
        <v>0</v>
      </c>
      <c r="CP22" s="47">
        <f>NEWSCHEDULES!$I$232</f>
        <v>0</v>
      </c>
      <c r="CQ22" s="48">
        <f>NEWSCHEDULES!$I$273</f>
        <v>0</v>
      </c>
      <c r="CR22" s="108" t="e">
        <f>#REF!</f>
        <v>#REF!</v>
      </c>
      <c r="CS22" s="47" t="e">
        <f>#REF!</f>
        <v>#REF!</v>
      </c>
      <c r="CT22" s="47" t="e">
        <f>#REF!</f>
        <v>#REF!</v>
      </c>
      <c r="CU22" s="47" t="e">
        <f>#REF!</f>
        <v>#REF!</v>
      </c>
      <c r="CV22" s="47"/>
      <c r="CW22" s="47"/>
      <c r="CX22" s="48"/>
      <c r="CY22" s="327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</row>
    <row r="23" spans="2:115" s="322" customFormat="1" ht="23.25" customHeight="1" thickBot="1" x14ac:dyDescent="0.4">
      <c r="B23" s="117">
        <f t="shared" si="8"/>
        <v>369.84820000000002</v>
      </c>
      <c r="C23" s="355">
        <v>0.64583333334303406</v>
      </c>
      <c r="D23" s="341"/>
      <c r="E23" s="356"/>
      <c r="F23" s="357"/>
      <c r="G23" s="358"/>
      <c r="H23" s="358"/>
      <c r="I23" s="358"/>
      <c r="J23" s="358"/>
      <c r="K23" s="358"/>
      <c r="L23" s="358"/>
      <c r="M23" s="359"/>
      <c r="N23" s="360">
        <v>315.39179999999999</v>
      </c>
      <c r="O23" s="361">
        <v>369.84820000000002</v>
      </c>
      <c r="P23" s="361">
        <v>348.19939999999997</v>
      </c>
      <c r="Q23" s="361">
        <v>346.49300000000005</v>
      </c>
      <c r="R23" s="361">
        <v>347.8261</v>
      </c>
      <c r="S23" s="361">
        <v>163.625</v>
      </c>
      <c r="T23" s="362">
        <v>104.63959999999999</v>
      </c>
      <c r="U23" s="363">
        <f t="shared" si="18"/>
        <v>315.39179999999999</v>
      </c>
      <c r="V23" s="358">
        <f t="shared" si="9"/>
        <v>369.84820000000002</v>
      </c>
      <c r="W23" s="358">
        <f t="shared" si="10"/>
        <v>348.19939999999997</v>
      </c>
      <c r="X23" s="358">
        <f t="shared" si="11"/>
        <v>346.49300000000005</v>
      </c>
      <c r="Y23" s="358">
        <f t="shared" si="12"/>
        <v>347.8261</v>
      </c>
      <c r="Z23" s="358">
        <f t="shared" si="13"/>
        <v>163.625</v>
      </c>
      <c r="AA23" s="358">
        <f t="shared" si="14"/>
        <v>104.63959999999999</v>
      </c>
      <c r="AB23" s="358"/>
      <c r="AC23" s="358"/>
      <c r="AD23" s="358"/>
      <c r="AE23" s="358"/>
      <c r="AF23" s="358"/>
      <c r="AG23" s="364"/>
      <c r="AH23" s="364"/>
      <c r="AI23" s="365"/>
      <c r="AJ23" s="15"/>
      <c r="AK23" s="369" t="s">
        <v>2</v>
      </c>
      <c r="AL23" s="370" t="s">
        <v>3</v>
      </c>
      <c r="AM23" s="21"/>
      <c r="AN23" s="4" t="str">
        <f t="shared" si="27"/>
        <v>Sat</v>
      </c>
      <c r="AO23" s="111" t="str">
        <f t="shared" si="27"/>
        <v>Sat</v>
      </c>
      <c r="AP23" s="4" t="str">
        <f t="shared" si="27"/>
        <v>Sat</v>
      </c>
      <c r="AQ23" s="5" t="str">
        <f t="shared" si="27"/>
        <v>Sat</v>
      </c>
      <c r="AR23" s="5" t="str">
        <f t="shared" si="27"/>
        <v>Sat</v>
      </c>
      <c r="AS23" s="5" t="str">
        <f t="shared" si="27"/>
        <v>Sat</v>
      </c>
      <c r="AT23" s="5" t="str">
        <f t="shared" si="27"/>
        <v>Sat</v>
      </c>
      <c r="AU23" s="5" t="str">
        <f t="shared" si="27"/>
        <v>Sat</v>
      </c>
      <c r="AV23" s="5" t="str">
        <f t="shared" si="27"/>
        <v>Sat</v>
      </c>
      <c r="AW23" s="176" t="s">
        <v>23</v>
      </c>
      <c r="AX23" s="168" t="s">
        <v>24</v>
      </c>
      <c r="AY23" s="168" t="s">
        <v>25</v>
      </c>
      <c r="AZ23" s="168" t="s">
        <v>26</v>
      </c>
      <c r="BA23" s="168" t="s">
        <v>27</v>
      </c>
      <c r="BB23" s="168" t="s">
        <v>28</v>
      </c>
      <c r="BC23" s="169" t="s">
        <v>29</v>
      </c>
      <c r="BD23" s="176" t="s">
        <v>23</v>
      </c>
      <c r="BE23" s="168" t="s">
        <v>24</v>
      </c>
      <c r="BF23" s="168" t="s">
        <v>25</v>
      </c>
      <c r="BG23" s="168" t="s">
        <v>26</v>
      </c>
      <c r="BH23" s="168" t="s">
        <v>27</v>
      </c>
      <c r="BI23" s="168" t="s">
        <v>28</v>
      </c>
      <c r="BJ23" s="170" t="s">
        <v>29</v>
      </c>
      <c r="BK23" s="113" t="str">
        <f t="shared" si="28"/>
        <v>Sun</v>
      </c>
      <c r="BL23" s="5" t="str">
        <f t="shared" si="28"/>
        <v>Mon</v>
      </c>
      <c r="BM23" s="5" t="str">
        <f t="shared" si="28"/>
        <v>Tue</v>
      </c>
      <c r="BN23" s="5" t="str">
        <f t="shared" si="28"/>
        <v>Wed</v>
      </c>
      <c r="BO23" s="5" t="str">
        <f t="shared" si="28"/>
        <v>Thu</v>
      </c>
      <c r="BP23" s="5" t="str">
        <f t="shared" si="28"/>
        <v>Fri</v>
      </c>
      <c r="BQ23" s="5" t="str">
        <f t="shared" si="28"/>
        <v>Sat</v>
      </c>
      <c r="BR23" s="65"/>
      <c r="BS23" s="355">
        <v>0.64583333334303406</v>
      </c>
      <c r="BT23" s="354"/>
      <c r="BU23" s="20"/>
      <c r="BV23" s="47"/>
      <c r="BW23" s="121"/>
      <c r="BX23" s="122"/>
      <c r="BY23" s="122"/>
      <c r="BZ23" s="122"/>
      <c r="CA23" s="122" t="e">
        <f>#REF!</f>
        <v>#REF!</v>
      </c>
      <c r="CB23" s="122" t="e">
        <f>#REF!</f>
        <v>#REF!</v>
      </c>
      <c r="CC23" s="140" t="e">
        <f>#REF!</f>
        <v>#REF!</v>
      </c>
      <c r="CD23" s="145">
        <f>SCHEDULES!$I$25</f>
        <v>0</v>
      </c>
      <c r="CE23" s="122">
        <f>SCHEDULES!$I$68</f>
        <v>0</v>
      </c>
      <c r="CF23" s="122">
        <f>SCHEDULES!$I$110</f>
        <v>0</v>
      </c>
      <c r="CG23" s="122">
        <f>SCHEDULES!$I$151</f>
        <v>0</v>
      </c>
      <c r="CH23" s="122">
        <f>SCHEDULES!$I$192</f>
        <v>0</v>
      </c>
      <c r="CI23" s="122">
        <f>SCHEDULES!$I$233</f>
        <v>0</v>
      </c>
      <c r="CJ23" s="146">
        <f>SCHEDULES!$I$274</f>
        <v>0</v>
      </c>
      <c r="CK23" s="108">
        <f>NEWSCHEDULES!$I$25</f>
        <v>0</v>
      </c>
      <c r="CL23" s="47">
        <f>NEWSCHEDULES!$I$68</f>
        <v>0</v>
      </c>
      <c r="CM23" s="47">
        <f>NEWSCHEDULES!$I$110</f>
        <v>0</v>
      </c>
      <c r="CN23" s="47">
        <f>NEWSCHEDULES!$I$151</f>
        <v>0</v>
      </c>
      <c r="CO23" s="47">
        <f>NEWSCHEDULES!$I$192</f>
        <v>0</v>
      </c>
      <c r="CP23" s="47">
        <f>NEWSCHEDULES!$I$233</f>
        <v>0</v>
      </c>
      <c r="CQ23" s="48">
        <f>NEWSCHEDULES!$I$274</f>
        <v>0</v>
      </c>
      <c r="CR23" s="108" t="e">
        <f>#REF!</f>
        <v>#REF!</v>
      </c>
      <c r="CS23" s="47" t="e">
        <f>#REF!</f>
        <v>#REF!</v>
      </c>
      <c r="CT23" s="47" t="e">
        <f>#REF!</f>
        <v>#REF!</v>
      </c>
      <c r="CU23" s="47" t="e">
        <f>#REF!</f>
        <v>#REF!</v>
      </c>
      <c r="CV23" s="47"/>
      <c r="CW23" s="47"/>
      <c r="CX23" s="48"/>
      <c r="CY23" s="327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</row>
    <row r="24" spans="2:115" s="322" customFormat="1" ht="23.25" customHeight="1" thickBot="1" x14ac:dyDescent="0.4">
      <c r="B24" s="117">
        <f t="shared" si="8"/>
        <v>361.27520000000004</v>
      </c>
      <c r="C24" s="355">
        <v>0.66666666667879304</v>
      </c>
      <c r="D24" s="341"/>
      <c r="E24" s="356"/>
      <c r="F24" s="357"/>
      <c r="G24" s="358"/>
      <c r="H24" s="358"/>
      <c r="I24" s="358"/>
      <c r="J24" s="358"/>
      <c r="K24" s="358"/>
      <c r="L24" s="358"/>
      <c r="M24" s="359"/>
      <c r="N24" s="360">
        <v>334.29369999999994</v>
      </c>
      <c r="O24" s="361">
        <v>361.27520000000004</v>
      </c>
      <c r="P24" s="361">
        <v>346.36339999999996</v>
      </c>
      <c r="Q24" s="361">
        <v>338.94419999999997</v>
      </c>
      <c r="R24" s="361">
        <v>339.11860000000001</v>
      </c>
      <c r="S24" s="361">
        <v>145.39400000000001</v>
      </c>
      <c r="T24" s="362">
        <v>88.747500000000002</v>
      </c>
      <c r="U24" s="363">
        <f t="shared" si="18"/>
        <v>334.29369999999994</v>
      </c>
      <c r="V24" s="358">
        <f t="shared" si="9"/>
        <v>361.27520000000004</v>
      </c>
      <c r="W24" s="358">
        <f t="shared" si="10"/>
        <v>346.36339999999996</v>
      </c>
      <c r="X24" s="358">
        <f t="shared" si="11"/>
        <v>338.94419999999997</v>
      </c>
      <c r="Y24" s="358">
        <f t="shared" si="12"/>
        <v>339.11860000000001</v>
      </c>
      <c r="Z24" s="358">
        <f t="shared" si="13"/>
        <v>145.39400000000001</v>
      </c>
      <c r="AA24" s="358">
        <f t="shared" si="14"/>
        <v>88.747500000000002</v>
      </c>
      <c r="AB24" s="358"/>
      <c r="AC24" s="358"/>
      <c r="AD24" s="358"/>
      <c r="AE24" s="358"/>
      <c r="AF24" s="358"/>
      <c r="AG24" s="364"/>
      <c r="AH24" s="364"/>
      <c r="AI24" s="365"/>
      <c r="AJ24" s="15"/>
      <c r="AK24" s="135"/>
      <c r="AL24" s="21"/>
      <c r="AM24" s="21"/>
      <c r="AQ24" s="159" t="s">
        <v>5</v>
      </c>
      <c r="AZ24" s="9" t="s">
        <v>5</v>
      </c>
      <c r="BG24" s="9"/>
      <c r="BJ24" s="371"/>
      <c r="BR24" s="65"/>
      <c r="BS24" s="355">
        <v>0.66666666667879304</v>
      </c>
      <c r="BT24" s="354"/>
      <c r="BU24" s="20"/>
      <c r="BV24" s="47"/>
      <c r="BW24" s="121"/>
      <c r="BX24" s="122"/>
      <c r="BY24" s="122"/>
      <c r="BZ24" s="122"/>
      <c r="CA24" s="122" t="e">
        <f>#REF!</f>
        <v>#REF!</v>
      </c>
      <c r="CB24" s="122" t="e">
        <f>#REF!</f>
        <v>#REF!</v>
      </c>
      <c r="CC24" s="140" t="e">
        <f>#REF!</f>
        <v>#REF!</v>
      </c>
      <c r="CD24" s="145">
        <f>SCHEDULES!$I$26</f>
        <v>0</v>
      </c>
      <c r="CE24" s="122">
        <f>SCHEDULES!$I$69</f>
        <v>0</v>
      </c>
      <c r="CF24" s="122">
        <f>SCHEDULES!$I$111</f>
        <v>0</v>
      </c>
      <c r="CG24" s="122">
        <f>SCHEDULES!$I$152</f>
        <v>0</v>
      </c>
      <c r="CH24" s="122">
        <f>SCHEDULES!$I$193</f>
        <v>0</v>
      </c>
      <c r="CI24" s="122">
        <f>SCHEDULES!$I$234</f>
        <v>0</v>
      </c>
      <c r="CJ24" s="146">
        <f>SCHEDULES!$I$275</f>
        <v>0</v>
      </c>
      <c r="CK24" s="108">
        <f>NEWSCHEDULES!$I$26</f>
        <v>0</v>
      </c>
      <c r="CL24" s="47">
        <f>NEWSCHEDULES!$I$69</f>
        <v>0</v>
      </c>
      <c r="CM24" s="47">
        <f>NEWSCHEDULES!$I$111</f>
        <v>0</v>
      </c>
      <c r="CN24" s="47">
        <f>NEWSCHEDULES!$I$152</f>
        <v>0</v>
      </c>
      <c r="CO24" s="47">
        <f>NEWSCHEDULES!$I$193</f>
        <v>0</v>
      </c>
      <c r="CP24" s="47">
        <f>NEWSCHEDULES!$I$234</f>
        <v>0</v>
      </c>
      <c r="CQ24" s="48">
        <f>NEWSCHEDULES!$I$275</f>
        <v>0</v>
      </c>
      <c r="CR24" s="108" t="e">
        <f>#REF!</f>
        <v>#REF!</v>
      </c>
      <c r="CS24" s="47" t="e">
        <f>#REF!</f>
        <v>#REF!</v>
      </c>
      <c r="CT24" s="47" t="e">
        <f>#REF!</f>
        <v>#REF!</v>
      </c>
      <c r="CU24" s="47" t="e">
        <f>#REF!</f>
        <v>#REF!</v>
      </c>
      <c r="CV24" s="47"/>
      <c r="CW24" s="47"/>
      <c r="CX24" s="48"/>
      <c r="CY24" s="327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</row>
    <row r="25" spans="2:115" s="322" customFormat="1" ht="23.25" customHeight="1" x14ac:dyDescent="0.35">
      <c r="B25" s="117">
        <f t="shared" si="8"/>
        <v>343.22070000000002</v>
      </c>
      <c r="C25" s="355">
        <v>0.68750000001455203</v>
      </c>
      <c r="D25" s="341"/>
      <c r="E25" s="356"/>
      <c r="F25" s="357"/>
      <c r="G25" s="358"/>
      <c r="H25" s="358"/>
      <c r="I25" s="358"/>
      <c r="J25" s="358"/>
      <c r="K25" s="358"/>
      <c r="L25" s="358"/>
      <c r="M25" s="359"/>
      <c r="N25" s="360">
        <v>335.30290000000002</v>
      </c>
      <c r="O25" s="361">
        <v>343.22070000000002</v>
      </c>
      <c r="P25" s="361">
        <v>326.38300000000004</v>
      </c>
      <c r="Q25" s="361">
        <v>323.31870000000004</v>
      </c>
      <c r="R25" s="361">
        <v>318.5333</v>
      </c>
      <c r="S25" s="361">
        <v>135.04050000000001</v>
      </c>
      <c r="T25" s="362">
        <v>84.929299999999998</v>
      </c>
      <c r="U25" s="363">
        <f t="shared" si="18"/>
        <v>335.30290000000002</v>
      </c>
      <c r="V25" s="358">
        <f t="shared" si="9"/>
        <v>343.22070000000002</v>
      </c>
      <c r="W25" s="358">
        <f t="shared" si="10"/>
        <v>326.38300000000004</v>
      </c>
      <c r="X25" s="358">
        <f t="shared" si="11"/>
        <v>323.31870000000004</v>
      </c>
      <c r="Y25" s="358">
        <f t="shared" si="12"/>
        <v>318.5333</v>
      </c>
      <c r="Z25" s="358">
        <f t="shared" si="13"/>
        <v>135.04050000000001</v>
      </c>
      <c r="AA25" s="358">
        <f t="shared" si="14"/>
        <v>84.929299999999998</v>
      </c>
      <c r="AB25" s="358"/>
      <c r="AC25" s="358"/>
      <c r="AD25" s="358"/>
      <c r="AE25" s="358"/>
      <c r="AF25" s="358"/>
      <c r="AG25" s="364"/>
      <c r="AH25" s="364"/>
      <c r="AI25" s="365"/>
      <c r="AJ25" s="15"/>
      <c r="AK25" s="355">
        <v>0.29166666666424135</v>
      </c>
      <c r="AL25" s="366">
        <v>0.645833333372138</v>
      </c>
      <c r="AM25" s="353">
        <f t="shared" ref="AM25:AM38" si="29">MAX(E74:AI74)</f>
        <v>0</v>
      </c>
      <c r="AN25" s="372"/>
      <c r="AO25" s="373"/>
      <c r="AP25" s="374"/>
      <c r="AQ25" s="373"/>
      <c r="AR25" s="373"/>
      <c r="AS25" s="373"/>
      <c r="AT25" s="373"/>
      <c r="AU25" s="373"/>
      <c r="AV25" s="375"/>
      <c r="AW25" s="346">
        <v>69.889799999999994</v>
      </c>
      <c r="AX25" s="376">
        <v>83.125500000000017</v>
      </c>
      <c r="AY25" s="376">
        <v>88.057500000000005</v>
      </c>
      <c r="AZ25" s="376">
        <v>87.470799999999997</v>
      </c>
      <c r="BA25" s="376">
        <v>105.2</v>
      </c>
      <c r="BB25" s="376"/>
      <c r="BC25" s="377"/>
      <c r="BD25" s="378"/>
      <c r="BE25" s="376">
        <v>83.125500000000017</v>
      </c>
      <c r="BF25" s="376">
        <v>88.057500000000005</v>
      </c>
      <c r="BG25" s="376">
        <v>87.470799999999997</v>
      </c>
      <c r="BH25" s="376">
        <v>105.2</v>
      </c>
      <c r="BI25" s="376"/>
      <c r="BJ25" s="379"/>
      <c r="BK25" s="349"/>
      <c r="BL25" s="344"/>
      <c r="BM25" s="344"/>
      <c r="BN25" s="344"/>
      <c r="BO25" s="344"/>
      <c r="BP25" s="344"/>
      <c r="BQ25" s="351"/>
      <c r="BR25" s="65"/>
      <c r="BS25" s="355">
        <v>0.68750000001455203</v>
      </c>
      <c r="BT25" s="354"/>
      <c r="BU25" s="20"/>
      <c r="BV25" s="47"/>
      <c r="BW25" s="121"/>
      <c r="BX25" s="122"/>
      <c r="BY25" s="122"/>
      <c r="BZ25" s="122"/>
      <c r="CA25" s="122" t="e">
        <f>#REF!</f>
        <v>#REF!</v>
      </c>
      <c r="CB25" s="122" t="e">
        <f>#REF!</f>
        <v>#REF!</v>
      </c>
      <c r="CC25" s="140" t="e">
        <f>#REF!</f>
        <v>#REF!</v>
      </c>
      <c r="CD25" s="145">
        <f>SCHEDULES!$I$27</f>
        <v>0</v>
      </c>
      <c r="CE25" s="122">
        <f>SCHEDULES!$I$70</f>
        <v>0</v>
      </c>
      <c r="CF25" s="122">
        <f>SCHEDULES!$I$112</f>
        <v>0</v>
      </c>
      <c r="CG25" s="122">
        <f>SCHEDULES!$I$153</f>
        <v>0</v>
      </c>
      <c r="CH25" s="122">
        <f>SCHEDULES!$I$194</f>
        <v>0</v>
      </c>
      <c r="CI25" s="122">
        <f>SCHEDULES!$I$235</f>
        <v>0</v>
      </c>
      <c r="CJ25" s="146">
        <f>SCHEDULES!$I$276</f>
        <v>0</v>
      </c>
      <c r="CK25" s="108">
        <f>NEWSCHEDULES!$I$27</f>
        <v>0</v>
      </c>
      <c r="CL25" s="47">
        <f>NEWSCHEDULES!$I$70</f>
        <v>0</v>
      </c>
      <c r="CM25" s="47">
        <f>NEWSCHEDULES!$I$112</f>
        <v>0</v>
      </c>
      <c r="CN25" s="47">
        <f>NEWSCHEDULES!$I$153</f>
        <v>0</v>
      </c>
      <c r="CO25" s="47">
        <f>NEWSCHEDULES!$I$194</f>
        <v>0</v>
      </c>
      <c r="CP25" s="47">
        <f>NEWSCHEDULES!$I$235</f>
        <v>0</v>
      </c>
      <c r="CQ25" s="48">
        <f>NEWSCHEDULES!$I$276</f>
        <v>0</v>
      </c>
      <c r="CR25" s="108" t="e">
        <f>#REF!</f>
        <v>#REF!</v>
      </c>
      <c r="CS25" s="47" t="e">
        <f>#REF!</f>
        <v>#REF!</v>
      </c>
      <c r="CT25" s="47" t="e">
        <f>#REF!</f>
        <v>#REF!</v>
      </c>
      <c r="CU25" s="47" t="e">
        <f>#REF!</f>
        <v>#REF!</v>
      </c>
      <c r="CV25" s="47"/>
      <c r="CW25" s="47"/>
      <c r="CX25" s="48"/>
      <c r="CY25" s="327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</row>
    <row r="26" spans="2:115" s="322" customFormat="1" ht="23.25" customHeight="1" x14ac:dyDescent="0.35">
      <c r="B26" s="117">
        <f t="shared" si="8"/>
        <v>332.93559999999997</v>
      </c>
      <c r="C26" s="355">
        <v>0.70833333335031001</v>
      </c>
      <c r="D26" s="341"/>
      <c r="E26" s="356"/>
      <c r="F26" s="357"/>
      <c r="G26" s="358"/>
      <c r="H26" s="358"/>
      <c r="I26" s="358"/>
      <c r="J26" s="358"/>
      <c r="K26" s="358"/>
      <c r="L26" s="358"/>
      <c r="M26" s="359"/>
      <c r="N26" s="360">
        <v>332.93559999999997</v>
      </c>
      <c r="O26" s="361">
        <v>323.76049999999998</v>
      </c>
      <c r="P26" s="361">
        <v>299.10369999999995</v>
      </c>
      <c r="Q26" s="361">
        <v>298.05759999999998</v>
      </c>
      <c r="R26" s="361">
        <v>293.82749999999999</v>
      </c>
      <c r="S26" s="361"/>
      <c r="T26" s="362"/>
      <c r="U26" s="363">
        <f t="shared" si="18"/>
        <v>332.93559999999997</v>
      </c>
      <c r="V26" s="358">
        <f t="shared" si="9"/>
        <v>323.76049999999998</v>
      </c>
      <c r="W26" s="358">
        <f t="shared" si="10"/>
        <v>299.10369999999995</v>
      </c>
      <c r="X26" s="358">
        <f t="shared" si="11"/>
        <v>298.05759999999998</v>
      </c>
      <c r="Y26" s="358">
        <f t="shared" si="12"/>
        <v>293.82749999999999</v>
      </c>
      <c r="Z26" s="358">
        <f t="shared" si="13"/>
        <v>0</v>
      </c>
      <c r="AA26" s="358">
        <f t="shared" si="14"/>
        <v>0</v>
      </c>
      <c r="AB26" s="358"/>
      <c r="AC26" s="358"/>
      <c r="AD26" s="358"/>
      <c r="AE26" s="358"/>
      <c r="AF26" s="358"/>
      <c r="AG26" s="364"/>
      <c r="AH26" s="364"/>
      <c r="AI26" s="365"/>
      <c r="AJ26" s="15"/>
      <c r="AK26" s="355">
        <v>0.3125</v>
      </c>
      <c r="AL26" s="366">
        <v>0.66666666670789698</v>
      </c>
      <c r="AM26" s="353">
        <f t="shared" si="29"/>
        <v>0</v>
      </c>
      <c r="AN26" s="380"/>
      <c r="AO26" s="358"/>
      <c r="AP26" s="381"/>
      <c r="AQ26" s="358">
        <v>100</v>
      </c>
      <c r="AR26" s="358"/>
      <c r="AS26" s="358">
        <v>100</v>
      </c>
      <c r="AT26" s="358"/>
      <c r="AU26" s="358"/>
      <c r="AV26" s="359"/>
      <c r="AW26" s="360">
        <v>26.738700000000009</v>
      </c>
      <c r="AX26" s="361">
        <v>31.765599999999978</v>
      </c>
      <c r="AY26" s="361">
        <v>32.422399999999996</v>
      </c>
      <c r="AZ26" s="361">
        <v>31.756600000000006</v>
      </c>
      <c r="BA26" s="361">
        <v>51.012800000000013</v>
      </c>
      <c r="BB26" s="361"/>
      <c r="BC26" s="382"/>
      <c r="BD26" s="383"/>
      <c r="BE26" s="361">
        <v>31.765599999999978</v>
      </c>
      <c r="BF26" s="361">
        <v>32.422399999999996</v>
      </c>
      <c r="BG26" s="361">
        <v>31.756600000000006</v>
      </c>
      <c r="BH26" s="361">
        <v>51.012800000000013</v>
      </c>
      <c r="BI26" s="361"/>
      <c r="BJ26" s="362"/>
      <c r="BK26" s="363"/>
      <c r="BL26" s="358"/>
      <c r="BM26" s="358"/>
      <c r="BN26" s="358"/>
      <c r="BO26" s="358"/>
      <c r="BP26" s="358"/>
      <c r="BQ26" s="365"/>
      <c r="BR26" s="65"/>
      <c r="BS26" s="355">
        <v>0.70833333335031001</v>
      </c>
      <c r="BT26" s="354"/>
      <c r="BU26" s="20"/>
      <c r="BV26" s="47"/>
      <c r="BW26" s="121"/>
      <c r="BX26" s="122"/>
      <c r="BY26" s="122"/>
      <c r="BZ26" s="122"/>
      <c r="CA26" s="122" t="e">
        <f>#REF!</f>
        <v>#REF!</v>
      </c>
      <c r="CB26" s="122" t="e">
        <f>#REF!</f>
        <v>#REF!</v>
      </c>
      <c r="CC26" s="140" t="e">
        <f>#REF!</f>
        <v>#REF!</v>
      </c>
      <c r="CD26" s="145">
        <f>SCHEDULES!$I$28</f>
        <v>0</v>
      </c>
      <c r="CE26" s="122">
        <f>SCHEDULES!$I$71</f>
        <v>0</v>
      </c>
      <c r="CF26" s="122">
        <f>SCHEDULES!$I$113</f>
        <v>0</v>
      </c>
      <c r="CG26" s="122">
        <f>SCHEDULES!$I$154</f>
        <v>0</v>
      </c>
      <c r="CH26" s="122">
        <f>SCHEDULES!$I$195</f>
        <v>0</v>
      </c>
      <c r="CI26" s="122">
        <f>SCHEDULES!$I$236</f>
        <v>0</v>
      </c>
      <c r="CJ26" s="146">
        <f>SCHEDULES!$I$277</f>
        <v>0</v>
      </c>
      <c r="CK26" s="108">
        <f>NEWSCHEDULES!$I$28</f>
        <v>0</v>
      </c>
      <c r="CL26" s="47">
        <f>NEWSCHEDULES!$I$71</f>
        <v>0</v>
      </c>
      <c r="CM26" s="47">
        <f>NEWSCHEDULES!$I$113</f>
        <v>0</v>
      </c>
      <c r="CN26" s="47">
        <f>NEWSCHEDULES!$I$154</f>
        <v>0</v>
      </c>
      <c r="CO26" s="47">
        <f>NEWSCHEDULES!$I$195</f>
        <v>0</v>
      </c>
      <c r="CP26" s="47">
        <f>NEWSCHEDULES!$I$236</f>
        <v>0</v>
      </c>
      <c r="CQ26" s="48">
        <f>NEWSCHEDULES!$I$277</f>
        <v>0</v>
      </c>
      <c r="CR26" s="108" t="e">
        <f>#REF!</f>
        <v>#REF!</v>
      </c>
      <c r="CS26" s="47" t="e">
        <f>#REF!</f>
        <v>#REF!</v>
      </c>
      <c r="CT26" s="47" t="e">
        <f>#REF!</f>
        <v>#REF!</v>
      </c>
      <c r="CU26" s="47" t="e">
        <f>#REF!</f>
        <v>#REF!</v>
      </c>
      <c r="CV26" s="47"/>
      <c r="CW26" s="47"/>
      <c r="CX26" s="48"/>
      <c r="CY26" s="327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</row>
    <row r="27" spans="2:115" s="322" customFormat="1" ht="23.25" customHeight="1" x14ac:dyDescent="0.35">
      <c r="B27" s="117">
        <f t="shared" si="8"/>
        <v>339.5757000000001</v>
      </c>
      <c r="C27" s="355">
        <v>0.729166666686069</v>
      </c>
      <c r="D27" s="341"/>
      <c r="E27" s="356"/>
      <c r="F27" s="357"/>
      <c r="G27" s="358"/>
      <c r="H27" s="358"/>
      <c r="I27" s="358"/>
      <c r="J27" s="358"/>
      <c r="K27" s="358"/>
      <c r="L27" s="358"/>
      <c r="M27" s="359"/>
      <c r="N27" s="360">
        <v>339.5757000000001</v>
      </c>
      <c r="O27" s="361">
        <v>304.15909999999997</v>
      </c>
      <c r="P27" s="361">
        <v>288.36950000000002</v>
      </c>
      <c r="Q27" s="361">
        <v>289.73930000000001</v>
      </c>
      <c r="R27" s="361">
        <v>273.03190000000001</v>
      </c>
      <c r="S27" s="361"/>
      <c r="T27" s="362"/>
      <c r="U27" s="363">
        <f t="shared" si="18"/>
        <v>339.5757000000001</v>
      </c>
      <c r="V27" s="358">
        <f t="shared" si="9"/>
        <v>304.15909999999997</v>
      </c>
      <c r="W27" s="358">
        <f t="shared" si="10"/>
        <v>288.36950000000002</v>
      </c>
      <c r="X27" s="358">
        <f t="shared" si="11"/>
        <v>289.73930000000001</v>
      </c>
      <c r="Y27" s="358">
        <f t="shared" si="12"/>
        <v>273.03190000000001</v>
      </c>
      <c r="Z27" s="358">
        <f t="shared" si="13"/>
        <v>0</v>
      </c>
      <c r="AA27" s="358">
        <f t="shared" si="14"/>
        <v>0</v>
      </c>
      <c r="AB27" s="358"/>
      <c r="AC27" s="358"/>
      <c r="AD27" s="358"/>
      <c r="AE27" s="358"/>
      <c r="AF27" s="358"/>
      <c r="AG27" s="364"/>
      <c r="AH27" s="364"/>
      <c r="AI27" s="365"/>
      <c r="AJ27" s="15"/>
      <c r="AK27" s="355">
        <v>0.33333333333575865</v>
      </c>
      <c r="AL27" s="366">
        <v>0.68750000004365597</v>
      </c>
      <c r="AM27" s="353">
        <f t="shared" si="29"/>
        <v>0</v>
      </c>
      <c r="AN27" s="380"/>
      <c r="AO27" s="358"/>
      <c r="AP27" s="381"/>
      <c r="AQ27" s="358"/>
      <c r="AR27" s="358"/>
      <c r="AS27" s="358">
        <v>100</v>
      </c>
      <c r="AT27" s="358"/>
      <c r="AU27" s="358"/>
      <c r="AV27" s="359"/>
      <c r="AW27" s="360">
        <v>58.813400000000001</v>
      </c>
      <c r="AX27" s="361">
        <v>79.033600000000035</v>
      </c>
      <c r="AY27" s="361">
        <v>66.304099999999991</v>
      </c>
      <c r="AZ27" s="361">
        <v>66.00409999999998</v>
      </c>
      <c r="BA27" s="361">
        <v>70.373899999999963</v>
      </c>
      <c r="BB27" s="361">
        <v>142.53480000000002</v>
      </c>
      <c r="BC27" s="382">
        <v>62.333400000000005</v>
      </c>
      <c r="BD27" s="383"/>
      <c r="BE27" s="361">
        <v>79.033600000000035</v>
      </c>
      <c r="BF27" s="361">
        <v>66.304099999999991</v>
      </c>
      <c r="BG27" s="361">
        <v>66.00409999999998</v>
      </c>
      <c r="BH27" s="361">
        <v>70.373899999999963</v>
      </c>
      <c r="BI27" s="361">
        <v>142.53480000000002</v>
      </c>
      <c r="BJ27" s="362">
        <v>62.333400000000005</v>
      </c>
      <c r="BK27" s="363"/>
      <c r="BL27" s="358"/>
      <c r="BM27" s="358"/>
      <c r="BN27" s="358"/>
      <c r="BO27" s="358"/>
      <c r="BP27" s="358"/>
      <c r="BQ27" s="365"/>
      <c r="BR27" s="65"/>
      <c r="BS27" s="355">
        <v>0.729166666686069</v>
      </c>
      <c r="BT27" s="354"/>
      <c r="BU27" s="20"/>
      <c r="BV27" s="47"/>
      <c r="BW27" s="121"/>
      <c r="BX27" s="122"/>
      <c r="BY27" s="122"/>
      <c r="BZ27" s="122"/>
      <c r="CA27" s="122" t="e">
        <f>#REF!</f>
        <v>#REF!</v>
      </c>
      <c r="CB27" s="122" t="e">
        <f>#REF!</f>
        <v>#REF!</v>
      </c>
      <c r="CC27" s="140" t="e">
        <f>#REF!</f>
        <v>#REF!</v>
      </c>
      <c r="CD27" s="145">
        <f>SCHEDULES!$I$29</f>
        <v>0</v>
      </c>
      <c r="CE27" s="122">
        <f>SCHEDULES!$I$72</f>
        <v>0</v>
      </c>
      <c r="CF27" s="122">
        <f>SCHEDULES!$I$114</f>
        <v>0</v>
      </c>
      <c r="CG27" s="122">
        <f>SCHEDULES!$I$155</f>
        <v>0</v>
      </c>
      <c r="CH27" s="122">
        <f>SCHEDULES!$I$196</f>
        <v>0</v>
      </c>
      <c r="CI27" s="122">
        <f>SCHEDULES!$I$237</f>
        <v>0</v>
      </c>
      <c r="CJ27" s="146">
        <f>SCHEDULES!$I$278</f>
        <v>0</v>
      </c>
      <c r="CK27" s="108">
        <f>NEWSCHEDULES!$I$29</f>
        <v>0</v>
      </c>
      <c r="CL27" s="47">
        <f>NEWSCHEDULES!$I$72</f>
        <v>0</v>
      </c>
      <c r="CM27" s="47">
        <f>NEWSCHEDULES!$I$114</f>
        <v>0</v>
      </c>
      <c r="CN27" s="47">
        <f>NEWSCHEDULES!$I$155</f>
        <v>0</v>
      </c>
      <c r="CO27" s="47">
        <f>NEWSCHEDULES!$I$196</f>
        <v>0</v>
      </c>
      <c r="CP27" s="47">
        <f>NEWSCHEDULES!$I$237</f>
        <v>0</v>
      </c>
      <c r="CQ27" s="48">
        <f>NEWSCHEDULES!$I$278</f>
        <v>0</v>
      </c>
      <c r="CR27" s="108" t="e">
        <f>#REF!</f>
        <v>#REF!</v>
      </c>
      <c r="CS27" s="47" t="e">
        <f>#REF!</f>
        <v>#REF!</v>
      </c>
      <c r="CT27" s="47" t="e">
        <f>#REF!</f>
        <v>#REF!</v>
      </c>
      <c r="CU27" s="47" t="e">
        <f>#REF!</f>
        <v>#REF!</v>
      </c>
      <c r="CV27" s="47"/>
      <c r="CW27" s="47"/>
      <c r="CX27" s="48"/>
      <c r="CY27" s="327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</row>
    <row r="28" spans="2:115" s="322" customFormat="1" ht="23.25" customHeight="1" x14ac:dyDescent="0.35">
      <c r="B28" s="117">
        <f t="shared" si="8"/>
        <v>319.76080000000002</v>
      </c>
      <c r="C28" s="355">
        <v>0.75000000002182798</v>
      </c>
      <c r="D28" s="341"/>
      <c r="E28" s="356"/>
      <c r="F28" s="357"/>
      <c r="G28" s="358"/>
      <c r="H28" s="358"/>
      <c r="I28" s="358"/>
      <c r="J28" s="358"/>
      <c r="K28" s="358"/>
      <c r="L28" s="358"/>
      <c r="M28" s="359"/>
      <c r="N28" s="360">
        <v>319.76080000000002</v>
      </c>
      <c r="O28" s="361">
        <v>293.82499999999999</v>
      </c>
      <c r="P28" s="361">
        <v>273.4907</v>
      </c>
      <c r="Q28" s="361">
        <v>282.22430000000003</v>
      </c>
      <c r="R28" s="361">
        <v>256.99399999999997</v>
      </c>
      <c r="S28" s="361"/>
      <c r="T28" s="362"/>
      <c r="U28" s="363">
        <f t="shared" si="18"/>
        <v>319.76080000000002</v>
      </c>
      <c r="V28" s="358">
        <f t="shared" si="9"/>
        <v>293.82499999999999</v>
      </c>
      <c r="W28" s="358">
        <f t="shared" si="10"/>
        <v>273.4907</v>
      </c>
      <c r="X28" s="358">
        <f t="shared" si="11"/>
        <v>282.22430000000003</v>
      </c>
      <c r="Y28" s="358">
        <f t="shared" si="12"/>
        <v>256.99399999999997</v>
      </c>
      <c r="Z28" s="358">
        <f t="shared" si="13"/>
        <v>0</v>
      </c>
      <c r="AA28" s="358">
        <f t="shared" si="14"/>
        <v>0</v>
      </c>
      <c r="AB28" s="358"/>
      <c r="AC28" s="358"/>
      <c r="AD28" s="358"/>
      <c r="AE28" s="358"/>
      <c r="AF28" s="358"/>
      <c r="AG28" s="364"/>
      <c r="AH28" s="364"/>
      <c r="AI28" s="365"/>
      <c r="AJ28" s="15"/>
      <c r="AK28" s="355">
        <v>0.35416666666424135</v>
      </c>
      <c r="AL28" s="366">
        <v>0.70833333337941495</v>
      </c>
      <c r="AM28" s="353">
        <f t="shared" si="29"/>
        <v>0</v>
      </c>
      <c r="AN28" s="380"/>
      <c r="AO28" s="358"/>
      <c r="AP28" s="381"/>
      <c r="AQ28" s="358"/>
      <c r="AR28" s="358">
        <v>100</v>
      </c>
      <c r="AS28" s="358"/>
      <c r="AT28" s="358"/>
      <c r="AU28" s="358"/>
      <c r="AV28" s="359"/>
      <c r="AW28" s="360">
        <v>79.544000000000011</v>
      </c>
      <c r="AX28" s="361">
        <v>35.884000000000015</v>
      </c>
      <c r="AY28" s="361">
        <v>45.036200000000008</v>
      </c>
      <c r="AZ28" s="361">
        <v>33.413800000000009</v>
      </c>
      <c r="BA28" s="361">
        <v>44.224000000000018</v>
      </c>
      <c r="BB28" s="361">
        <v>156.8519</v>
      </c>
      <c r="BC28" s="382">
        <v>84.227099999999979</v>
      </c>
      <c r="BD28" s="383"/>
      <c r="BE28" s="361">
        <v>35.884000000000015</v>
      </c>
      <c r="BF28" s="361">
        <v>45.036200000000008</v>
      </c>
      <c r="BG28" s="361">
        <v>33.413800000000009</v>
      </c>
      <c r="BH28" s="361">
        <v>44.224000000000018</v>
      </c>
      <c r="BI28" s="361">
        <v>156.8519</v>
      </c>
      <c r="BJ28" s="362">
        <v>84.227099999999979</v>
      </c>
      <c r="BK28" s="363"/>
      <c r="BL28" s="358"/>
      <c r="BM28" s="358"/>
      <c r="BN28" s="358"/>
      <c r="BO28" s="358"/>
      <c r="BP28" s="358"/>
      <c r="BQ28" s="365"/>
      <c r="BR28" s="65"/>
      <c r="BS28" s="355">
        <v>0.75000000002182798</v>
      </c>
      <c r="BT28" s="354"/>
      <c r="BU28" s="20"/>
      <c r="BV28" s="47"/>
      <c r="BW28" s="121"/>
      <c r="BX28" s="122"/>
      <c r="BY28" s="122"/>
      <c r="BZ28" s="122"/>
      <c r="CA28" s="122" t="e">
        <f>#REF!</f>
        <v>#REF!</v>
      </c>
      <c r="CB28" s="122" t="e">
        <f>#REF!</f>
        <v>#REF!</v>
      </c>
      <c r="CC28" s="140" t="e">
        <f>#REF!</f>
        <v>#REF!</v>
      </c>
      <c r="CD28" s="145">
        <f>SCHEDULES!$I$30</f>
        <v>0</v>
      </c>
      <c r="CE28" s="122">
        <f>SCHEDULES!$I$73</f>
        <v>0</v>
      </c>
      <c r="CF28" s="122">
        <f>SCHEDULES!$I$115</f>
        <v>0</v>
      </c>
      <c r="CG28" s="122">
        <f>SCHEDULES!$I$156</f>
        <v>0</v>
      </c>
      <c r="CH28" s="122">
        <f>SCHEDULES!$I$197</f>
        <v>0</v>
      </c>
      <c r="CI28" s="122">
        <f>SCHEDULES!$I$238</f>
        <v>0</v>
      </c>
      <c r="CJ28" s="146">
        <f>SCHEDULES!$I$279</f>
        <v>0</v>
      </c>
      <c r="CK28" s="108">
        <f>NEWSCHEDULES!$I$30</f>
        <v>0</v>
      </c>
      <c r="CL28" s="47">
        <f>NEWSCHEDULES!$I$73</f>
        <v>0</v>
      </c>
      <c r="CM28" s="47">
        <f>NEWSCHEDULES!$I$115</f>
        <v>0</v>
      </c>
      <c r="CN28" s="47">
        <f>NEWSCHEDULES!$I$156</f>
        <v>0</v>
      </c>
      <c r="CO28" s="47">
        <f>NEWSCHEDULES!$I$197</f>
        <v>0</v>
      </c>
      <c r="CP28" s="47">
        <f>NEWSCHEDULES!$I$238</f>
        <v>0</v>
      </c>
      <c r="CQ28" s="48">
        <f>NEWSCHEDULES!$I$279</f>
        <v>0</v>
      </c>
      <c r="CR28" s="108" t="e">
        <f>#REF!</f>
        <v>#REF!</v>
      </c>
      <c r="CS28" s="47" t="e">
        <f>#REF!</f>
        <v>#REF!</v>
      </c>
      <c r="CT28" s="47" t="e">
        <f>#REF!</f>
        <v>#REF!</v>
      </c>
      <c r="CU28" s="47" t="e">
        <f>#REF!</f>
        <v>#REF!</v>
      </c>
      <c r="CV28" s="47"/>
      <c r="CW28" s="47"/>
      <c r="CX28" s="48"/>
      <c r="CY28" s="327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</row>
    <row r="29" spans="2:115" s="322" customFormat="1" ht="23.25" customHeight="1" x14ac:dyDescent="0.35">
      <c r="B29" s="117">
        <f t="shared" si="8"/>
        <v>296.03120000000001</v>
      </c>
      <c r="C29" s="355">
        <v>0.77083333335758597</v>
      </c>
      <c r="D29" s="341"/>
      <c r="E29" s="356"/>
      <c r="F29" s="357"/>
      <c r="G29" s="358"/>
      <c r="H29" s="358"/>
      <c r="I29" s="358"/>
      <c r="J29" s="358"/>
      <c r="K29" s="358"/>
      <c r="L29" s="358"/>
      <c r="M29" s="359"/>
      <c r="N29" s="360">
        <v>296.03120000000001</v>
      </c>
      <c r="O29" s="361">
        <v>265.08179999999999</v>
      </c>
      <c r="P29" s="361">
        <v>243.5677</v>
      </c>
      <c r="Q29" s="361">
        <v>267.74630000000002</v>
      </c>
      <c r="R29" s="361">
        <v>226.34659999999997</v>
      </c>
      <c r="S29" s="361"/>
      <c r="T29" s="362"/>
      <c r="U29" s="363">
        <f t="shared" si="18"/>
        <v>296.03120000000001</v>
      </c>
      <c r="V29" s="358">
        <f t="shared" si="9"/>
        <v>265.08179999999999</v>
      </c>
      <c r="W29" s="358">
        <f t="shared" si="10"/>
        <v>243.5677</v>
      </c>
      <c r="X29" s="358">
        <f t="shared" si="11"/>
        <v>267.74630000000002</v>
      </c>
      <c r="Y29" s="358">
        <f t="shared" si="12"/>
        <v>226.34659999999997</v>
      </c>
      <c r="Z29" s="358">
        <f t="shared" si="13"/>
        <v>0</v>
      </c>
      <c r="AA29" s="358">
        <f t="shared" si="14"/>
        <v>0</v>
      </c>
      <c r="AB29" s="358"/>
      <c r="AC29" s="358"/>
      <c r="AD29" s="358"/>
      <c r="AE29" s="358"/>
      <c r="AF29" s="358"/>
      <c r="AG29" s="364"/>
      <c r="AH29" s="364"/>
      <c r="AI29" s="365"/>
      <c r="AJ29" s="15"/>
      <c r="AK29" s="355">
        <v>0.375</v>
      </c>
      <c r="AL29" s="366">
        <v>0.72916666671517405</v>
      </c>
      <c r="AM29" s="353">
        <f t="shared" si="29"/>
        <v>0</v>
      </c>
      <c r="AN29" s="380"/>
      <c r="AO29" s="358"/>
      <c r="AP29" s="381">
        <v>100</v>
      </c>
      <c r="AQ29" s="358"/>
      <c r="AR29" s="358"/>
      <c r="AS29" s="358"/>
      <c r="AT29" s="358"/>
      <c r="AU29" s="358"/>
      <c r="AV29" s="359"/>
      <c r="AW29" s="360">
        <v>106.13810000000001</v>
      </c>
      <c r="AX29" s="361">
        <v>75.50449999999995</v>
      </c>
      <c r="AY29" s="361">
        <v>69.576499999999953</v>
      </c>
      <c r="AZ29" s="361">
        <v>72.634600000000006</v>
      </c>
      <c r="BA29" s="361">
        <v>77.31370000000004</v>
      </c>
      <c r="BB29" s="361"/>
      <c r="BC29" s="382"/>
      <c r="BD29" s="383"/>
      <c r="BE29" s="361">
        <v>75.50449999999995</v>
      </c>
      <c r="BF29" s="361">
        <v>69.576499999999953</v>
      </c>
      <c r="BG29" s="361">
        <v>72.634600000000006</v>
      </c>
      <c r="BH29" s="361">
        <v>77.31370000000004</v>
      </c>
      <c r="BI29" s="361"/>
      <c r="BJ29" s="362"/>
      <c r="BK29" s="363"/>
      <c r="BL29" s="358"/>
      <c r="BM29" s="358"/>
      <c r="BN29" s="358"/>
      <c r="BO29" s="358"/>
      <c r="BP29" s="358"/>
      <c r="BQ29" s="365"/>
      <c r="BR29" s="65"/>
      <c r="BS29" s="355">
        <v>0.77083333335758597</v>
      </c>
      <c r="BT29" s="354"/>
      <c r="BU29" s="20"/>
      <c r="BV29" s="47"/>
      <c r="BW29" s="121"/>
      <c r="BX29" s="122"/>
      <c r="BY29" s="122"/>
      <c r="BZ29" s="122"/>
      <c r="CA29" s="122" t="e">
        <f>#REF!</f>
        <v>#REF!</v>
      </c>
      <c r="CB29" s="122" t="e">
        <f>#REF!</f>
        <v>#REF!</v>
      </c>
      <c r="CC29" s="140" t="e">
        <f>#REF!</f>
        <v>#REF!</v>
      </c>
      <c r="CD29" s="145">
        <f>SCHEDULES!$I$31</f>
        <v>0</v>
      </c>
      <c r="CE29" s="122">
        <f>SCHEDULES!$I$74</f>
        <v>0</v>
      </c>
      <c r="CF29" s="122">
        <f>SCHEDULES!$I$116</f>
        <v>0</v>
      </c>
      <c r="CG29" s="122">
        <f>SCHEDULES!$I$157</f>
        <v>0</v>
      </c>
      <c r="CH29" s="122">
        <f>SCHEDULES!$I$198</f>
        <v>0</v>
      </c>
      <c r="CI29" s="122">
        <f>SCHEDULES!$I$239</f>
        <v>0</v>
      </c>
      <c r="CJ29" s="146">
        <f>SCHEDULES!$I$280</f>
        <v>0</v>
      </c>
      <c r="CK29" s="108">
        <f>NEWSCHEDULES!$I$31</f>
        <v>0</v>
      </c>
      <c r="CL29" s="47">
        <f>NEWSCHEDULES!$I$74</f>
        <v>0</v>
      </c>
      <c r="CM29" s="47">
        <f>NEWSCHEDULES!$I$116</f>
        <v>0</v>
      </c>
      <c r="CN29" s="47">
        <f>NEWSCHEDULES!$I$157</f>
        <v>0</v>
      </c>
      <c r="CO29" s="47">
        <f>NEWSCHEDULES!$I$198</f>
        <v>0</v>
      </c>
      <c r="CP29" s="47">
        <f>NEWSCHEDULES!$I$239</f>
        <v>0</v>
      </c>
      <c r="CQ29" s="48">
        <f>NEWSCHEDULES!$I$280</f>
        <v>0</v>
      </c>
      <c r="CR29" s="108" t="e">
        <f>#REF!</f>
        <v>#REF!</v>
      </c>
      <c r="CS29" s="47" t="e">
        <f>#REF!</f>
        <v>#REF!</v>
      </c>
      <c r="CT29" s="47" t="e">
        <f>#REF!</f>
        <v>#REF!</v>
      </c>
      <c r="CU29" s="47" t="e">
        <f>#REF!</f>
        <v>#REF!</v>
      </c>
      <c r="CV29" s="47"/>
      <c r="CW29" s="47"/>
      <c r="CX29" s="48"/>
      <c r="CY29" s="327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</row>
    <row r="30" spans="2:115" s="322" customFormat="1" ht="23.25" customHeight="1" x14ac:dyDescent="0.35">
      <c r="B30" s="117">
        <f t="shared" si="8"/>
        <v>251.35470000000001</v>
      </c>
      <c r="C30" s="355">
        <v>0.79166666669334496</v>
      </c>
      <c r="D30" s="341"/>
      <c r="E30" s="356"/>
      <c r="F30" s="357"/>
      <c r="G30" s="358"/>
      <c r="H30" s="358"/>
      <c r="I30" s="358"/>
      <c r="J30" s="358"/>
      <c r="K30" s="358"/>
      <c r="L30" s="358"/>
      <c r="M30" s="359"/>
      <c r="N30" s="360">
        <v>251.35470000000001</v>
      </c>
      <c r="O30" s="361">
        <v>232.23880000000003</v>
      </c>
      <c r="P30" s="361">
        <v>218.48700000000002</v>
      </c>
      <c r="Q30" s="361">
        <v>234.80290000000002</v>
      </c>
      <c r="R30" s="361">
        <v>187.48770000000002</v>
      </c>
      <c r="S30" s="361"/>
      <c r="T30" s="362"/>
      <c r="U30" s="363">
        <f t="shared" si="18"/>
        <v>251.35470000000001</v>
      </c>
      <c r="V30" s="358">
        <f t="shared" si="9"/>
        <v>232.23880000000003</v>
      </c>
      <c r="W30" s="358">
        <f t="shared" si="10"/>
        <v>218.48700000000002</v>
      </c>
      <c r="X30" s="358">
        <f t="shared" si="11"/>
        <v>234.80290000000002</v>
      </c>
      <c r="Y30" s="358">
        <f t="shared" si="12"/>
        <v>187.48770000000002</v>
      </c>
      <c r="Z30" s="358">
        <f t="shared" si="13"/>
        <v>0</v>
      </c>
      <c r="AA30" s="358">
        <f t="shared" si="14"/>
        <v>0</v>
      </c>
      <c r="AB30" s="358"/>
      <c r="AC30" s="358"/>
      <c r="AD30" s="358"/>
      <c r="AE30" s="358"/>
      <c r="AF30" s="358"/>
      <c r="AG30" s="364"/>
      <c r="AH30" s="364"/>
      <c r="AI30" s="365"/>
      <c r="AJ30" s="15"/>
      <c r="AK30" s="355">
        <v>0.39583333333575865</v>
      </c>
      <c r="AL30" s="366">
        <v>0.75000000005093304</v>
      </c>
      <c r="AM30" s="353">
        <f t="shared" si="29"/>
        <v>0</v>
      </c>
      <c r="AN30" s="380"/>
      <c r="AO30" s="358"/>
      <c r="AP30" s="381"/>
      <c r="AQ30" s="358">
        <v>100</v>
      </c>
      <c r="AR30" s="358"/>
      <c r="AS30" s="358"/>
      <c r="AT30" s="358"/>
      <c r="AU30" s="358"/>
      <c r="AV30" s="359"/>
      <c r="AW30" s="360">
        <v>49.496900000000039</v>
      </c>
      <c r="AX30" s="361">
        <v>44.000100000000032</v>
      </c>
      <c r="AY30" s="361">
        <v>41.550100000000043</v>
      </c>
      <c r="AZ30" s="361">
        <v>30.178099999999972</v>
      </c>
      <c r="BA30" s="361">
        <v>31.479600000000005</v>
      </c>
      <c r="BB30" s="361"/>
      <c r="BC30" s="382"/>
      <c r="BD30" s="383"/>
      <c r="BE30" s="361">
        <v>44.000100000000032</v>
      </c>
      <c r="BF30" s="361">
        <v>41.550100000000043</v>
      </c>
      <c r="BG30" s="361">
        <v>30.178099999999972</v>
      </c>
      <c r="BH30" s="361">
        <v>31.479600000000005</v>
      </c>
      <c r="BI30" s="361"/>
      <c r="BJ30" s="362"/>
      <c r="BK30" s="363"/>
      <c r="BL30" s="358"/>
      <c r="BM30" s="358"/>
      <c r="BN30" s="358"/>
      <c r="BO30" s="358"/>
      <c r="BP30" s="358"/>
      <c r="BQ30" s="365"/>
      <c r="BR30" s="65"/>
      <c r="BS30" s="355">
        <v>0.79166666669334496</v>
      </c>
      <c r="BT30" s="354"/>
      <c r="BU30" s="20"/>
      <c r="BV30" s="47"/>
      <c r="BW30" s="121"/>
      <c r="BX30" s="122"/>
      <c r="BY30" s="122"/>
      <c r="BZ30" s="122"/>
      <c r="CA30" s="122" t="e">
        <f>#REF!</f>
        <v>#REF!</v>
      </c>
      <c r="CB30" s="122" t="e">
        <f>#REF!</f>
        <v>#REF!</v>
      </c>
      <c r="CC30" s="140" t="e">
        <f>#REF!</f>
        <v>#REF!</v>
      </c>
      <c r="CD30" s="145">
        <f>SCHEDULES!$I$32</f>
        <v>0</v>
      </c>
      <c r="CE30" s="122">
        <f>SCHEDULES!$I$75</f>
        <v>0</v>
      </c>
      <c r="CF30" s="122">
        <f>SCHEDULES!$I$117</f>
        <v>0</v>
      </c>
      <c r="CG30" s="122">
        <f>SCHEDULES!$I$158</f>
        <v>0</v>
      </c>
      <c r="CH30" s="122">
        <f>SCHEDULES!$I$199</f>
        <v>0</v>
      </c>
      <c r="CI30" s="122">
        <f>SCHEDULES!$I$240</f>
        <v>0</v>
      </c>
      <c r="CJ30" s="146">
        <f>SCHEDULES!$I$281</f>
        <v>0</v>
      </c>
      <c r="CK30" s="108">
        <f>NEWSCHEDULES!$I$32</f>
        <v>0</v>
      </c>
      <c r="CL30" s="47">
        <f>NEWSCHEDULES!$I$75</f>
        <v>0</v>
      </c>
      <c r="CM30" s="47">
        <f>NEWSCHEDULES!$I$117</f>
        <v>0</v>
      </c>
      <c r="CN30" s="47">
        <f>NEWSCHEDULES!$I$158</f>
        <v>0</v>
      </c>
      <c r="CO30" s="47">
        <f>NEWSCHEDULES!$I$199</f>
        <v>0</v>
      </c>
      <c r="CP30" s="47">
        <f>NEWSCHEDULES!$I$240</f>
        <v>0</v>
      </c>
      <c r="CQ30" s="48">
        <f>NEWSCHEDULES!$I$281</f>
        <v>0</v>
      </c>
      <c r="CR30" s="108" t="e">
        <f>#REF!</f>
        <v>#REF!</v>
      </c>
      <c r="CS30" s="47" t="e">
        <f>#REF!</f>
        <v>#REF!</v>
      </c>
      <c r="CT30" s="47" t="e">
        <f>#REF!</f>
        <v>#REF!</v>
      </c>
      <c r="CU30" s="47" t="e">
        <f>#REF!</f>
        <v>#REF!</v>
      </c>
      <c r="CV30" s="47"/>
      <c r="CW30" s="47"/>
      <c r="CX30" s="48"/>
      <c r="CY30" s="327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</row>
    <row r="31" spans="2:115" s="322" customFormat="1" ht="23.25" customHeight="1" x14ac:dyDescent="0.35">
      <c r="B31" s="117">
        <f t="shared" si="8"/>
        <v>230.0129</v>
      </c>
      <c r="C31" s="355">
        <v>0.81250000002910305</v>
      </c>
      <c r="D31" s="341"/>
      <c r="E31" s="356"/>
      <c r="F31" s="357"/>
      <c r="G31" s="358"/>
      <c r="H31" s="358"/>
      <c r="I31" s="358"/>
      <c r="J31" s="358"/>
      <c r="K31" s="358"/>
      <c r="L31" s="358"/>
      <c r="M31" s="359"/>
      <c r="N31" s="360">
        <v>230.0129</v>
      </c>
      <c r="O31" s="361">
        <v>205.245</v>
      </c>
      <c r="P31" s="361">
        <v>197.06829999999999</v>
      </c>
      <c r="Q31" s="361">
        <v>207.28569999999996</v>
      </c>
      <c r="R31" s="361">
        <v>159.9829</v>
      </c>
      <c r="S31" s="361"/>
      <c r="T31" s="362"/>
      <c r="U31" s="363">
        <f t="shared" si="18"/>
        <v>230.0129</v>
      </c>
      <c r="V31" s="358">
        <f t="shared" si="9"/>
        <v>205.245</v>
      </c>
      <c r="W31" s="358">
        <f t="shared" si="10"/>
        <v>197.06829999999999</v>
      </c>
      <c r="X31" s="358">
        <f t="shared" si="11"/>
        <v>207.28569999999996</v>
      </c>
      <c r="Y31" s="358">
        <f t="shared" si="12"/>
        <v>159.9829</v>
      </c>
      <c r="Z31" s="358">
        <f t="shared" si="13"/>
        <v>0</v>
      </c>
      <c r="AA31" s="358">
        <f t="shared" si="14"/>
        <v>0</v>
      </c>
      <c r="AB31" s="358"/>
      <c r="AC31" s="358"/>
      <c r="AD31" s="358"/>
      <c r="AE31" s="358"/>
      <c r="AF31" s="358"/>
      <c r="AG31" s="364"/>
      <c r="AH31" s="364"/>
      <c r="AI31" s="365"/>
      <c r="AJ31" s="15"/>
      <c r="AK31" s="355">
        <v>0.41666666666424135</v>
      </c>
      <c r="AL31" s="366">
        <v>0.77083333338669202</v>
      </c>
      <c r="AM31" s="353">
        <f t="shared" si="29"/>
        <v>0</v>
      </c>
      <c r="AN31" s="380"/>
      <c r="AO31" s="358"/>
      <c r="AP31" s="381"/>
      <c r="AQ31" s="358"/>
      <c r="AR31" s="358"/>
      <c r="AS31" s="358"/>
      <c r="AT31" s="358"/>
      <c r="AU31" s="358"/>
      <c r="AV31" s="359"/>
      <c r="AW31" s="360">
        <v>21.893899999999974</v>
      </c>
      <c r="AX31" s="361">
        <v>7.1311000000000035</v>
      </c>
      <c r="AY31" s="361">
        <v>15.2775</v>
      </c>
      <c r="AZ31" s="361">
        <v>19.309599999999989</v>
      </c>
      <c r="BA31" s="361">
        <v>2.7887999999999806</v>
      </c>
      <c r="BB31" s="361"/>
      <c r="BC31" s="382"/>
      <c r="BD31" s="383"/>
      <c r="BE31" s="361">
        <v>7.1311000000000035</v>
      </c>
      <c r="BF31" s="361">
        <v>15.2775</v>
      </c>
      <c r="BG31" s="361">
        <v>19.309599999999989</v>
      </c>
      <c r="BH31" s="361">
        <v>2.7887999999999806</v>
      </c>
      <c r="BI31" s="361"/>
      <c r="BJ31" s="362"/>
      <c r="BK31" s="363"/>
      <c r="BL31" s="358"/>
      <c r="BM31" s="358"/>
      <c r="BN31" s="358"/>
      <c r="BO31" s="358"/>
      <c r="BP31" s="358"/>
      <c r="BQ31" s="365"/>
      <c r="BR31" s="65"/>
      <c r="BS31" s="355">
        <v>0.81250000002910305</v>
      </c>
      <c r="BT31" s="354"/>
      <c r="BU31" s="20"/>
      <c r="BV31" s="47"/>
      <c r="BW31" s="121"/>
      <c r="BX31" s="122"/>
      <c r="BY31" s="122"/>
      <c r="BZ31" s="122"/>
      <c r="CA31" s="122" t="e">
        <f>#REF!</f>
        <v>#REF!</v>
      </c>
      <c r="CB31" s="122" t="e">
        <f>#REF!</f>
        <v>#REF!</v>
      </c>
      <c r="CC31" s="140" t="e">
        <f>#REF!</f>
        <v>#REF!</v>
      </c>
      <c r="CD31" s="145">
        <f>SCHEDULES!$I$33</f>
        <v>0</v>
      </c>
      <c r="CE31" s="122">
        <f>SCHEDULES!$I$76</f>
        <v>0</v>
      </c>
      <c r="CF31" s="122">
        <f>SCHEDULES!$I$118</f>
        <v>0</v>
      </c>
      <c r="CG31" s="122">
        <f>SCHEDULES!$I$159</f>
        <v>0</v>
      </c>
      <c r="CH31" s="122">
        <f>SCHEDULES!$I$200</f>
        <v>0</v>
      </c>
      <c r="CI31" s="122">
        <f>SCHEDULES!$I$241</f>
        <v>0</v>
      </c>
      <c r="CJ31" s="146">
        <f>SCHEDULES!$I$282</f>
        <v>0</v>
      </c>
      <c r="CK31" s="108">
        <f>NEWSCHEDULES!$I$33</f>
        <v>0</v>
      </c>
      <c r="CL31" s="47">
        <f>NEWSCHEDULES!$I$76</f>
        <v>0</v>
      </c>
      <c r="CM31" s="47">
        <f>NEWSCHEDULES!$I$118</f>
        <v>0</v>
      </c>
      <c r="CN31" s="47">
        <f>NEWSCHEDULES!$I$159</f>
        <v>0</v>
      </c>
      <c r="CO31" s="47">
        <f>NEWSCHEDULES!$I$200</f>
        <v>0</v>
      </c>
      <c r="CP31" s="47">
        <f>NEWSCHEDULES!$I$241</f>
        <v>0</v>
      </c>
      <c r="CQ31" s="48">
        <f>NEWSCHEDULES!$I$282</f>
        <v>0</v>
      </c>
      <c r="CR31" s="108" t="e">
        <f>#REF!</f>
        <v>#REF!</v>
      </c>
      <c r="CS31" s="47" t="e">
        <f>#REF!</f>
        <v>#REF!</v>
      </c>
      <c r="CT31" s="47" t="e">
        <f>#REF!</f>
        <v>#REF!</v>
      </c>
      <c r="CU31" s="47" t="e">
        <f>#REF!</f>
        <v>#REF!</v>
      </c>
      <c r="CV31" s="47"/>
      <c r="CW31" s="47"/>
      <c r="CX31" s="48"/>
      <c r="CY31" s="327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</row>
    <row r="32" spans="2:115" s="322" customFormat="1" ht="23.25" customHeight="1" x14ac:dyDescent="0.35">
      <c r="B32" s="117">
        <f t="shared" si="8"/>
        <v>194.85509999999999</v>
      </c>
      <c r="C32" s="355">
        <v>0.83333333336486204</v>
      </c>
      <c r="D32" s="341"/>
      <c r="E32" s="356"/>
      <c r="F32" s="357"/>
      <c r="G32" s="358"/>
      <c r="H32" s="358"/>
      <c r="I32" s="358"/>
      <c r="J32" s="358"/>
      <c r="K32" s="358"/>
      <c r="L32" s="358"/>
      <c r="M32" s="359"/>
      <c r="N32" s="360">
        <v>194.85509999999999</v>
      </c>
      <c r="O32" s="361">
        <v>177.99269999999999</v>
      </c>
      <c r="P32" s="361">
        <v>164.80270000000002</v>
      </c>
      <c r="Q32" s="361">
        <v>183.59700000000001</v>
      </c>
      <c r="R32" s="361">
        <v>139.0643</v>
      </c>
      <c r="S32" s="361"/>
      <c r="T32" s="362"/>
      <c r="U32" s="363">
        <f t="shared" si="18"/>
        <v>194.85509999999999</v>
      </c>
      <c r="V32" s="358">
        <f t="shared" si="9"/>
        <v>177.99269999999999</v>
      </c>
      <c r="W32" s="358">
        <f t="shared" si="10"/>
        <v>164.80270000000002</v>
      </c>
      <c r="X32" s="358">
        <f t="shared" si="11"/>
        <v>183.59700000000001</v>
      </c>
      <c r="Y32" s="358">
        <f t="shared" si="12"/>
        <v>139.0643</v>
      </c>
      <c r="Z32" s="358">
        <f t="shared" si="13"/>
        <v>0</v>
      </c>
      <c r="AA32" s="358">
        <f t="shared" si="14"/>
        <v>0</v>
      </c>
      <c r="AB32" s="358"/>
      <c r="AC32" s="358"/>
      <c r="AD32" s="358"/>
      <c r="AE32" s="358"/>
      <c r="AF32" s="358"/>
      <c r="AG32" s="364"/>
      <c r="AH32" s="364"/>
      <c r="AI32" s="365"/>
      <c r="AJ32" s="15"/>
      <c r="AK32" s="355">
        <v>0.4375</v>
      </c>
      <c r="AL32" s="366">
        <v>0.79166666672245101</v>
      </c>
      <c r="AM32" s="353">
        <f t="shared" si="29"/>
        <v>0</v>
      </c>
      <c r="AN32" s="380"/>
      <c r="AO32" s="358"/>
      <c r="AP32" s="381"/>
      <c r="AQ32" s="358"/>
      <c r="AR32" s="358"/>
      <c r="AS32" s="358"/>
      <c r="AT32" s="358">
        <v>100</v>
      </c>
      <c r="AU32" s="358"/>
      <c r="AV32" s="359"/>
      <c r="AW32" s="360">
        <v>44.676500000000004</v>
      </c>
      <c r="AX32" s="361">
        <v>32.842999999999961</v>
      </c>
      <c r="AY32" s="361">
        <v>25.080699999999979</v>
      </c>
      <c r="AZ32" s="361">
        <v>32.943399999999997</v>
      </c>
      <c r="BA32" s="361">
        <v>38.858899999999949</v>
      </c>
      <c r="BB32" s="361"/>
      <c r="BC32" s="382"/>
      <c r="BD32" s="383"/>
      <c r="BE32" s="361">
        <v>32.842999999999961</v>
      </c>
      <c r="BF32" s="361">
        <v>25.080699999999979</v>
      </c>
      <c r="BG32" s="361">
        <v>32.943399999999997</v>
      </c>
      <c r="BH32" s="361">
        <v>38.858899999999949</v>
      </c>
      <c r="BI32" s="361"/>
      <c r="BJ32" s="362"/>
      <c r="BK32" s="363"/>
      <c r="BL32" s="358"/>
      <c r="BM32" s="358"/>
      <c r="BN32" s="358"/>
      <c r="BO32" s="358"/>
      <c r="BP32" s="358"/>
      <c r="BQ32" s="365"/>
      <c r="BR32" s="65"/>
      <c r="BS32" s="355">
        <v>0.83333333336486204</v>
      </c>
      <c r="BT32" s="354"/>
      <c r="BU32" s="20"/>
      <c r="BV32" s="47"/>
      <c r="BW32" s="121"/>
      <c r="BX32" s="122"/>
      <c r="BY32" s="122"/>
      <c r="BZ32" s="122"/>
      <c r="CA32" s="122" t="e">
        <f>#REF!</f>
        <v>#REF!</v>
      </c>
      <c r="CB32" s="122" t="e">
        <f>#REF!</f>
        <v>#REF!</v>
      </c>
      <c r="CC32" s="140" t="e">
        <f>#REF!</f>
        <v>#REF!</v>
      </c>
      <c r="CD32" s="145">
        <f>SCHEDULES!$I$34</f>
        <v>0</v>
      </c>
      <c r="CE32" s="122">
        <f>SCHEDULES!$I$77</f>
        <v>0</v>
      </c>
      <c r="CF32" s="122">
        <f>SCHEDULES!$I$119</f>
        <v>0</v>
      </c>
      <c r="CG32" s="122">
        <f>SCHEDULES!$I$160</f>
        <v>0</v>
      </c>
      <c r="CH32" s="122">
        <f>SCHEDULES!$I$201</f>
        <v>0</v>
      </c>
      <c r="CI32" s="122">
        <f>SCHEDULES!$I$242</f>
        <v>0</v>
      </c>
      <c r="CJ32" s="146">
        <f>SCHEDULES!$I$283</f>
        <v>0</v>
      </c>
      <c r="CK32" s="108">
        <f>NEWSCHEDULES!$I$34</f>
        <v>0</v>
      </c>
      <c r="CL32" s="47">
        <f>NEWSCHEDULES!$I$77</f>
        <v>0</v>
      </c>
      <c r="CM32" s="47">
        <f>NEWSCHEDULES!$I$119</f>
        <v>0</v>
      </c>
      <c r="CN32" s="47">
        <f>NEWSCHEDULES!$I$160</f>
        <v>0</v>
      </c>
      <c r="CO32" s="47">
        <f>NEWSCHEDULES!$I$201</f>
        <v>0</v>
      </c>
      <c r="CP32" s="47">
        <f>NEWSCHEDULES!$I$242</f>
        <v>0</v>
      </c>
      <c r="CQ32" s="48">
        <f>NEWSCHEDULES!$I$283</f>
        <v>0</v>
      </c>
      <c r="CR32" s="108" t="e">
        <f>#REF!</f>
        <v>#REF!</v>
      </c>
      <c r="CS32" s="47" t="e">
        <f>#REF!</f>
        <v>#REF!</v>
      </c>
      <c r="CT32" s="47" t="e">
        <f>#REF!</f>
        <v>#REF!</v>
      </c>
      <c r="CU32" s="47" t="e">
        <f>#REF!</f>
        <v>#REF!</v>
      </c>
      <c r="CV32" s="47"/>
      <c r="CW32" s="47"/>
      <c r="CX32" s="48"/>
      <c r="CY32" s="327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</row>
    <row r="33" spans="2:115" s="322" customFormat="1" ht="23.25" customHeight="1" x14ac:dyDescent="0.35">
      <c r="B33" s="117">
        <f t="shared" si="8"/>
        <v>173.7337</v>
      </c>
      <c r="C33" s="355">
        <v>0.85416666670062102</v>
      </c>
      <c r="D33" s="341"/>
      <c r="E33" s="356"/>
      <c r="F33" s="357"/>
      <c r="G33" s="358"/>
      <c r="H33" s="358"/>
      <c r="I33" s="358"/>
      <c r="J33" s="358"/>
      <c r="K33" s="358"/>
      <c r="L33" s="358"/>
      <c r="M33" s="359"/>
      <c r="N33" s="360">
        <v>173.7337</v>
      </c>
      <c r="O33" s="361">
        <v>162.88570000000001</v>
      </c>
      <c r="P33" s="361">
        <v>148.9657</v>
      </c>
      <c r="Q33" s="361">
        <v>163.92720000000003</v>
      </c>
      <c r="R33" s="361">
        <v>121.35469999999999</v>
      </c>
      <c r="S33" s="361"/>
      <c r="T33" s="362"/>
      <c r="U33" s="363">
        <f t="shared" si="18"/>
        <v>173.7337</v>
      </c>
      <c r="V33" s="358">
        <f t="shared" si="9"/>
        <v>162.88570000000001</v>
      </c>
      <c r="W33" s="358">
        <f t="shared" si="10"/>
        <v>148.9657</v>
      </c>
      <c r="X33" s="358">
        <f t="shared" si="11"/>
        <v>163.92720000000003</v>
      </c>
      <c r="Y33" s="358">
        <f t="shared" si="12"/>
        <v>121.35469999999999</v>
      </c>
      <c r="Z33" s="358">
        <f t="shared" si="13"/>
        <v>0</v>
      </c>
      <c r="AA33" s="358">
        <f t="shared" si="14"/>
        <v>0</v>
      </c>
      <c r="AB33" s="358"/>
      <c r="AC33" s="358"/>
      <c r="AD33" s="358"/>
      <c r="AE33" s="358"/>
      <c r="AF33" s="358"/>
      <c r="AG33" s="364"/>
      <c r="AH33" s="364"/>
      <c r="AI33" s="365"/>
      <c r="AJ33" s="15"/>
      <c r="AK33" s="355">
        <v>0.45833333333575865</v>
      </c>
      <c r="AL33" s="366">
        <v>0.81250000005820999</v>
      </c>
      <c r="AM33" s="353">
        <f t="shared" si="29"/>
        <v>0</v>
      </c>
      <c r="AN33" s="380"/>
      <c r="AO33" s="358"/>
      <c r="AP33" s="381"/>
      <c r="AQ33" s="358"/>
      <c r="AR33" s="358"/>
      <c r="AS33" s="358"/>
      <c r="AT33" s="358"/>
      <c r="AU33" s="358"/>
      <c r="AV33" s="359"/>
      <c r="AW33" s="360">
        <v>21.341800000000006</v>
      </c>
      <c r="AX33" s="361">
        <v>26.993800000000022</v>
      </c>
      <c r="AY33" s="361">
        <v>21.41870000000003</v>
      </c>
      <c r="AZ33" s="361">
        <v>27.517200000000059</v>
      </c>
      <c r="BA33" s="361">
        <v>27.504800000000017</v>
      </c>
      <c r="BB33" s="361"/>
      <c r="BC33" s="382"/>
      <c r="BD33" s="383"/>
      <c r="BE33" s="361">
        <v>26.993800000000022</v>
      </c>
      <c r="BF33" s="361">
        <v>21.41870000000003</v>
      </c>
      <c r="BG33" s="361">
        <v>27.517200000000059</v>
      </c>
      <c r="BH33" s="361">
        <v>27.504800000000017</v>
      </c>
      <c r="BI33" s="361"/>
      <c r="BJ33" s="362"/>
      <c r="BK33" s="363"/>
      <c r="BL33" s="358"/>
      <c r="BM33" s="358"/>
      <c r="BN33" s="358"/>
      <c r="BO33" s="358"/>
      <c r="BP33" s="358"/>
      <c r="BQ33" s="365"/>
      <c r="BR33" s="65"/>
      <c r="BS33" s="355">
        <v>0.85416666670062102</v>
      </c>
      <c r="BT33" s="354"/>
      <c r="BU33" s="20"/>
      <c r="BV33" s="47"/>
      <c r="BW33" s="121"/>
      <c r="BX33" s="122"/>
      <c r="BY33" s="122"/>
      <c r="BZ33" s="122"/>
      <c r="CA33" s="122" t="e">
        <f>#REF!</f>
        <v>#REF!</v>
      </c>
      <c r="CB33" s="122" t="e">
        <f>#REF!</f>
        <v>#REF!</v>
      </c>
      <c r="CC33" s="140" t="e">
        <f>#REF!</f>
        <v>#REF!</v>
      </c>
      <c r="CD33" s="145">
        <f>SCHEDULES!$I$35</f>
        <v>0</v>
      </c>
      <c r="CE33" s="122">
        <f>SCHEDULES!$I$78</f>
        <v>0</v>
      </c>
      <c r="CF33" s="122">
        <f>SCHEDULES!$I$120</f>
        <v>0</v>
      </c>
      <c r="CG33" s="122">
        <f>SCHEDULES!$I$161</f>
        <v>0</v>
      </c>
      <c r="CH33" s="122">
        <f>SCHEDULES!$I$202</f>
        <v>0</v>
      </c>
      <c r="CI33" s="122">
        <f>SCHEDULES!$I$243</f>
        <v>0</v>
      </c>
      <c r="CJ33" s="146">
        <f>SCHEDULES!$I$284</f>
        <v>0</v>
      </c>
      <c r="CK33" s="108">
        <f>NEWSCHEDULES!$I$35</f>
        <v>0</v>
      </c>
      <c r="CL33" s="47">
        <f>NEWSCHEDULES!$I$78</f>
        <v>0</v>
      </c>
      <c r="CM33" s="47">
        <f>NEWSCHEDULES!$I$120</f>
        <v>0</v>
      </c>
      <c r="CN33" s="47">
        <f>NEWSCHEDULES!$I$161</f>
        <v>0</v>
      </c>
      <c r="CO33" s="47">
        <f>NEWSCHEDULES!$I$202</f>
        <v>0</v>
      </c>
      <c r="CP33" s="47">
        <f>NEWSCHEDULES!$I$243</f>
        <v>0</v>
      </c>
      <c r="CQ33" s="48">
        <f>NEWSCHEDULES!$I$284</f>
        <v>0</v>
      </c>
      <c r="CR33" s="108" t="e">
        <f>#REF!</f>
        <v>#REF!</v>
      </c>
      <c r="CS33" s="47" t="e">
        <f>#REF!</f>
        <v>#REF!</v>
      </c>
      <c r="CT33" s="47" t="e">
        <f>#REF!</f>
        <v>#REF!</v>
      </c>
      <c r="CU33" s="47" t="e">
        <f>#REF!</f>
        <v>#REF!</v>
      </c>
      <c r="CV33" s="47"/>
      <c r="CW33" s="47"/>
      <c r="CX33" s="48"/>
      <c r="CY33" s="327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</row>
    <row r="34" spans="2:115" s="322" customFormat="1" ht="23.25" customHeight="1" x14ac:dyDescent="0.35">
      <c r="B34" s="117">
        <f t="shared" si="8"/>
        <v>133.61619999999999</v>
      </c>
      <c r="C34" s="355">
        <v>0.87500000003637901</v>
      </c>
      <c r="D34" s="341"/>
      <c r="E34" s="356"/>
      <c r="F34" s="357"/>
      <c r="G34" s="358"/>
      <c r="H34" s="358"/>
      <c r="I34" s="358"/>
      <c r="J34" s="358"/>
      <c r="K34" s="358"/>
      <c r="L34" s="358"/>
      <c r="M34" s="359"/>
      <c r="N34" s="384">
        <v>133.61619999999999</v>
      </c>
      <c r="O34" s="385">
        <v>130.97979999999998</v>
      </c>
      <c r="P34" s="385">
        <v>116.88890000000002</v>
      </c>
      <c r="Q34" s="385">
        <v>122.18170000000001</v>
      </c>
      <c r="R34" s="385">
        <v>84.161600000000007</v>
      </c>
      <c r="S34" s="385"/>
      <c r="T34" s="386"/>
      <c r="U34" s="363">
        <f t="shared" si="18"/>
        <v>133.61619999999999</v>
      </c>
      <c r="V34" s="358">
        <f t="shared" si="9"/>
        <v>130.97979999999998</v>
      </c>
      <c r="W34" s="358">
        <f t="shared" si="10"/>
        <v>116.88890000000002</v>
      </c>
      <c r="X34" s="358">
        <f t="shared" si="11"/>
        <v>122.18170000000001</v>
      </c>
      <c r="Y34" s="358">
        <f t="shared" si="12"/>
        <v>84.161600000000007</v>
      </c>
      <c r="Z34" s="358">
        <f t="shared" si="13"/>
        <v>0</v>
      </c>
      <c r="AA34" s="358">
        <f t="shared" si="14"/>
        <v>0</v>
      </c>
      <c r="AB34" s="358"/>
      <c r="AC34" s="358"/>
      <c r="AD34" s="358"/>
      <c r="AE34" s="358"/>
      <c r="AF34" s="358"/>
      <c r="AG34" s="364"/>
      <c r="AH34" s="364"/>
      <c r="AI34" s="365"/>
      <c r="AJ34" s="15"/>
      <c r="AK34" s="355">
        <v>0.47916666666424135</v>
      </c>
      <c r="AL34" s="366">
        <v>0.83333333339396898</v>
      </c>
      <c r="AM34" s="353">
        <f t="shared" si="29"/>
        <v>0</v>
      </c>
      <c r="AN34" s="380"/>
      <c r="AO34" s="358"/>
      <c r="AP34" s="381"/>
      <c r="AQ34" s="358"/>
      <c r="AR34" s="358"/>
      <c r="AS34" s="358"/>
      <c r="AT34" s="358"/>
      <c r="AU34" s="358"/>
      <c r="AV34" s="359"/>
      <c r="AW34" s="360">
        <v>35.157800000000009</v>
      </c>
      <c r="AX34" s="361">
        <v>27.25230000000002</v>
      </c>
      <c r="AY34" s="361">
        <v>32.265599999999978</v>
      </c>
      <c r="AZ34" s="361">
        <v>23.688699999999955</v>
      </c>
      <c r="BA34" s="361">
        <v>20.918599999999998</v>
      </c>
      <c r="BB34" s="361"/>
      <c r="BC34" s="382"/>
      <c r="BD34" s="383"/>
      <c r="BE34" s="361">
        <v>27.25230000000002</v>
      </c>
      <c r="BF34" s="361">
        <v>32.265599999999978</v>
      </c>
      <c r="BG34" s="361">
        <v>23.688699999999955</v>
      </c>
      <c r="BH34" s="361">
        <v>20.918599999999998</v>
      </c>
      <c r="BI34" s="361"/>
      <c r="BJ34" s="362"/>
      <c r="BK34" s="363"/>
      <c r="BL34" s="358"/>
      <c r="BM34" s="358"/>
      <c r="BN34" s="358"/>
      <c r="BO34" s="358"/>
      <c r="BP34" s="358"/>
      <c r="BQ34" s="365"/>
      <c r="BR34" s="65"/>
      <c r="BS34" s="355">
        <v>0.87500000003637901</v>
      </c>
      <c r="BT34" s="354"/>
      <c r="BU34" s="20"/>
      <c r="BV34" s="47"/>
      <c r="BW34" s="121"/>
      <c r="BX34" s="122"/>
      <c r="BY34" s="122"/>
      <c r="BZ34" s="122"/>
      <c r="CA34" s="122" t="e">
        <f>#REF!</f>
        <v>#REF!</v>
      </c>
      <c r="CB34" s="122" t="e">
        <f>#REF!</f>
        <v>#REF!</v>
      </c>
      <c r="CC34" s="140" t="e">
        <f>#REF!</f>
        <v>#REF!</v>
      </c>
      <c r="CD34" s="145">
        <f>SCHEDULES!$I$36</f>
        <v>0</v>
      </c>
      <c r="CE34" s="122">
        <f>SCHEDULES!$I$79</f>
        <v>0</v>
      </c>
      <c r="CF34" s="122">
        <f>SCHEDULES!$I$121</f>
        <v>0</v>
      </c>
      <c r="CG34" s="122">
        <f>SCHEDULES!$I$162</f>
        <v>0</v>
      </c>
      <c r="CH34" s="122">
        <f>SCHEDULES!$I$203</f>
        <v>0</v>
      </c>
      <c r="CI34" s="122">
        <f>SCHEDULES!$I$244</f>
        <v>0</v>
      </c>
      <c r="CJ34" s="146">
        <f>SCHEDULES!$I$285</f>
        <v>0</v>
      </c>
      <c r="CK34" s="108">
        <f>NEWSCHEDULES!$I$36</f>
        <v>0</v>
      </c>
      <c r="CL34" s="47">
        <f>NEWSCHEDULES!$I$79</f>
        <v>0</v>
      </c>
      <c r="CM34" s="47">
        <f>NEWSCHEDULES!$I$121</f>
        <v>0</v>
      </c>
      <c r="CN34" s="47">
        <f>NEWSCHEDULES!$I$162</f>
        <v>0</v>
      </c>
      <c r="CO34" s="47">
        <f>NEWSCHEDULES!$I$203</f>
        <v>0</v>
      </c>
      <c r="CP34" s="47">
        <f>NEWSCHEDULES!$I$244</f>
        <v>0</v>
      </c>
      <c r="CQ34" s="48">
        <f>NEWSCHEDULES!$I$285</f>
        <v>0</v>
      </c>
      <c r="CR34" s="108" t="e">
        <f>#REF!</f>
        <v>#REF!</v>
      </c>
      <c r="CS34" s="47" t="e">
        <f>#REF!</f>
        <v>#REF!</v>
      </c>
      <c r="CT34" s="47" t="e">
        <f>#REF!</f>
        <v>#REF!</v>
      </c>
      <c r="CU34" s="47" t="e">
        <f>#REF!</f>
        <v>#REF!</v>
      </c>
      <c r="CV34" s="47"/>
      <c r="CW34" s="47"/>
      <c r="CX34" s="48"/>
      <c r="CY34" s="327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</row>
    <row r="35" spans="2:115" s="322" customFormat="1" ht="23.25" customHeight="1" thickBot="1" x14ac:dyDescent="0.4">
      <c r="B35" s="117">
        <f t="shared" si="8"/>
        <v>115.41420000000001</v>
      </c>
      <c r="C35" s="355">
        <v>0.895833333372138</v>
      </c>
      <c r="D35" s="341"/>
      <c r="E35" s="387"/>
      <c r="F35" s="388"/>
      <c r="G35" s="389"/>
      <c r="H35" s="389"/>
      <c r="I35" s="389"/>
      <c r="J35" s="389"/>
      <c r="K35" s="389"/>
      <c r="L35" s="389"/>
      <c r="M35" s="390"/>
      <c r="N35" s="391">
        <v>114.4141</v>
      </c>
      <c r="O35" s="392">
        <v>115.41420000000001</v>
      </c>
      <c r="P35" s="392">
        <v>99.333399999999997</v>
      </c>
      <c r="Q35" s="392">
        <v>108.36359999999999</v>
      </c>
      <c r="R35" s="392">
        <v>69.616100000000003</v>
      </c>
      <c r="S35" s="392"/>
      <c r="T35" s="393"/>
      <c r="U35" s="394">
        <f t="shared" si="18"/>
        <v>114.4141</v>
      </c>
      <c r="V35" s="389">
        <f t="shared" si="9"/>
        <v>115.41420000000001</v>
      </c>
      <c r="W35" s="389">
        <f t="shared" si="10"/>
        <v>99.333399999999997</v>
      </c>
      <c r="X35" s="389">
        <f t="shared" si="11"/>
        <v>108.36359999999999</v>
      </c>
      <c r="Y35" s="389">
        <f t="shared" si="12"/>
        <v>69.616100000000003</v>
      </c>
      <c r="Z35" s="389">
        <f t="shared" si="13"/>
        <v>0</v>
      </c>
      <c r="AA35" s="389">
        <f t="shared" si="14"/>
        <v>0</v>
      </c>
      <c r="AB35" s="389"/>
      <c r="AC35" s="389"/>
      <c r="AD35" s="389"/>
      <c r="AE35" s="389"/>
      <c r="AF35" s="389"/>
      <c r="AG35" s="395"/>
      <c r="AH35" s="395"/>
      <c r="AI35" s="396"/>
      <c r="AJ35" s="15"/>
      <c r="AK35" s="355">
        <v>0.5</v>
      </c>
      <c r="AL35" s="366">
        <v>0.85416666672972796</v>
      </c>
      <c r="AM35" s="353">
        <f t="shared" si="29"/>
        <v>0</v>
      </c>
      <c r="AN35" s="380"/>
      <c r="AO35" s="358"/>
      <c r="AP35" s="381"/>
      <c r="AQ35" s="358"/>
      <c r="AR35" s="358"/>
      <c r="AS35" s="358"/>
      <c r="AT35" s="358"/>
      <c r="AU35" s="358"/>
      <c r="AV35" s="359"/>
      <c r="AW35" s="360">
        <v>21.121399999999994</v>
      </c>
      <c r="AX35" s="361">
        <v>15.106999999999971</v>
      </c>
      <c r="AY35" s="361">
        <v>15.837000000000018</v>
      </c>
      <c r="AZ35" s="361">
        <v>19.669799999999981</v>
      </c>
      <c r="BA35" s="361">
        <v>17.709600000000009</v>
      </c>
      <c r="BB35" s="361"/>
      <c r="BC35" s="382"/>
      <c r="BD35" s="383"/>
      <c r="BE35" s="361">
        <v>15.106999999999971</v>
      </c>
      <c r="BF35" s="361">
        <v>15.837000000000018</v>
      </c>
      <c r="BG35" s="361">
        <v>19.669799999999981</v>
      </c>
      <c r="BH35" s="361">
        <v>17.709600000000009</v>
      </c>
      <c r="BI35" s="361"/>
      <c r="BJ35" s="362"/>
      <c r="BK35" s="363"/>
      <c r="BL35" s="358"/>
      <c r="BM35" s="358"/>
      <c r="BN35" s="358"/>
      <c r="BO35" s="358"/>
      <c r="BP35" s="358"/>
      <c r="BQ35" s="365"/>
      <c r="BR35" s="65"/>
      <c r="BS35" s="355">
        <v>0.895833333372138</v>
      </c>
      <c r="BT35" s="354"/>
      <c r="BU35" s="26"/>
      <c r="BV35" s="49"/>
      <c r="BW35" s="123"/>
      <c r="BX35" s="124"/>
      <c r="BY35" s="124"/>
      <c r="BZ35" s="124"/>
      <c r="CA35" s="124" t="e">
        <f>#REF!</f>
        <v>#REF!</v>
      </c>
      <c r="CB35" s="124" t="e">
        <f>#REF!</f>
        <v>#REF!</v>
      </c>
      <c r="CC35" s="141" t="e">
        <f>#REF!</f>
        <v>#REF!</v>
      </c>
      <c r="CD35" s="147">
        <f>SCHEDULES!$I$37</f>
        <v>0</v>
      </c>
      <c r="CE35" s="148">
        <f>SCHEDULES!$I$80</f>
        <v>0</v>
      </c>
      <c r="CF35" s="148">
        <f>SCHEDULES!$I$122</f>
        <v>0</v>
      </c>
      <c r="CG35" s="148">
        <f>SCHEDULES!$I$163</f>
        <v>0</v>
      </c>
      <c r="CH35" s="148">
        <f>SCHEDULES!$I$204</f>
        <v>0</v>
      </c>
      <c r="CI35" s="148">
        <f>SCHEDULES!$I$245</f>
        <v>0</v>
      </c>
      <c r="CJ35" s="149">
        <f>SCHEDULES!$I$286</f>
        <v>0</v>
      </c>
      <c r="CK35" s="150">
        <f>NEWSCHEDULES!$I$37</f>
        <v>0</v>
      </c>
      <c r="CL35" s="151">
        <f>NEWSCHEDULES!$I$80</f>
        <v>0</v>
      </c>
      <c r="CM35" s="151">
        <f>NEWSCHEDULES!$I$122</f>
        <v>0</v>
      </c>
      <c r="CN35" s="151">
        <f>NEWSCHEDULES!$I$163</f>
        <v>0</v>
      </c>
      <c r="CO35" s="151">
        <f>NEWSCHEDULES!$I$204</f>
        <v>0</v>
      </c>
      <c r="CP35" s="151">
        <f>NEWSCHEDULES!$I$245</f>
        <v>0</v>
      </c>
      <c r="CQ35" s="152">
        <f>NEWSCHEDULES!$I$286</f>
        <v>0</v>
      </c>
      <c r="CR35" s="109" t="e">
        <f>#REF!</f>
        <v>#REF!</v>
      </c>
      <c r="CS35" s="49" t="e">
        <f>#REF!</f>
        <v>#REF!</v>
      </c>
      <c r="CT35" s="49" t="e">
        <f>#REF!</f>
        <v>#REF!</v>
      </c>
      <c r="CU35" s="49" t="e">
        <f>#REF!</f>
        <v>#REF!</v>
      </c>
      <c r="CV35" s="49"/>
      <c r="CW35" s="49"/>
      <c r="CX35" s="50"/>
      <c r="CY35" s="327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</row>
    <row r="36" spans="2:115" s="322" customFormat="1" ht="23.25" customHeight="1" x14ac:dyDescent="0.35">
      <c r="B36" s="397"/>
      <c r="C36" s="398"/>
      <c r="T36" s="371"/>
      <c r="U36" s="399"/>
      <c r="V36" s="399"/>
      <c r="W36" s="399"/>
      <c r="X36" s="399"/>
      <c r="Y36" s="399"/>
      <c r="Z36" s="399"/>
      <c r="AA36" s="399"/>
      <c r="AB36" s="399"/>
      <c r="AC36" s="399"/>
      <c r="AD36" s="399"/>
      <c r="AE36" s="399"/>
      <c r="AF36" s="399"/>
      <c r="AG36" s="399"/>
      <c r="AH36" s="399"/>
      <c r="AI36" s="399"/>
      <c r="AK36" s="355">
        <v>0.52083333333575865</v>
      </c>
      <c r="AL36" s="366">
        <v>0.87500000006548695</v>
      </c>
      <c r="AM36" s="353">
        <f t="shared" si="29"/>
        <v>0</v>
      </c>
      <c r="AN36" s="380"/>
      <c r="AO36" s="358"/>
      <c r="AP36" s="381"/>
      <c r="AQ36" s="358"/>
      <c r="AR36" s="358"/>
      <c r="AS36" s="358"/>
      <c r="AT36" s="358"/>
      <c r="AU36" s="358"/>
      <c r="AV36" s="359"/>
      <c r="AW36" s="360">
        <v>40.1175</v>
      </c>
      <c r="AX36" s="361">
        <v>31.905900000000031</v>
      </c>
      <c r="AY36" s="361">
        <v>32.076799999999977</v>
      </c>
      <c r="AZ36" s="361">
        <v>41.745500000000021</v>
      </c>
      <c r="BA36" s="361">
        <v>37.193099999999987</v>
      </c>
      <c r="BB36" s="361"/>
      <c r="BC36" s="382"/>
      <c r="BD36" s="383"/>
      <c r="BE36" s="361">
        <v>31.905900000000031</v>
      </c>
      <c r="BF36" s="361">
        <v>32.076799999999977</v>
      </c>
      <c r="BG36" s="361">
        <v>41.745500000000021</v>
      </c>
      <c r="BH36" s="361">
        <v>37.193099999999987</v>
      </c>
      <c r="BI36" s="361"/>
      <c r="BJ36" s="362"/>
      <c r="BK36" s="363"/>
      <c r="BL36" s="358"/>
      <c r="BM36" s="358"/>
      <c r="BN36" s="358"/>
      <c r="BO36" s="358"/>
      <c r="BP36" s="358"/>
      <c r="BQ36" s="365"/>
      <c r="BR36" s="65"/>
      <c r="BS36" s="398"/>
      <c r="CK36" s="399"/>
      <c r="CL36" s="399"/>
      <c r="CM36" s="399"/>
      <c r="CN36" s="399"/>
      <c r="CO36" s="399"/>
      <c r="CP36" s="399"/>
      <c r="CQ36" s="400"/>
      <c r="CR36" s="399"/>
      <c r="CS36" s="399"/>
      <c r="CT36" s="399"/>
      <c r="CU36" s="399"/>
      <c r="CV36" s="399"/>
      <c r="CW36" s="399"/>
      <c r="CX36" s="399"/>
      <c r="CY36" s="327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</row>
    <row r="37" spans="2:115" s="322" customFormat="1" ht="23.25" customHeight="1" thickBot="1" x14ac:dyDescent="0.4">
      <c r="B37" s="397">
        <f>MAX(E37:AI37)</f>
        <v>0</v>
      </c>
      <c r="C37" s="398"/>
      <c r="T37" s="371"/>
      <c r="AI37" s="23">
        <f>SUM(AI6:AI35)/16</f>
        <v>0</v>
      </c>
      <c r="AK37" s="355">
        <v>0.54166666666424135</v>
      </c>
      <c r="AL37" s="366">
        <v>0.89583333340124605</v>
      </c>
      <c r="AM37" s="353">
        <f t="shared" si="29"/>
        <v>0</v>
      </c>
      <c r="AN37" s="380"/>
      <c r="AO37" s="358"/>
      <c r="AP37" s="381"/>
      <c r="AQ37" s="358"/>
      <c r="AR37" s="358"/>
      <c r="AS37" s="358"/>
      <c r="AT37" s="358"/>
      <c r="AU37" s="358"/>
      <c r="AV37" s="359"/>
      <c r="AW37" s="360">
        <v>19.202099999999987</v>
      </c>
      <c r="AX37" s="361">
        <v>15.565599999999975</v>
      </c>
      <c r="AY37" s="361">
        <v>17.555500000000023</v>
      </c>
      <c r="AZ37" s="361">
        <v>13.818100000000015</v>
      </c>
      <c r="BA37" s="361">
        <v>14.545500000000004</v>
      </c>
      <c r="BB37" s="361"/>
      <c r="BC37" s="382"/>
      <c r="BD37" s="383"/>
      <c r="BE37" s="361">
        <v>15.565599999999975</v>
      </c>
      <c r="BF37" s="361">
        <v>17.555500000000023</v>
      </c>
      <c r="BG37" s="361">
        <v>13.818100000000015</v>
      </c>
      <c r="BH37" s="361">
        <v>14.545500000000004</v>
      </c>
      <c r="BI37" s="361"/>
      <c r="BJ37" s="362"/>
      <c r="BK37" s="363"/>
      <c r="BL37" s="358"/>
      <c r="BM37" s="358"/>
      <c r="BN37" s="358"/>
      <c r="BO37" s="358"/>
      <c r="BP37" s="358"/>
      <c r="BQ37" s="365"/>
      <c r="BR37" s="65"/>
      <c r="BS37" s="398"/>
      <c r="CQ37" s="371"/>
      <c r="CY37" s="327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</row>
    <row r="38" spans="2:115" s="322" customFormat="1" ht="23.25" customHeight="1" thickBot="1" x14ac:dyDescent="0.4">
      <c r="B38" s="323"/>
      <c r="C38" s="398"/>
      <c r="T38" s="371"/>
      <c r="AK38" s="355">
        <v>0.5625</v>
      </c>
      <c r="AL38" s="366">
        <v>0.91666666673700503</v>
      </c>
      <c r="AM38" s="353">
        <f t="shared" si="29"/>
        <v>0</v>
      </c>
      <c r="AN38" s="401"/>
      <c r="AO38" s="402"/>
      <c r="AP38" s="403"/>
      <c r="AQ38" s="402"/>
      <c r="AR38" s="402"/>
      <c r="AS38" s="402"/>
      <c r="AT38" s="402"/>
      <c r="AU38" s="402"/>
      <c r="AV38" s="404"/>
      <c r="AW38" s="405">
        <v>114.4141</v>
      </c>
      <c r="AX38" s="406">
        <v>115.41420000000001</v>
      </c>
      <c r="AY38" s="406">
        <v>99.333399999999997</v>
      </c>
      <c r="AZ38" s="406">
        <v>108.36359999999999</v>
      </c>
      <c r="BA38" s="406">
        <v>69.616100000000003</v>
      </c>
      <c r="BB38" s="406"/>
      <c r="BC38" s="407"/>
      <c r="BD38" s="408"/>
      <c r="BE38" s="406">
        <v>115.41420000000001</v>
      </c>
      <c r="BF38" s="406">
        <v>99.333399999999997</v>
      </c>
      <c r="BG38" s="406">
        <v>108.36359999999999</v>
      </c>
      <c r="BH38" s="406">
        <v>69.616100000000003</v>
      </c>
      <c r="BI38" s="406"/>
      <c r="BJ38" s="409"/>
      <c r="BK38" s="394"/>
      <c r="BL38" s="389"/>
      <c r="BM38" s="389"/>
      <c r="BN38" s="389"/>
      <c r="BO38" s="389"/>
      <c r="BP38" s="389"/>
      <c r="BQ38" s="396"/>
      <c r="BR38" s="65"/>
      <c r="BS38" s="398"/>
      <c r="CQ38" s="371"/>
      <c r="CY38" s="327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</row>
    <row r="39" spans="2:115" s="322" customFormat="1" ht="23.25" customHeight="1" thickBot="1" x14ac:dyDescent="0.4">
      <c r="B39" s="410">
        <f>MAX(E39:AI39)</f>
        <v>0</v>
      </c>
      <c r="C39" s="398"/>
      <c r="T39" s="371"/>
      <c r="AI39" s="411"/>
      <c r="AK39" s="412"/>
      <c r="AL39" s="413"/>
      <c r="AM39" s="399"/>
      <c r="BJ39" s="371"/>
      <c r="BS39" s="412"/>
      <c r="CQ39" s="371"/>
      <c r="CY39" s="414"/>
    </row>
    <row r="40" spans="2:115" s="322" customFormat="1" ht="23.25" customHeight="1" thickBot="1" x14ac:dyDescent="0.4">
      <c r="B40" s="323"/>
      <c r="C40" s="415"/>
      <c r="D40" s="416"/>
      <c r="E40" s="102">
        <f t="shared" ref="E40:AH40" si="30">SUM(E6:E35)/16</f>
        <v>0</v>
      </c>
      <c r="F40" s="103">
        <f t="shared" si="30"/>
        <v>0</v>
      </c>
      <c r="G40" s="103">
        <f t="shared" si="30"/>
        <v>0</v>
      </c>
      <c r="H40" s="103">
        <f t="shared" si="30"/>
        <v>0</v>
      </c>
      <c r="I40" s="103">
        <f t="shared" si="30"/>
        <v>0</v>
      </c>
      <c r="J40" s="104">
        <f t="shared" si="30"/>
        <v>0</v>
      </c>
      <c r="K40" s="103">
        <f t="shared" si="30"/>
        <v>0</v>
      </c>
      <c r="L40" s="103">
        <f t="shared" si="30"/>
        <v>0</v>
      </c>
      <c r="M40" s="103">
        <f t="shared" si="30"/>
        <v>0</v>
      </c>
      <c r="N40" s="103">
        <f t="shared" si="30"/>
        <v>557.6024500000002</v>
      </c>
      <c r="O40" s="103">
        <f t="shared" si="30"/>
        <v>539.86614374999999</v>
      </c>
      <c r="P40" s="103">
        <f t="shared" si="30"/>
        <v>520.24865</v>
      </c>
      <c r="Q40" s="103">
        <f t="shared" si="30"/>
        <v>517.71620625000003</v>
      </c>
      <c r="R40" s="106">
        <f t="shared" si="30"/>
        <v>516.59404999999992</v>
      </c>
      <c r="S40" s="103">
        <f t="shared" si="30"/>
        <v>245.58632500000004</v>
      </c>
      <c r="T40" s="105">
        <f t="shared" si="30"/>
        <v>121.78407500000002</v>
      </c>
      <c r="U40" s="106">
        <f t="shared" si="30"/>
        <v>557.6024500000002</v>
      </c>
      <c r="V40" s="103">
        <f t="shared" si="30"/>
        <v>539.86614374999999</v>
      </c>
      <c r="W40" s="103">
        <f t="shared" si="30"/>
        <v>520.24865</v>
      </c>
      <c r="X40" s="103">
        <f t="shared" si="30"/>
        <v>517.71620625000003</v>
      </c>
      <c r="Y40" s="103">
        <f t="shared" si="30"/>
        <v>516.59404999999992</v>
      </c>
      <c r="Z40" s="103">
        <f t="shared" si="30"/>
        <v>245.58632500000004</v>
      </c>
      <c r="AA40" s="103">
        <f t="shared" si="30"/>
        <v>121.78407500000002</v>
      </c>
      <c r="AB40" s="103">
        <f t="shared" si="30"/>
        <v>0</v>
      </c>
      <c r="AC40" s="103">
        <f t="shared" si="30"/>
        <v>0</v>
      </c>
      <c r="AD40" s="103">
        <f t="shared" si="30"/>
        <v>0</v>
      </c>
      <c r="AE40" s="103">
        <f t="shared" si="30"/>
        <v>0</v>
      </c>
      <c r="AF40" s="103">
        <f t="shared" si="30"/>
        <v>0</v>
      </c>
      <c r="AG40" s="103">
        <f t="shared" si="30"/>
        <v>0</v>
      </c>
      <c r="AH40" s="105">
        <f t="shared" si="30"/>
        <v>0</v>
      </c>
      <c r="AK40" s="417"/>
      <c r="AL40" s="418"/>
      <c r="AM40" s="418"/>
      <c r="AN40" s="23">
        <f t="shared" ref="AN40:BQ40" si="31">SUM(AN25:AN38)</f>
        <v>0</v>
      </c>
      <c r="AO40" s="23">
        <f t="shared" si="31"/>
        <v>0</v>
      </c>
      <c r="AP40" s="102">
        <f t="shared" si="31"/>
        <v>100</v>
      </c>
      <c r="AQ40" s="103">
        <f t="shared" si="31"/>
        <v>200</v>
      </c>
      <c r="AR40" s="103">
        <f t="shared" si="31"/>
        <v>100</v>
      </c>
      <c r="AS40" s="103">
        <f t="shared" si="31"/>
        <v>200</v>
      </c>
      <c r="AT40" s="103">
        <f t="shared" si="31"/>
        <v>100</v>
      </c>
      <c r="AU40" s="103">
        <f t="shared" si="31"/>
        <v>0</v>
      </c>
      <c r="AV40" s="105">
        <f t="shared" si="31"/>
        <v>0</v>
      </c>
      <c r="AW40" s="23">
        <f t="shared" si="31"/>
        <v>708.54599999999994</v>
      </c>
      <c r="AX40" s="23">
        <f t="shared" si="31"/>
        <v>621.52620000000002</v>
      </c>
      <c r="AY40" s="23">
        <f t="shared" si="31"/>
        <v>601.79199999999992</v>
      </c>
      <c r="AZ40" s="70">
        <f t="shared" si="31"/>
        <v>608.51389999999992</v>
      </c>
      <c r="BA40" s="22">
        <f t="shared" si="31"/>
        <v>608.73939999999993</v>
      </c>
      <c r="BB40" s="23">
        <f t="shared" si="31"/>
        <v>299.38670000000002</v>
      </c>
      <c r="BC40" s="23">
        <f t="shared" si="31"/>
        <v>146.56049999999999</v>
      </c>
      <c r="BD40" s="23">
        <f t="shared" si="31"/>
        <v>0</v>
      </c>
      <c r="BE40" s="23">
        <f t="shared" si="31"/>
        <v>621.52620000000002</v>
      </c>
      <c r="BF40" s="23">
        <f t="shared" si="31"/>
        <v>601.79199999999992</v>
      </c>
      <c r="BG40" s="70">
        <f t="shared" si="31"/>
        <v>608.51389999999992</v>
      </c>
      <c r="BH40" s="22">
        <f t="shared" si="31"/>
        <v>608.73939999999993</v>
      </c>
      <c r="BI40" s="23">
        <f t="shared" si="31"/>
        <v>299.38670000000002</v>
      </c>
      <c r="BJ40" s="24">
        <f t="shared" si="31"/>
        <v>146.56049999999999</v>
      </c>
      <c r="BK40" s="73">
        <f t="shared" si="31"/>
        <v>0</v>
      </c>
      <c r="BL40" s="23">
        <f t="shared" si="31"/>
        <v>0</v>
      </c>
      <c r="BM40" s="23">
        <f t="shared" si="31"/>
        <v>0</v>
      </c>
      <c r="BN40" s="24">
        <f t="shared" si="31"/>
        <v>0</v>
      </c>
      <c r="BO40" s="73">
        <f t="shared" si="31"/>
        <v>0</v>
      </c>
      <c r="BP40" s="23">
        <f t="shared" si="31"/>
        <v>0</v>
      </c>
      <c r="BQ40" s="23">
        <f t="shared" si="31"/>
        <v>0</v>
      </c>
      <c r="BS40" s="415"/>
      <c r="BT40" s="416"/>
      <c r="BU40" s="51">
        <f t="shared" ref="BU40:CC40" si="32">AN40-AN20</f>
        <v>0</v>
      </c>
      <c r="BV40" s="51">
        <f t="shared" si="32"/>
        <v>0</v>
      </c>
      <c r="BW40" s="51">
        <f t="shared" si="32"/>
        <v>100</v>
      </c>
      <c r="BX40" s="51">
        <f t="shared" si="32"/>
        <v>200</v>
      </c>
      <c r="BY40" s="51">
        <f t="shared" si="32"/>
        <v>100</v>
      </c>
      <c r="BZ40" s="51">
        <f t="shared" si="32"/>
        <v>200</v>
      </c>
      <c r="CA40" s="51">
        <f t="shared" si="32"/>
        <v>100</v>
      </c>
      <c r="CB40" s="51">
        <f t="shared" si="32"/>
        <v>0</v>
      </c>
      <c r="CC40" s="51">
        <f t="shared" si="32"/>
        <v>0</v>
      </c>
      <c r="CD40" s="51">
        <f>AW40-N40</f>
        <v>150.94354999999973</v>
      </c>
      <c r="CE40" s="51">
        <f t="shared" ref="CE40:CJ40" si="33">AX40-O40</f>
        <v>81.660056250000025</v>
      </c>
      <c r="CF40" s="51">
        <f t="shared" si="33"/>
        <v>81.543349999999919</v>
      </c>
      <c r="CG40" s="51">
        <f t="shared" si="33"/>
        <v>90.797693749999894</v>
      </c>
      <c r="CH40" s="51">
        <f t="shared" si="33"/>
        <v>92.145350000000008</v>
      </c>
      <c r="CI40" s="51">
        <f t="shared" si="33"/>
        <v>53.800374999999974</v>
      </c>
      <c r="CJ40" s="51">
        <f t="shared" si="33"/>
        <v>24.776424999999975</v>
      </c>
      <c r="CK40" s="51">
        <f t="shared" ref="CK40:CX40" si="34">BD40-BD20</f>
        <v>-708.54600000000005</v>
      </c>
      <c r="CL40" s="51">
        <f t="shared" si="34"/>
        <v>0</v>
      </c>
      <c r="CM40" s="51">
        <f t="shared" si="34"/>
        <v>0</v>
      </c>
      <c r="CN40" s="51">
        <f t="shared" si="34"/>
        <v>0</v>
      </c>
      <c r="CO40" s="51">
        <f t="shared" si="34"/>
        <v>0</v>
      </c>
      <c r="CP40" s="51">
        <f t="shared" si="34"/>
        <v>0</v>
      </c>
      <c r="CQ40" s="138">
        <f t="shared" si="34"/>
        <v>0</v>
      </c>
      <c r="CR40" s="137">
        <f t="shared" si="34"/>
        <v>0</v>
      </c>
      <c r="CS40" s="51">
        <f t="shared" si="34"/>
        <v>0</v>
      </c>
      <c r="CT40" s="51">
        <f t="shared" si="34"/>
        <v>0</v>
      </c>
      <c r="CU40" s="51">
        <f t="shared" si="34"/>
        <v>0</v>
      </c>
      <c r="CV40" s="51">
        <f t="shared" si="34"/>
        <v>0</v>
      </c>
      <c r="CW40" s="51">
        <f t="shared" si="34"/>
        <v>0</v>
      </c>
      <c r="CX40" s="51">
        <f t="shared" si="34"/>
        <v>0</v>
      </c>
      <c r="CY40" s="414"/>
    </row>
    <row r="41" spans="2:115" s="322" customFormat="1" ht="23.25" customHeight="1" x14ac:dyDescent="0.35">
      <c r="B41" s="419"/>
      <c r="C41" s="413"/>
      <c r="AI41" s="29">
        <f>AI3</f>
        <v>15</v>
      </c>
      <c r="AJ41" s="399"/>
      <c r="AK41" s="399"/>
      <c r="AL41" s="65"/>
      <c r="AM41" s="65"/>
      <c r="AN41" s="399"/>
      <c r="AO41" s="399"/>
      <c r="AR41" s="420"/>
      <c r="AS41" s="420"/>
      <c r="BN41" s="414"/>
      <c r="BS41" s="421"/>
      <c r="BT41" s="27"/>
      <c r="BU41" s="411"/>
      <c r="BV41" s="411"/>
      <c r="BW41" s="411"/>
      <c r="BX41" s="411"/>
      <c r="BY41" s="411"/>
      <c r="BZ41" s="411"/>
      <c r="CA41" s="411"/>
      <c r="CB41" s="411"/>
      <c r="CC41" s="411"/>
      <c r="CD41" s="411"/>
      <c r="CE41" s="411"/>
      <c r="CF41" s="411"/>
      <c r="CG41" s="411"/>
      <c r="CH41" s="411"/>
      <c r="CI41" s="411"/>
      <c r="CJ41" s="411"/>
      <c r="CK41" s="411"/>
      <c r="CL41" s="411"/>
      <c r="CM41" s="411"/>
      <c r="CN41" s="411"/>
      <c r="CO41" s="411"/>
      <c r="CP41" s="411"/>
      <c r="CQ41" s="411"/>
      <c r="CR41" s="411"/>
      <c r="CS41" s="411"/>
      <c r="CT41" s="411"/>
      <c r="CU41" s="411"/>
      <c r="CV41" s="411"/>
      <c r="CW41" s="411"/>
      <c r="CX41" s="411"/>
      <c r="CY41" s="414"/>
    </row>
    <row r="42" spans="2:115" s="322" customFormat="1" ht="23.25" customHeight="1" thickBot="1" x14ac:dyDescent="0.4">
      <c r="B42" s="419"/>
      <c r="C42" s="421" t="s">
        <v>6</v>
      </c>
      <c r="D42" s="27"/>
      <c r="E42" s="411"/>
      <c r="F42" s="411"/>
      <c r="G42" s="411"/>
      <c r="H42" s="411"/>
      <c r="I42" s="411"/>
      <c r="J42" s="411"/>
      <c r="K42" s="411">
        <v>215</v>
      </c>
      <c r="L42" s="411">
        <v>173</v>
      </c>
      <c r="M42" s="411">
        <v>139</v>
      </c>
      <c r="N42" s="411">
        <v>159</v>
      </c>
      <c r="O42" s="411">
        <v>150</v>
      </c>
      <c r="P42" s="411">
        <v>29</v>
      </c>
      <c r="Q42" s="411">
        <v>15.02</v>
      </c>
      <c r="R42" s="411">
        <v>300</v>
      </c>
      <c r="S42" s="411">
        <v>293</v>
      </c>
      <c r="T42" s="411">
        <v>247</v>
      </c>
      <c r="U42" s="411">
        <v>230</v>
      </c>
      <c r="V42" s="411">
        <v>240</v>
      </c>
      <c r="W42" s="411">
        <v>134</v>
      </c>
      <c r="X42" s="411">
        <v>74</v>
      </c>
      <c r="Y42" s="411">
        <v>476</v>
      </c>
      <c r="Z42" s="411">
        <v>466</v>
      </c>
      <c r="AA42" s="411">
        <v>386</v>
      </c>
      <c r="AB42" s="411">
        <v>389</v>
      </c>
      <c r="AC42" s="411">
        <v>390</v>
      </c>
      <c r="AD42" s="411">
        <v>163</v>
      </c>
      <c r="AE42" s="411">
        <v>89.02</v>
      </c>
      <c r="AF42" s="411"/>
      <c r="AG42" s="411"/>
      <c r="AH42" s="411"/>
      <c r="AI42" s="7" t="str">
        <f>AI4</f>
        <v>Sun</v>
      </c>
      <c r="AJ42" s="399"/>
      <c r="AK42" s="399"/>
      <c r="AL42" s="65"/>
      <c r="AM42" s="65"/>
      <c r="AN42" s="399"/>
      <c r="AO42" s="399"/>
      <c r="AP42" s="399"/>
      <c r="AQ42" s="399"/>
      <c r="AR42" s="420"/>
      <c r="AS42" s="420"/>
      <c r="BN42" s="414"/>
      <c r="CY42" s="414"/>
    </row>
    <row r="43" spans="2:115" s="322" customFormat="1" ht="12.75" customHeight="1" x14ac:dyDescent="0.35">
      <c r="B43" s="422"/>
      <c r="C43" s="423"/>
      <c r="D43" s="423"/>
      <c r="E43" s="423"/>
      <c r="F43" s="423"/>
      <c r="G43" s="423"/>
      <c r="H43" s="423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Y43" s="423"/>
      <c r="Z43" s="423"/>
      <c r="AA43" s="423"/>
      <c r="AB43" s="423"/>
      <c r="AC43" s="423"/>
      <c r="AD43" s="423"/>
      <c r="AE43" s="423"/>
      <c r="AF43" s="423"/>
      <c r="AG43" s="423"/>
      <c r="AH43" s="423"/>
      <c r="AI43" s="118">
        <f>MAX(AI44:AI68)</f>
        <v>0</v>
      </c>
      <c r="AJ43" s="424"/>
      <c r="AK43" s="424"/>
      <c r="AL43" s="315"/>
      <c r="AM43" s="315"/>
      <c r="AN43" s="424"/>
      <c r="AO43" s="424"/>
      <c r="AP43" s="424"/>
      <c r="AQ43" s="424"/>
      <c r="AR43" s="425"/>
      <c r="AS43" s="425"/>
      <c r="AT43" s="423"/>
      <c r="AU43" s="423"/>
      <c r="AV43" s="423"/>
      <c r="AW43" s="423"/>
      <c r="AX43" s="423"/>
      <c r="AY43" s="423"/>
      <c r="AZ43" s="423"/>
      <c r="BA43" s="423"/>
      <c r="BB43" s="423"/>
      <c r="BC43" s="423"/>
      <c r="BD43" s="423"/>
      <c r="BE43" s="423"/>
      <c r="BF43" s="423"/>
      <c r="BG43" s="423"/>
      <c r="BH43" s="423"/>
      <c r="BI43" s="423"/>
      <c r="BJ43" s="423"/>
      <c r="BK43" s="423"/>
      <c r="BL43" s="423"/>
      <c r="BM43" s="423"/>
      <c r="BN43" s="426"/>
      <c r="BO43" s="423"/>
      <c r="BP43" s="423"/>
      <c r="BQ43" s="423"/>
      <c r="BR43" s="423"/>
      <c r="BS43" s="423"/>
      <c r="BT43" s="423"/>
      <c r="BU43" s="423"/>
      <c r="BV43" s="423"/>
      <c r="BW43" s="423"/>
      <c r="BX43" s="423"/>
      <c r="BY43" s="423"/>
      <c r="BZ43" s="423"/>
      <c r="CA43" s="423"/>
      <c r="CB43" s="423"/>
      <c r="CC43" s="423"/>
      <c r="CD43" s="423"/>
      <c r="CE43" s="423"/>
      <c r="CF43" s="423"/>
      <c r="CG43" s="423"/>
      <c r="CH43" s="423"/>
      <c r="CI43" s="423"/>
      <c r="CJ43" s="423"/>
      <c r="CK43" s="423"/>
      <c r="CL43" s="423"/>
      <c r="CM43" s="423"/>
      <c r="CN43" s="423"/>
      <c r="CO43" s="423"/>
      <c r="CP43" s="423"/>
      <c r="CQ43" s="423"/>
      <c r="CR43" s="423"/>
      <c r="CS43" s="423"/>
      <c r="CT43" s="423"/>
      <c r="CU43" s="423"/>
      <c r="CV43" s="423"/>
      <c r="CW43" s="423"/>
      <c r="CX43" s="423"/>
      <c r="CY43" s="426"/>
    </row>
    <row r="44" spans="2:115" s="322" customFormat="1" ht="12.75" customHeight="1" thickBot="1" x14ac:dyDescent="0.4">
      <c r="AI44" s="114">
        <f>IF(AI6&lt;0,0,AI6)</f>
        <v>0</v>
      </c>
      <c r="AK44" s="399"/>
      <c r="AL44" s="65"/>
      <c r="AM44" s="65"/>
      <c r="AN44" s="399"/>
      <c r="AO44" s="399"/>
      <c r="AP44" s="399"/>
      <c r="AQ44" s="399"/>
      <c r="AR44" s="427"/>
    </row>
    <row r="45" spans="2:115" s="322" customFormat="1" ht="23.25" customHeight="1" x14ac:dyDescent="0.35">
      <c r="AI45" s="19">
        <f t="shared" ref="AI45:AI50" si="35">IF((AI7-AI6)&lt;0,0,AI7-AI6)</f>
        <v>0</v>
      </c>
      <c r="AK45" s="367"/>
      <c r="AL45" s="368"/>
      <c r="AM45" s="21"/>
      <c r="AN45" s="2">
        <f t="shared" ref="AN45:AV46" si="36">E26</f>
        <v>0</v>
      </c>
      <c r="AO45" s="110">
        <f t="shared" si="36"/>
        <v>0</v>
      </c>
      <c r="AP45" s="2">
        <f t="shared" si="36"/>
        <v>0</v>
      </c>
      <c r="AQ45" s="28">
        <f t="shared" si="36"/>
        <v>0</v>
      </c>
      <c r="AR45" s="28">
        <f t="shared" si="36"/>
        <v>0</v>
      </c>
      <c r="AS45" s="28">
        <f t="shared" si="36"/>
        <v>0</v>
      </c>
      <c r="AT45" s="28">
        <f t="shared" si="36"/>
        <v>0</v>
      </c>
      <c r="AU45" s="28">
        <f t="shared" si="36"/>
        <v>0</v>
      </c>
      <c r="AV45" s="28">
        <f t="shared" si="36"/>
        <v>0</v>
      </c>
      <c r="AW45" s="177"/>
      <c r="AX45" s="127"/>
      <c r="AY45" s="127"/>
      <c r="AZ45" s="179" t="s">
        <v>33</v>
      </c>
      <c r="BA45" s="127"/>
      <c r="BB45" s="127"/>
      <c r="BC45" s="158"/>
      <c r="BD45" s="177"/>
      <c r="BE45" s="127"/>
      <c r="BF45" s="127"/>
      <c r="BG45" s="179" t="s">
        <v>34</v>
      </c>
      <c r="BH45" s="127"/>
      <c r="BI45" s="127"/>
      <c r="BJ45" s="128"/>
    </row>
    <row r="46" spans="2:115" s="322" customFormat="1" ht="23.25" customHeight="1" thickBot="1" x14ac:dyDescent="0.4">
      <c r="AI46" s="19">
        <f t="shared" si="35"/>
        <v>0</v>
      </c>
      <c r="AK46" s="369" t="s">
        <v>2</v>
      </c>
      <c r="AL46" s="370" t="s">
        <v>3</v>
      </c>
      <c r="AM46" s="21"/>
      <c r="AN46" s="4">
        <f t="shared" si="36"/>
        <v>0</v>
      </c>
      <c r="AO46" s="111">
        <f t="shared" si="36"/>
        <v>0</v>
      </c>
      <c r="AP46" s="4">
        <f t="shared" si="36"/>
        <v>0</v>
      </c>
      <c r="AQ46" s="5">
        <f t="shared" si="36"/>
        <v>0</v>
      </c>
      <c r="AR46" s="5">
        <f t="shared" si="36"/>
        <v>0</v>
      </c>
      <c r="AS46" s="5">
        <f t="shared" si="36"/>
        <v>0</v>
      </c>
      <c r="AT46" s="5">
        <f t="shared" si="36"/>
        <v>0</v>
      </c>
      <c r="AU46" s="5">
        <f t="shared" si="36"/>
        <v>0</v>
      </c>
      <c r="AV46" s="5">
        <f t="shared" si="36"/>
        <v>0</v>
      </c>
      <c r="AW46" s="176" t="s">
        <v>23</v>
      </c>
      <c r="AX46" s="168" t="s">
        <v>24</v>
      </c>
      <c r="AY46" s="168" t="s">
        <v>25</v>
      </c>
      <c r="AZ46" s="168" t="s">
        <v>26</v>
      </c>
      <c r="BA46" s="168" t="s">
        <v>27</v>
      </c>
      <c r="BB46" s="168" t="s">
        <v>28</v>
      </c>
      <c r="BC46" s="169" t="s">
        <v>29</v>
      </c>
      <c r="BD46" s="176" t="s">
        <v>23</v>
      </c>
      <c r="BE46" s="168" t="s">
        <v>24</v>
      </c>
      <c r="BF46" s="168" t="s">
        <v>25</v>
      </c>
      <c r="BG46" s="168" t="s">
        <v>26</v>
      </c>
      <c r="BH46" s="168" t="s">
        <v>27</v>
      </c>
      <c r="BI46" s="168" t="s">
        <v>28</v>
      </c>
      <c r="BJ46" s="170" t="s">
        <v>29</v>
      </c>
    </row>
    <row r="47" spans="2:115" s="322" customFormat="1" ht="23.25" customHeight="1" x14ac:dyDescent="0.35">
      <c r="AI47" s="19">
        <f t="shared" si="35"/>
        <v>0</v>
      </c>
      <c r="AK47" s="135"/>
      <c r="AL47" s="21"/>
      <c r="AM47" s="21"/>
      <c r="AQ47" s="159" t="s">
        <v>5</v>
      </c>
      <c r="AZ47" s="9" t="s">
        <v>5</v>
      </c>
      <c r="BG47" s="9"/>
      <c r="BJ47" s="371"/>
    </row>
    <row r="48" spans="2:115" s="322" customFormat="1" ht="23.25" customHeight="1" x14ac:dyDescent="0.35">
      <c r="AI48" s="19">
        <f t="shared" si="35"/>
        <v>0</v>
      </c>
      <c r="AK48" s="355">
        <v>0.29166666666424135</v>
      </c>
      <c r="AL48" s="366">
        <v>0.45833333333333331</v>
      </c>
      <c r="AM48" s="353"/>
      <c r="AN48" s="372"/>
      <c r="AO48" s="373"/>
      <c r="AP48" s="374"/>
      <c r="AQ48" s="373"/>
      <c r="AR48" s="373"/>
      <c r="AS48" s="373"/>
      <c r="AT48" s="373"/>
      <c r="AU48" s="373"/>
      <c r="AV48" s="375"/>
      <c r="AW48" s="346"/>
      <c r="AX48" s="376"/>
      <c r="AY48" s="376"/>
      <c r="AZ48" s="376"/>
      <c r="BA48" s="376"/>
      <c r="BB48" s="376"/>
      <c r="BC48" s="377"/>
      <c r="BD48" s="378"/>
      <c r="BE48" s="376"/>
      <c r="BF48" s="376"/>
      <c r="BG48" s="376"/>
      <c r="BH48" s="376"/>
      <c r="BI48" s="376"/>
      <c r="BJ48" s="379"/>
    </row>
    <row r="49" spans="35:62" s="322" customFormat="1" ht="23.25" customHeight="1" x14ac:dyDescent="0.35">
      <c r="AI49" s="19">
        <f t="shared" si="35"/>
        <v>0</v>
      </c>
      <c r="AK49" s="355">
        <v>0.3125</v>
      </c>
      <c r="AL49" s="366">
        <v>0.47916666666666669</v>
      </c>
      <c r="AM49" s="353"/>
      <c r="AN49" s="380"/>
      <c r="AO49" s="358"/>
      <c r="AP49" s="381"/>
      <c r="AQ49" s="358">
        <v>100</v>
      </c>
      <c r="AR49" s="358"/>
      <c r="AS49" s="358">
        <v>100</v>
      </c>
      <c r="AT49" s="358"/>
      <c r="AU49" s="358"/>
      <c r="AV49" s="359"/>
      <c r="AW49" s="360"/>
      <c r="AX49" s="361"/>
      <c r="AY49" s="361"/>
      <c r="AZ49" s="361"/>
      <c r="BA49" s="361"/>
      <c r="BB49" s="361"/>
      <c r="BC49" s="382"/>
      <c r="BD49" s="383"/>
      <c r="BE49" s="361"/>
      <c r="BF49" s="361"/>
      <c r="BG49" s="361"/>
      <c r="BH49" s="361"/>
      <c r="BI49" s="361"/>
      <c r="BJ49" s="362"/>
    </row>
    <row r="50" spans="35:62" s="322" customFormat="1" ht="23.25" customHeight="1" x14ac:dyDescent="0.35">
      <c r="AI50" s="19">
        <f t="shared" si="35"/>
        <v>0</v>
      </c>
      <c r="AK50" s="355">
        <v>0.33333333333575899</v>
      </c>
      <c r="AL50" s="366">
        <v>0.5</v>
      </c>
      <c r="AM50" s="353"/>
      <c r="AN50" s="380"/>
      <c r="AO50" s="358"/>
      <c r="AP50" s="381"/>
      <c r="AQ50" s="358"/>
      <c r="AR50" s="358"/>
      <c r="AS50" s="358">
        <v>100</v>
      </c>
      <c r="AT50" s="358"/>
      <c r="AU50" s="358"/>
      <c r="AV50" s="359"/>
      <c r="AW50" s="360"/>
      <c r="AX50" s="361"/>
      <c r="AY50" s="361"/>
      <c r="AZ50" s="361"/>
      <c r="BA50" s="361"/>
      <c r="BB50" s="361"/>
      <c r="BC50" s="382"/>
      <c r="BD50" s="383"/>
      <c r="BE50" s="361"/>
      <c r="BF50" s="361"/>
      <c r="BG50" s="361"/>
      <c r="BH50" s="361"/>
      <c r="BI50" s="361"/>
      <c r="BJ50" s="362"/>
    </row>
    <row r="51" spans="35:62" s="322" customFormat="1" ht="23.25" customHeight="1" x14ac:dyDescent="0.35">
      <c r="AI51" s="19"/>
      <c r="AK51" s="355">
        <v>0.35416666667151703</v>
      </c>
      <c r="AL51" s="366">
        <v>0.52083333333333304</v>
      </c>
      <c r="AM51" s="353"/>
      <c r="AN51" s="380"/>
      <c r="AO51" s="358"/>
      <c r="AP51" s="381"/>
      <c r="AQ51" s="358"/>
      <c r="AR51" s="358"/>
      <c r="AS51" s="358"/>
      <c r="AT51" s="358"/>
      <c r="AU51" s="358"/>
      <c r="AV51" s="359"/>
      <c r="AW51" s="360">
        <v>50</v>
      </c>
      <c r="AX51" s="361"/>
      <c r="AY51" s="361"/>
      <c r="AZ51" s="361"/>
      <c r="BA51" s="361"/>
      <c r="BB51" s="361"/>
      <c r="BC51" s="382"/>
      <c r="BD51" s="360">
        <v>50</v>
      </c>
      <c r="BE51" s="361"/>
      <c r="BF51" s="361"/>
      <c r="BG51" s="361"/>
      <c r="BH51" s="361"/>
      <c r="BI51" s="361"/>
      <c r="BJ51" s="362"/>
    </row>
    <row r="52" spans="35:62" s="322" customFormat="1" ht="23.25" customHeight="1" x14ac:dyDescent="0.35">
      <c r="AI52" s="19"/>
      <c r="AK52" s="355">
        <v>0.37500000000727601</v>
      </c>
      <c r="AL52" s="366">
        <v>0.54166666666666696</v>
      </c>
      <c r="AM52" s="353"/>
      <c r="AN52" s="380"/>
      <c r="AO52" s="358"/>
      <c r="AP52" s="381"/>
      <c r="AQ52" s="358"/>
      <c r="AR52" s="358"/>
      <c r="AS52" s="358"/>
      <c r="AT52" s="358"/>
      <c r="AU52" s="358"/>
      <c r="AV52" s="359"/>
      <c r="AW52" s="360">
        <v>50</v>
      </c>
      <c r="AX52" s="361"/>
      <c r="AY52" s="361"/>
      <c r="AZ52" s="361"/>
      <c r="BA52" s="361"/>
      <c r="BB52" s="361"/>
      <c r="BC52" s="382"/>
      <c r="BD52" s="360">
        <v>50</v>
      </c>
      <c r="BE52" s="361"/>
      <c r="BF52" s="361"/>
      <c r="BG52" s="361"/>
      <c r="BH52" s="361"/>
      <c r="BI52" s="361"/>
      <c r="BJ52" s="362"/>
    </row>
    <row r="53" spans="35:62" s="322" customFormat="1" ht="23.25" customHeight="1" x14ac:dyDescent="0.35">
      <c r="AI53" s="19"/>
      <c r="AK53" s="355">
        <v>0.395833333343034</v>
      </c>
      <c r="AL53" s="366">
        <v>0.5625</v>
      </c>
      <c r="AM53" s="353"/>
      <c r="AN53" s="380"/>
      <c r="AO53" s="358"/>
      <c r="AP53" s="381"/>
      <c r="AQ53" s="358"/>
      <c r="AR53" s="358"/>
      <c r="AS53" s="358"/>
      <c r="AT53" s="358"/>
      <c r="AU53" s="358"/>
      <c r="AV53" s="359"/>
      <c r="AW53" s="360"/>
      <c r="AX53" s="361"/>
      <c r="AY53" s="361"/>
      <c r="AZ53" s="361"/>
      <c r="BA53" s="361"/>
      <c r="BB53" s="361"/>
      <c r="BC53" s="382"/>
      <c r="BD53" s="360"/>
      <c r="BE53" s="361"/>
      <c r="BF53" s="361"/>
      <c r="BG53" s="361"/>
      <c r="BH53" s="361"/>
      <c r="BI53" s="361"/>
      <c r="BJ53" s="362"/>
    </row>
    <row r="54" spans="35:62" s="322" customFormat="1" ht="23.25" customHeight="1" x14ac:dyDescent="0.35">
      <c r="AI54" s="19"/>
      <c r="AK54" s="355">
        <v>0.41666666667879299</v>
      </c>
      <c r="AL54" s="366">
        <v>0.58333333333333304</v>
      </c>
      <c r="AM54" s="353"/>
      <c r="AN54" s="380"/>
      <c r="AO54" s="358"/>
      <c r="AP54" s="381"/>
      <c r="AQ54" s="358"/>
      <c r="AR54" s="358"/>
      <c r="AS54" s="358"/>
      <c r="AT54" s="358"/>
      <c r="AU54" s="358"/>
      <c r="AV54" s="359"/>
      <c r="AW54" s="360">
        <v>50</v>
      </c>
      <c r="AX54" s="361"/>
      <c r="AY54" s="361"/>
      <c r="AZ54" s="361"/>
      <c r="BA54" s="361"/>
      <c r="BB54" s="361"/>
      <c r="BC54" s="382"/>
      <c r="BD54" s="360">
        <v>50</v>
      </c>
      <c r="BE54" s="361"/>
      <c r="BF54" s="361"/>
      <c r="BG54" s="361"/>
      <c r="BH54" s="361"/>
      <c r="BI54" s="361"/>
      <c r="BJ54" s="362"/>
    </row>
    <row r="55" spans="35:62" s="322" customFormat="1" ht="23.25" customHeight="1" x14ac:dyDescent="0.35">
      <c r="AI55" s="19"/>
      <c r="AK55" s="355">
        <v>0.43750000001455203</v>
      </c>
      <c r="AL55" s="366">
        <v>0.60416666666666696</v>
      </c>
      <c r="AM55" s="353"/>
      <c r="AN55" s="380"/>
      <c r="AO55" s="358"/>
      <c r="AP55" s="381"/>
      <c r="AQ55" s="358"/>
      <c r="AR55" s="358"/>
      <c r="AS55" s="358"/>
      <c r="AT55" s="358"/>
      <c r="AU55" s="358"/>
      <c r="AV55" s="359"/>
      <c r="AW55" s="360">
        <v>50</v>
      </c>
      <c r="AX55" s="361"/>
      <c r="AY55" s="361"/>
      <c r="AZ55" s="361"/>
      <c r="BA55" s="361"/>
      <c r="BB55" s="361"/>
      <c r="BC55" s="382"/>
      <c r="BD55" s="360">
        <v>50</v>
      </c>
      <c r="BE55" s="361"/>
      <c r="BF55" s="361"/>
      <c r="BG55" s="361"/>
      <c r="BH55" s="361"/>
      <c r="BI55" s="361"/>
      <c r="BJ55" s="362"/>
    </row>
    <row r="56" spans="35:62" s="322" customFormat="1" ht="23.25" customHeight="1" x14ac:dyDescent="0.35">
      <c r="AI56" s="19"/>
      <c r="AK56" s="355">
        <v>0.45833333335031001</v>
      </c>
      <c r="AL56" s="366">
        <v>0.625</v>
      </c>
      <c r="AM56" s="353"/>
      <c r="AN56" s="380"/>
      <c r="AO56" s="358"/>
      <c r="AP56" s="381"/>
      <c r="AQ56" s="358"/>
      <c r="AR56" s="358"/>
      <c r="AS56" s="358"/>
      <c r="AT56" s="358"/>
      <c r="AU56" s="358"/>
      <c r="AV56" s="359"/>
      <c r="AW56" s="360">
        <v>50</v>
      </c>
      <c r="AX56" s="361"/>
      <c r="AY56" s="361"/>
      <c r="AZ56" s="361"/>
      <c r="BA56" s="361"/>
      <c r="BB56" s="361"/>
      <c r="BC56" s="382"/>
      <c r="BD56" s="360">
        <v>50</v>
      </c>
      <c r="BE56" s="361"/>
      <c r="BF56" s="361"/>
      <c r="BG56" s="361"/>
      <c r="BH56" s="361"/>
      <c r="BI56" s="361"/>
      <c r="BJ56" s="362"/>
    </row>
    <row r="57" spans="35:62" s="322" customFormat="1" ht="23.25" customHeight="1" x14ac:dyDescent="0.35">
      <c r="AI57" s="19"/>
      <c r="AK57" s="355">
        <v>0.479166666686069</v>
      </c>
      <c r="AL57" s="366">
        <v>0.64583333333333304</v>
      </c>
      <c r="AM57" s="353"/>
      <c r="AN57" s="380"/>
      <c r="AO57" s="358"/>
      <c r="AP57" s="381"/>
      <c r="AQ57" s="358"/>
      <c r="AR57" s="358"/>
      <c r="AS57" s="358"/>
      <c r="AT57" s="358"/>
      <c r="AU57" s="358"/>
      <c r="AV57" s="359"/>
      <c r="AW57" s="360">
        <v>50</v>
      </c>
      <c r="AX57" s="361"/>
      <c r="AY57" s="361"/>
      <c r="AZ57" s="361"/>
      <c r="BA57" s="361"/>
      <c r="BB57" s="361"/>
      <c r="BC57" s="382"/>
      <c r="BD57" s="360">
        <v>50</v>
      </c>
      <c r="BE57" s="361"/>
      <c r="BF57" s="361"/>
      <c r="BG57" s="361"/>
      <c r="BH57" s="361"/>
      <c r="BI57" s="361"/>
      <c r="BJ57" s="362"/>
    </row>
    <row r="58" spans="35:62" s="322" customFormat="1" ht="23.25" customHeight="1" x14ac:dyDescent="0.35">
      <c r="AI58" s="19"/>
      <c r="AK58" s="355">
        <v>0.50000000002182798</v>
      </c>
      <c r="AL58" s="366">
        <v>0.66666666666666696</v>
      </c>
      <c r="AM58" s="353"/>
      <c r="AN58" s="380"/>
      <c r="AO58" s="358"/>
      <c r="AP58" s="381"/>
      <c r="AQ58" s="358"/>
      <c r="AR58" s="358"/>
      <c r="AS58" s="358"/>
      <c r="AT58" s="358"/>
      <c r="AU58" s="358"/>
      <c r="AV58" s="359"/>
      <c r="AW58" s="360">
        <v>50</v>
      </c>
      <c r="AX58" s="361"/>
      <c r="AY58" s="361"/>
      <c r="AZ58" s="361"/>
      <c r="BA58" s="361"/>
      <c r="BB58" s="361"/>
      <c r="BC58" s="382"/>
      <c r="BD58" s="360">
        <v>50</v>
      </c>
      <c r="BE58" s="361"/>
      <c r="BF58" s="361"/>
      <c r="BG58" s="361"/>
      <c r="BH58" s="361"/>
      <c r="BI58" s="361"/>
      <c r="BJ58" s="362"/>
    </row>
    <row r="59" spans="35:62" s="322" customFormat="1" ht="23.25" customHeight="1" x14ac:dyDescent="0.35">
      <c r="AI59" s="19"/>
      <c r="AK59" s="355">
        <v>0.52083333335758597</v>
      </c>
      <c r="AL59" s="366">
        <v>0.6875</v>
      </c>
      <c r="AM59" s="353"/>
      <c r="AN59" s="380"/>
      <c r="AO59" s="358"/>
      <c r="AP59" s="381"/>
      <c r="AQ59" s="358"/>
      <c r="AR59" s="358"/>
      <c r="AS59" s="358"/>
      <c r="AT59" s="358"/>
      <c r="AU59" s="358"/>
      <c r="AV59" s="359"/>
      <c r="AW59" s="360">
        <v>50</v>
      </c>
      <c r="AX59" s="361"/>
      <c r="AY59" s="361"/>
      <c r="AZ59" s="361"/>
      <c r="BA59" s="361"/>
      <c r="BB59" s="361"/>
      <c r="BC59" s="382"/>
      <c r="BD59" s="383"/>
      <c r="BE59" s="361"/>
      <c r="BF59" s="361"/>
      <c r="BG59" s="361"/>
      <c r="BH59" s="361"/>
      <c r="BI59" s="361"/>
      <c r="BJ59" s="362"/>
    </row>
    <row r="60" spans="35:62" s="322" customFormat="1" ht="23.25" customHeight="1" x14ac:dyDescent="0.35">
      <c r="AI60" s="19"/>
      <c r="AK60" s="355">
        <v>0.54166666669334496</v>
      </c>
      <c r="AL60" s="366">
        <v>0.70833333333333304</v>
      </c>
      <c r="AM60" s="353"/>
      <c r="AN60" s="380"/>
      <c r="AO60" s="358"/>
      <c r="AP60" s="381"/>
      <c r="AQ60" s="358"/>
      <c r="AR60" s="358"/>
      <c r="AS60" s="358"/>
      <c r="AT60" s="358"/>
      <c r="AU60" s="358"/>
      <c r="AV60" s="359"/>
      <c r="AW60" s="360">
        <v>50</v>
      </c>
      <c r="AX60" s="361"/>
      <c r="AY60" s="361"/>
      <c r="AZ60" s="361"/>
      <c r="BA60" s="361"/>
      <c r="BB60" s="361"/>
      <c r="BC60" s="382"/>
      <c r="BD60" s="383"/>
      <c r="BE60" s="361"/>
      <c r="BF60" s="361"/>
      <c r="BG60" s="361"/>
      <c r="BH60" s="361"/>
      <c r="BI60" s="361"/>
      <c r="BJ60" s="362"/>
    </row>
    <row r="61" spans="35:62" s="322" customFormat="1" ht="23.25" customHeight="1" x14ac:dyDescent="0.35">
      <c r="AI61" s="19"/>
      <c r="AK61" s="355">
        <v>0.56250000002910305</v>
      </c>
      <c r="AL61" s="366">
        <v>0.72916666666666696</v>
      </c>
      <c r="AM61" s="353"/>
      <c r="AN61" s="380"/>
      <c r="AO61" s="358"/>
      <c r="AP61" s="381"/>
      <c r="AQ61" s="358"/>
      <c r="AR61" s="358"/>
      <c r="AS61" s="358"/>
      <c r="AT61" s="358"/>
      <c r="AU61" s="358"/>
      <c r="AV61" s="359"/>
      <c r="AW61" s="360">
        <v>5</v>
      </c>
      <c r="AX61" s="361"/>
      <c r="AY61" s="361"/>
      <c r="AZ61" s="361"/>
      <c r="BA61" s="361"/>
      <c r="BB61" s="361"/>
      <c r="BC61" s="382"/>
      <c r="BD61" s="383"/>
      <c r="BE61" s="361"/>
      <c r="BF61" s="361"/>
      <c r="BG61" s="361"/>
      <c r="BH61" s="361"/>
      <c r="BI61" s="361"/>
      <c r="BJ61" s="362"/>
    </row>
    <row r="62" spans="35:62" s="322" customFormat="1" ht="23.25" customHeight="1" x14ac:dyDescent="0.35">
      <c r="AI62" s="19">
        <f t="shared" ref="AI62:AI67" si="37">IF(AI29-AI30&lt;0,0,AI29-AI30)</f>
        <v>0</v>
      </c>
      <c r="AK62" s="355">
        <v>0.58333333336486204</v>
      </c>
      <c r="AL62" s="366">
        <v>0.75</v>
      </c>
      <c r="AM62" s="353"/>
      <c r="AN62" s="380"/>
      <c r="AO62" s="358"/>
      <c r="AP62" s="381"/>
      <c r="AQ62" s="358"/>
      <c r="AR62" s="358">
        <v>100</v>
      </c>
      <c r="AS62" s="358"/>
      <c r="AT62" s="358"/>
      <c r="AU62" s="358"/>
      <c r="AV62" s="359"/>
      <c r="AW62" s="360">
        <v>50</v>
      </c>
      <c r="AX62" s="361"/>
      <c r="AY62" s="361"/>
      <c r="AZ62" s="361"/>
      <c r="BA62" s="361"/>
      <c r="BB62" s="361"/>
      <c r="BC62" s="382"/>
      <c r="BD62" s="383"/>
      <c r="BE62" s="361"/>
      <c r="BF62" s="361"/>
      <c r="BG62" s="361"/>
      <c r="BH62" s="361"/>
      <c r="BI62" s="361"/>
      <c r="BJ62" s="362"/>
    </row>
    <row r="63" spans="35:62" s="322" customFormat="1" ht="23.25" customHeight="1" x14ac:dyDescent="0.35">
      <c r="AI63" s="19">
        <f t="shared" si="37"/>
        <v>0</v>
      </c>
      <c r="AK63" s="355">
        <v>0.60416666670062102</v>
      </c>
      <c r="AL63" s="366">
        <v>0.77083333333333404</v>
      </c>
      <c r="AM63" s="353"/>
      <c r="AN63" s="380"/>
      <c r="AO63" s="358"/>
      <c r="AP63" s="381">
        <v>100</v>
      </c>
      <c r="AQ63" s="358"/>
      <c r="AR63" s="358"/>
      <c r="AS63" s="358"/>
      <c r="AT63" s="358"/>
      <c r="AU63" s="358"/>
      <c r="AV63" s="359"/>
      <c r="AW63" s="360">
        <v>50</v>
      </c>
      <c r="AX63" s="361"/>
      <c r="AY63" s="361"/>
      <c r="AZ63" s="361"/>
      <c r="BA63" s="361"/>
      <c r="BB63" s="361"/>
      <c r="BC63" s="382"/>
      <c r="BD63" s="383"/>
      <c r="BE63" s="361"/>
      <c r="BF63" s="361"/>
      <c r="BG63" s="361"/>
      <c r="BH63" s="361"/>
      <c r="BI63" s="361"/>
      <c r="BJ63" s="362"/>
    </row>
    <row r="64" spans="35:62" s="322" customFormat="1" ht="23.25" customHeight="1" x14ac:dyDescent="0.35">
      <c r="AI64" s="19">
        <f t="shared" si="37"/>
        <v>0</v>
      </c>
      <c r="AK64" s="355">
        <v>0.62500000003637901</v>
      </c>
      <c r="AL64" s="366">
        <v>0.79166666666666696</v>
      </c>
      <c r="AM64" s="353"/>
      <c r="AN64" s="380"/>
      <c r="AO64" s="358"/>
      <c r="AP64" s="381"/>
      <c r="AQ64" s="358">
        <v>100</v>
      </c>
      <c r="AR64" s="358"/>
      <c r="AS64" s="358"/>
      <c r="AT64" s="358"/>
      <c r="AU64" s="358"/>
      <c r="AV64" s="359"/>
      <c r="AW64" s="360">
        <v>50</v>
      </c>
      <c r="AX64" s="361"/>
      <c r="AY64" s="361"/>
      <c r="AZ64" s="361"/>
      <c r="BA64" s="361"/>
      <c r="BB64" s="361"/>
      <c r="BC64" s="382"/>
      <c r="BD64" s="383"/>
      <c r="BE64" s="361"/>
      <c r="BF64" s="361"/>
      <c r="BG64" s="361"/>
      <c r="BH64" s="361"/>
      <c r="BI64" s="361"/>
      <c r="BJ64" s="362"/>
    </row>
    <row r="65" spans="35:62" s="322" customFormat="1" ht="23.25" customHeight="1" x14ac:dyDescent="0.35">
      <c r="AI65" s="19">
        <f t="shared" si="37"/>
        <v>0</v>
      </c>
      <c r="AK65" s="355">
        <v>0.645833333372138</v>
      </c>
      <c r="AL65" s="366">
        <v>0.8125</v>
      </c>
      <c r="AM65" s="353"/>
      <c r="AN65" s="380"/>
      <c r="AO65" s="358"/>
      <c r="AP65" s="381"/>
      <c r="AQ65" s="358"/>
      <c r="AR65" s="358"/>
      <c r="AS65" s="358"/>
      <c r="AT65" s="358"/>
      <c r="AU65" s="358"/>
      <c r="AV65" s="359"/>
      <c r="AW65" s="360">
        <v>50</v>
      </c>
      <c r="AX65" s="361"/>
      <c r="AY65" s="361"/>
      <c r="AZ65" s="361"/>
      <c r="BA65" s="361"/>
      <c r="BB65" s="361"/>
      <c r="BC65" s="382"/>
      <c r="BD65" s="383"/>
      <c r="BE65" s="361"/>
      <c r="BF65" s="361"/>
      <c r="BG65" s="361"/>
      <c r="BH65" s="361"/>
      <c r="BI65" s="361"/>
      <c r="BJ65" s="362"/>
    </row>
    <row r="66" spans="35:62" s="322" customFormat="1" ht="23.25" customHeight="1" x14ac:dyDescent="0.35">
      <c r="AI66" s="19">
        <f t="shared" si="37"/>
        <v>0</v>
      </c>
      <c r="AK66" s="355">
        <v>0.66666666670789698</v>
      </c>
      <c r="AL66" s="366">
        <v>0.83333333333333404</v>
      </c>
      <c r="AM66" s="353"/>
      <c r="AN66" s="380"/>
      <c r="AO66" s="358"/>
      <c r="AP66" s="381"/>
      <c r="AQ66" s="358"/>
      <c r="AR66" s="358"/>
      <c r="AS66" s="358"/>
      <c r="AT66" s="358">
        <v>100</v>
      </c>
      <c r="AU66" s="358"/>
      <c r="AV66" s="359"/>
      <c r="AW66" s="360">
        <v>50</v>
      </c>
      <c r="AX66" s="361"/>
      <c r="AY66" s="361"/>
      <c r="AZ66" s="361"/>
      <c r="BA66" s="361"/>
      <c r="BB66" s="361"/>
      <c r="BC66" s="382"/>
      <c r="BD66" s="383"/>
      <c r="BE66" s="361"/>
      <c r="BF66" s="361"/>
      <c r="BG66" s="361"/>
      <c r="BH66" s="361"/>
      <c r="BI66" s="361"/>
      <c r="BJ66" s="362"/>
    </row>
    <row r="67" spans="35:62" s="322" customFormat="1" ht="23.25" customHeight="1" x14ac:dyDescent="0.35">
      <c r="AI67" s="19">
        <f t="shared" si="37"/>
        <v>0</v>
      </c>
      <c r="AK67" s="355">
        <v>0.68750000004365497</v>
      </c>
      <c r="AL67" s="366">
        <v>0.85416666666666696</v>
      </c>
      <c r="AM67" s="353"/>
      <c r="AN67" s="380"/>
      <c r="AO67" s="358"/>
      <c r="AP67" s="381"/>
      <c r="AQ67" s="358"/>
      <c r="AR67" s="358"/>
      <c r="AS67" s="358"/>
      <c r="AT67" s="358"/>
      <c r="AU67" s="358"/>
      <c r="AV67" s="359"/>
      <c r="AW67" s="360">
        <v>50</v>
      </c>
      <c r="AX67" s="361"/>
      <c r="AY67" s="361"/>
      <c r="AZ67" s="361"/>
      <c r="BA67" s="361"/>
      <c r="BB67" s="361"/>
      <c r="BC67" s="382"/>
      <c r="BD67" s="383"/>
      <c r="BE67" s="361"/>
      <c r="BF67" s="361"/>
      <c r="BG67" s="361"/>
      <c r="BH67" s="361"/>
      <c r="BI67" s="361"/>
      <c r="BJ67" s="362"/>
    </row>
    <row r="68" spans="35:62" s="322" customFormat="1" ht="23.25" customHeight="1" thickBot="1" x14ac:dyDescent="0.4">
      <c r="AI68" s="100">
        <f>IF(AI35&lt;0,0,AI35)</f>
        <v>0</v>
      </c>
      <c r="AK68" s="355">
        <v>0.70833333337941395</v>
      </c>
      <c r="AL68" s="366">
        <v>0.875</v>
      </c>
      <c r="AM68" s="353"/>
      <c r="AN68" s="380"/>
      <c r="AO68" s="358"/>
      <c r="AP68" s="381"/>
      <c r="AQ68" s="358"/>
      <c r="AR68" s="358"/>
      <c r="AS68" s="358"/>
      <c r="AT68" s="358"/>
      <c r="AU68" s="358"/>
      <c r="AV68" s="359"/>
      <c r="AW68" s="360">
        <v>50</v>
      </c>
      <c r="AX68" s="361"/>
      <c r="AY68" s="361"/>
      <c r="AZ68" s="361"/>
      <c r="BA68" s="361"/>
      <c r="BB68" s="361"/>
      <c r="BC68" s="382"/>
      <c r="BD68" s="383"/>
      <c r="BE68" s="361"/>
      <c r="BF68" s="361"/>
      <c r="BG68" s="361"/>
      <c r="BH68" s="361"/>
      <c r="BI68" s="361"/>
      <c r="BJ68" s="362"/>
    </row>
    <row r="69" spans="35:62" s="322" customFormat="1" ht="23.25" customHeight="1" thickBot="1" x14ac:dyDescent="0.4">
      <c r="AI69" s="105">
        <f>SUM(AI44:AI68)</f>
        <v>0</v>
      </c>
      <c r="AK69" s="355">
        <v>0.72916666671517305</v>
      </c>
      <c r="AL69" s="366">
        <v>0.89583333333333404</v>
      </c>
      <c r="AM69" s="353"/>
      <c r="AN69" s="380"/>
      <c r="AO69" s="358"/>
      <c r="AP69" s="381"/>
      <c r="AQ69" s="358"/>
      <c r="AR69" s="358"/>
      <c r="AS69" s="358"/>
      <c r="AT69" s="358"/>
      <c r="AU69" s="358"/>
      <c r="AV69" s="359"/>
      <c r="AW69" s="360">
        <v>50</v>
      </c>
      <c r="AX69" s="361"/>
      <c r="AY69" s="361"/>
      <c r="AZ69" s="361"/>
      <c r="BA69" s="361"/>
      <c r="BB69" s="361"/>
      <c r="BC69" s="382"/>
      <c r="BD69" s="383"/>
      <c r="BE69" s="361"/>
      <c r="BF69" s="361"/>
      <c r="BG69" s="361"/>
      <c r="BH69" s="361"/>
      <c r="BI69" s="361"/>
      <c r="BJ69" s="362"/>
    </row>
    <row r="70" spans="35:62" s="322" customFormat="1" ht="23.25" customHeight="1" thickBot="1" x14ac:dyDescent="0.4">
      <c r="AI70" s="21"/>
      <c r="AJ70" s="21"/>
      <c r="AK70" s="355">
        <v>0.75000000005093104</v>
      </c>
      <c r="AL70" s="366">
        <v>0.91666666666666696</v>
      </c>
      <c r="AM70" s="353"/>
      <c r="AN70" s="380"/>
      <c r="AO70" s="358"/>
      <c r="AP70" s="381"/>
      <c r="AQ70" s="358"/>
      <c r="AR70" s="358"/>
      <c r="AS70" s="358"/>
      <c r="AT70" s="358"/>
      <c r="AU70" s="358"/>
      <c r="AV70" s="359"/>
      <c r="AW70" s="360">
        <v>50</v>
      </c>
      <c r="AX70" s="361"/>
      <c r="AY70" s="361"/>
      <c r="AZ70" s="361"/>
      <c r="BA70" s="361"/>
      <c r="BB70" s="361"/>
      <c r="BC70" s="382"/>
      <c r="BD70" s="383"/>
      <c r="BE70" s="361"/>
      <c r="BF70" s="361"/>
      <c r="BG70" s="361"/>
      <c r="BH70" s="361"/>
      <c r="BI70" s="361"/>
      <c r="BJ70" s="362"/>
    </row>
    <row r="71" spans="35:62" s="322" customFormat="1" ht="23.25" customHeight="1" x14ac:dyDescent="0.35">
      <c r="AI71" s="29">
        <f>AI3</f>
        <v>15</v>
      </c>
      <c r="AJ71" s="399"/>
      <c r="AK71" s="412"/>
      <c r="AL71" s="413"/>
      <c r="AM71" s="353"/>
      <c r="AN71" s="380"/>
      <c r="AO71" s="358"/>
      <c r="AP71" s="381"/>
      <c r="AQ71" s="358"/>
      <c r="AR71" s="358"/>
      <c r="AS71" s="358"/>
      <c r="AT71" s="358"/>
      <c r="AU71" s="358"/>
      <c r="AV71" s="359"/>
      <c r="AW71" s="360"/>
      <c r="AX71" s="361"/>
      <c r="AY71" s="361"/>
      <c r="AZ71" s="361"/>
      <c r="BA71" s="361"/>
      <c r="BB71" s="361"/>
      <c r="BC71" s="382"/>
      <c r="BD71" s="383"/>
      <c r="BE71" s="361"/>
      <c r="BF71" s="361"/>
      <c r="BG71" s="361"/>
      <c r="BH71" s="361"/>
      <c r="BI71" s="361"/>
      <c r="BJ71" s="362"/>
    </row>
    <row r="72" spans="35:62" s="322" customFormat="1" ht="23.25" customHeight="1" thickBot="1" x14ac:dyDescent="0.4">
      <c r="AI72" s="7" t="str">
        <f>AI4</f>
        <v>Sun</v>
      </c>
      <c r="AJ72" s="420"/>
      <c r="AK72" s="412"/>
      <c r="AL72" s="413"/>
      <c r="AM72" s="353"/>
      <c r="AN72" s="401"/>
      <c r="AO72" s="402"/>
      <c r="AP72" s="403"/>
      <c r="AQ72" s="402"/>
      <c r="AR72" s="402"/>
      <c r="AS72" s="402"/>
      <c r="AT72" s="402"/>
      <c r="AU72" s="402"/>
      <c r="AV72" s="404"/>
      <c r="AW72" s="405"/>
      <c r="AX72" s="406"/>
      <c r="AY72" s="406"/>
      <c r="AZ72" s="406"/>
      <c r="BA72" s="406"/>
      <c r="BB72" s="406"/>
      <c r="BC72" s="407"/>
      <c r="BD72" s="408"/>
      <c r="BE72" s="406"/>
      <c r="BF72" s="406"/>
      <c r="BG72" s="406"/>
      <c r="BH72" s="406"/>
      <c r="BI72" s="406"/>
      <c r="BJ72" s="409"/>
    </row>
    <row r="73" spans="35:62" s="322" customFormat="1" ht="23.25" customHeight="1" thickBot="1" x14ac:dyDescent="0.4">
      <c r="AK73" s="412"/>
      <c r="AL73" s="413"/>
      <c r="AM73" s="399"/>
      <c r="BJ73" s="371"/>
    </row>
    <row r="74" spans="35:62" s="322" customFormat="1" ht="23.25" customHeight="1" thickBot="1" x14ac:dyDescent="0.4">
      <c r="AI74" s="351"/>
      <c r="AK74" s="417"/>
      <c r="AL74" s="418"/>
      <c r="AM74" s="418"/>
      <c r="AN74" s="23">
        <f t="shared" ref="AN74:BJ74" si="38">SUM(AN48:AN72)</f>
        <v>0</v>
      </c>
      <c r="AO74" s="23">
        <f t="shared" si="38"/>
        <v>0</v>
      </c>
      <c r="AP74" s="102">
        <f t="shared" si="38"/>
        <v>100</v>
      </c>
      <c r="AQ74" s="103">
        <f t="shared" si="38"/>
        <v>200</v>
      </c>
      <c r="AR74" s="103">
        <f t="shared" si="38"/>
        <v>100</v>
      </c>
      <c r="AS74" s="103">
        <f t="shared" si="38"/>
        <v>200</v>
      </c>
      <c r="AT74" s="103">
        <f t="shared" si="38"/>
        <v>100</v>
      </c>
      <c r="AU74" s="103">
        <f t="shared" si="38"/>
        <v>0</v>
      </c>
      <c r="AV74" s="105">
        <f t="shared" si="38"/>
        <v>0</v>
      </c>
      <c r="AW74" s="23">
        <f t="shared" si="38"/>
        <v>905</v>
      </c>
      <c r="AX74" s="23">
        <f t="shared" si="38"/>
        <v>0</v>
      </c>
      <c r="AY74" s="23">
        <f t="shared" si="38"/>
        <v>0</v>
      </c>
      <c r="AZ74" s="70">
        <f t="shared" si="38"/>
        <v>0</v>
      </c>
      <c r="BA74" s="22">
        <f t="shared" si="38"/>
        <v>0</v>
      </c>
      <c r="BB74" s="23">
        <f t="shared" si="38"/>
        <v>0</v>
      </c>
      <c r="BC74" s="23">
        <f t="shared" si="38"/>
        <v>0</v>
      </c>
      <c r="BD74" s="23">
        <f t="shared" si="38"/>
        <v>350</v>
      </c>
      <c r="BE74" s="23">
        <f t="shared" si="38"/>
        <v>0</v>
      </c>
      <c r="BF74" s="23">
        <f t="shared" si="38"/>
        <v>0</v>
      </c>
      <c r="BG74" s="70">
        <f t="shared" si="38"/>
        <v>0</v>
      </c>
      <c r="BH74" s="22">
        <f t="shared" si="38"/>
        <v>0</v>
      </c>
      <c r="BI74" s="23">
        <f t="shared" si="38"/>
        <v>0</v>
      </c>
      <c r="BJ74" s="24">
        <f t="shared" si="38"/>
        <v>0</v>
      </c>
    </row>
    <row r="75" spans="35:62" s="322" customFormat="1" ht="23.25" customHeight="1" x14ac:dyDescent="0.35">
      <c r="AI75" s="365"/>
      <c r="AJ75" s="399"/>
      <c r="AK75" s="399"/>
      <c r="AN75" s="399"/>
      <c r="AO75" s="399"/>
      <c r="AR75" s="420"/>
      <c r="AS75" s="420"/>
    </row>
    <row r="76" spans="35:62" s="322" customFormat="1" ht="23.25" customHeight="1" x14ac:dyDescent="0.35">
      <c r="AI76" s="365"/>
      <c r="AJ76" s="399"/>
      <c r="AK76" s="399"/>
      <c r="AN76" s="399"/>
      <c r="AO76" s="399"/>
      <c r="AR76" s="420"/>
      <c r="AS76" s="420"/>
    </row>
    <row r="77" spans="35:62" s="322" customFormat="1" ht="23.25" customHeight="1" x14ac:dyDescent="0.35">
      <c r="AI77" s="365"/>
      <c r="AJ77" s="399"/>
      <c r="AK77" s="399"/>
      <c r="AN77" s="399"/>
      <c r="AO77" s="399"/>
      <c r="AR77" s="420"/>
      <c r="AS77" s="420"/>
    </row>
    <row r="78" spans="35:62" s="322" customFormat="1" ht="23.25" customHeight="1" x14ac:dyDescent="0.35">
      <c r="AI78" s="365"/>
      <c r="AJ78" s="399"/>
      <c r="AK78" s="399"/>
      <c r="AN78" s="399"/>
      <c r="AO78" s="399"/>
      <c r="AR78" s="420"/>
      <c r="AS78" s="420"/>
    </row>
    <row r="79" spans="35:62" s="322" customFormat="1" ht="23.25" customHeight="1" x14ac:dyDescent="0.35">
      <c r="AI79" s="365"/>
      <c r="AJ79" s="399"/>
      <c r="AK79" s="399"/>
      <c r="AN79" s="399"/>
      <c r="AO79" s="399"/>
      <c r="AR79" s="420"/>
      <c r="AS79" s="420"/>
    </row>
    <row r="80" spans="35:62" s="322" customFormat="1" ht="23.25" customHeight="1" x14ac:dyDescent="0.35">
      <c r="AI80" s="365"/>
      <c r="AJ80" s="399"/>
      <c r="AK80" s="399"/>
      <c r="AN80" s="399"/>
      <c r="AO80" s="399"/>
      <c r="AR80" s="420"/>
      <c r="AS80" s="420"/>
    </row>
    <row r="81" spans="2:45" s="322" customFormat="1" ht="23.25" customHeight="1" x14ac:dyDescent="0.35">
      <c r="AI81" s="365"/>
      <c r="AJ81" s="399"/>
      <c r="AK81" s="399"/>
      <c r="AN81" s="399"/>
      <c r="AO81" s="399"/>
      <c r="AR81" s="420"/>
      <c r="AS81" s="420"/>
    </row>
    <row r="82" spans="2:45" s="322" customFormat="1" ht="23.25" customHeight="1" x14ac:dyDescent="0.35">
      <c r="AI82" s="365"/>
      <c r="AJ82" s="399"/>
      <c r="AK82" s="399"/>
      <c r="AN82" s="399"/>
      <c r="AO82" s="399"/>
      <c r="AR82" s="420"/>
      <c r="AS82" s="420"/>
    </row>
    <row r="83" spans="2:45" s="322" customFormat="1" ht="23.25" customHeight="1" x14ac:dyDescent="0.35">
      <c r="AI83" s="365"/>
      <c r="AJ83" s="399"/>
      <c r="AK83" s="399"/>
      <c r="AN83" s="399"/>
      <c r="AO83" s="399"/>
      <c r="AR83" s="420"/>
      <c r="AS83" s="420"/>
    </row>
    <row r="84" spans="2:45" s="322" customFormat="1" ht="23.25" customHeight="1" x14ac:dyDescent="0.35">
      <c r="AI84" s="365"/>
      <c r="AJ84" s="399"/>
      <c r="AK84" s="399"/>
      <c r="AN84" s="399"/>
      <c r="AO84" s="399"/>
      <c r="AR84" s="420"/>
      <c r="AS84" s="420"/>
    </row>
    <row r="85" spans="2:45" s="322" customFormat="1" ht="23.25" customHeight="1" x14ac:dyDescent="0.35">
      <c r="AI85" s="365"/>
      <c r="AJ85" s="399"/>
      <c r="AK85" s="399"/>
      <c r="AN85" s="399"/>
      <c r="AO85" s="399"/>
      <c r="AR85" s="420"/>
      <c r="AS85" s="420"/>
    </row>
    <row r="86" spans="2:45" s="322" customFormat="1" ht="23.25" customHeight="1" x14ac:dyDescent="0.35">
      <c r="AI86" s="365"/>
      <c r="AJ86" s="428"/>
      <c r="AK86" s="399"/>
      <c r="AN86" s="399"/>
      <c r="AO86" s="399"/>
      <c r="AR86" s="420"/>
      <c r="AS86" s="420"/>
    </row>
    <row r="87" spans="2:45" s="322" customFormat="1" ht="23.25" customHeight="1" thickBot="1" x14ac:dyDescent="0.4">
      <c r="AI87" s="396"/>
      <c r="AJ87" s="399"/>
      <c r="AK87" s="399"/>
      <c r="AN87" s="399"/>
      <c r="AO87" s="399"/>
      <c r="AR87" s="420"/>
      <c r="AS87" s="420"/>
    </row>
    <row r="88" spans="2:45" s="322" customFormat="1" ht="23.25" customHeight="1" thickBot="1" x14ac:dyDescent="0.4">
      <c r="AI88" s="23">
        <f>SUM(AI74:AI87)</f>
        <v>0</v>
      </c>
      <c r="AJ88" s="399"/>
      <c r="AK88" s="399"/>
      <c r="AN88" s="399"/>
      <c r="AO88" s="399"/>
      <c r="AR88" s="420"/>
      <c r="AS88" s="420"/>
    </row>
    <row r="89" spans="2:45" s="322" customFormat="1" ht="23.25" customHeight="1" x14ac:dyDescent="0.35">
      <c r="B89" s="413"/>
      <c r="C89" s="413"/>
      <c r="D89" s="399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  <c r="AA89" s="399"/>
      <c r="AB89" s="399"/>
      <c r="AC89" s="399"/>
      <c r="AD89" s="399"/>
      <c r="AE89" s="399"/>
      <c r="AF89" s="399"/>
      <c r="AG89" s="399"/>
      <c r="AH89" s="399"/>
      <c r="AI89" s="399"/>
      <c r="AJ89" s="399"/>
      <c r="AK89" s="399"/>
      <c r="AN89" s="399"/>
      <c r="AO89" s="399"/>
      <c r="AR89" s="420"/>
      <c r="AS89" s="420"/>
    </row>
    <row r="90" spans="2:45" s="322" customFormat="1" ht="23.25" hidden="1" customHeight="1" x14ac:dyDescent="0.35">
      <c r="B90" s="429" t="s">
        <v>0</v>
      </c>
      <c r="C90" s="430" t="s">
        <v>1</v>
      </c>
      <c r="D90" s="399"/>
      <c r="E90" s="2">
        <f t="shared" ref="E90:N91" si="39">AN3</f>
        <v>0</v>
      </c>
      <c r="F90" s="28">
        <f t="shared" si="39"/>
        <v>0</v>
      </c>
      <c r="G90" s="28">
        <f t="shared" si="39"/>
        <v>0</v>
      </c>
      <c r="H90" s="28">
        <f t="shared" si="39"/>
        <v>0</v>
      </c>
      <c r="I90" s="28">
        <f t="shared" si="39"/>
        <v>0</v>
      </c>
      <c r="J90" s="28">
        <f t="shared" si="39"/>
        <v>0</v>
      </c>
      <c r="K90" s="28">
        <f t="shared" si="39"/>
        <v>0</v>
      </c>
      <c r="L90" s="28">
        <f t="shared" si="39"/>
        <v>0</v>
      </c>
      <c r="M90" s="28">
        <f t="shared" si="39"/>
        <v>0</v>
      </c>
      <c r="N90" s="28">
        <f t="shared" si="39"/>
        <v>0</v>
      </c>
      <c r="O90" s="28">
        <f t="shared" ref="O90:X91" si="40">AX3</f>
        <v>0</v>
      </c>
      <c r="P90" s="28">
        <f t="shared" si="40"/>
        <v>0</v>
      </c>
      <c r="Q90" s="28">
        <f t="shared" si="40"/>
        <v>0</v>
      </c>
      <c r="R90" s="28">
        <f t="shared" si="40"/>
        <v>0</v>
      </c>
      <c r="S90" s="28">
        <f t="shared" si="40"/>
        <v>0</v>
      </c>
      <c r="T90" s="28">
        <f t="shared" si="40"/>
        <v>0</v>
      </c>
      <c r="U90" s="28">
        <f t="shared" si="40"/>
        <v>0</v>
      </c>
      <c r="V90" s="28">
        <f t="shared" si="40"/>
        <v>0</v>
      </c>
      <c r="W90" s="28">
        <f t="shared" si="40"/>
        <v>0</v>
      </c>
      <c r="X90" s="28">
        <f t="shared" si="40"/>
        <v>0</v>
      </c>
      <c r="Y90" s="28">
        <f t="shared" ref="Y90:AH91" si="41">BH3</f>
        <v>0</v>
      </c>
      <c r="Z90" s="28">
        <f t="shared" si="41"/>
        <v>0</v>
      </c>
      <c r="AA90" s="28">
        <f t="shared" si="41"/>
        <v>0</v>
      </c>
      <c r="AB90" s="28">
        <f t="shared" si="41"/>
        <v>0</v>
      </c>
      <c r="AC90" s="28">
        <f t="shared" si="41"/>
        <v>0</v>
      </c>
      <c r="AD90" s="28">
        <f t="shared" si="41"/>
        <v>0</v>
      </c>
      <c r="AE90" s="28">
        <f t="shared" si="41"/>
        <v>0</v>
      </c>
      <c r="AF90" s="28">
        <f t="shared" si="41"/>
        <v>0</v>
      </c>
      <c r="AG90" s="28">
        <f t="shared" si="41"/>
        <v>0</v>
      </c>
      <c r="AH90" s="28">
        <f t="shared" si="41"/>
        <v>0</v>
      </c>
      <c r="AI90" s="29">
        <f>AI41</f>
        <v>15</v>
      </c>
      <c r="AJ90" s="399"/>
      <c r="AK90" s="399"/>
      <c r="AN90" s="399"/>
      <c r="AO90" s="399"/>
      <c r="AR90" s="420"/>
      <c r="AS90" s="420"/>
    </row>
    <row r="91" spans="2:45" s="322" customFormat="1" ht="23.25" hidden="1" customHeight="1" thickBot="1" x14ac:dyDescent="0.4">
      <c r="B91" s="431" t="s">
        <v>2</v>
      </c>
      <c r="C91" s="432" t="s">
        <v>3</v>
      </c>
      <c r="D91" s="30"/>
      <c r="E91" s="4" t="str">
        <f t="shared" si="39"/>
        <v>Sat</v>
      </c>
      <c r="F91" s="5" t="str">
        <f t="shared" si="39"/>
        <v>Sat</v>
      </c>
      <c r="G91" s="5" t="str">
        <f t="shared" si="39"/>
        <v>Mon</v>
      </c>
      <c r="H91" s="5" t="str">
        <f t="shared" si="39"/>
        <v>Tue</v>
      </c>
      <c r="I91" s="5" t="str">
        <f t="shared" si="39"/>
        <v>Wed</v>
      </c>
      <c r="J91" s="5" t="str">
        <f t="shared" si="39"/>
        <v>Thu</v>
      </c>
      <c r="K91" s="5" t="str">
        <f t="shared" si="39"/>
        <v>Fri</v>
      </c>
      <c r="L91" s="5" t="str">
        <f t="shared" si="39"/>
        <v>Sat</v>
      </c>
      <c r="M91" s="5" t="str">
        <f t="shared" si="39"/>
        <v>Sun</v>
      </c>
      <c r="N91" s="5" t="str">
        <f t="shared" si="39"/>
        <v>Mon</v>
      </c>
      <c r="O91" s="5" t="str">
        <f t="shared" si="40"/>
        <v>Tue</v>
      </c>
      <c r="P91" s="5" t="str">
        <f t="shared" si="40"/>
        <v>Wed</v>
      </c>
      <c r="Q91" s="5" t="str">
        <f t="shared" si="40"/>
        <v>Thu</v>
      </c>
      <c r="R91" s="5" t="str">
        <f t="shared" si="40"/>
        <v>Fri</v>
      </c>
      <c r="S91" s="5" t="str">
        <f t="shared" si="40"/>
        <v>Sat</v>
      </c>
      <c r="T91" s="5" t="str">
        <f t="shared" si="40"/>
        <v>Sun</v>
      </c>
      <c r="U91" s="5" t="str">
        <f t="shared" si="40"/>
        <v>Mon</v>
      </c>
      <c r="V91" s="5" t="str">
        <f t="shared" si="40"/>
        <v>Tue</v>
      </c>
      <c r="W91" s="5" t="str">
        <f t="shared" si="40"/>
        <v>Wed</v>
      </c>
      <c r="X91" s="5" t="str">
        <f t="shared" si="40"/>
        <v>Thu</v>
      </c>
      <c r="Y91" s="5" t="str">
        <f t="shared" si="41"/>
        <v>Fri</v>
      </c>
      <c r="Z91" s="5" t="str">
        <f t="shared" si="41"/>
        <v>Sat</v>
      </c>
      <c r="AA91" s="5" t="str">
        <f t="shared" si="41"/>
        <v>Sun</v>
      </c>
      <c r="AB91" s="5" t="str">
        <f t="shared" si="41"/>
        <v>Sun</v>
      </c>
      <c r="AC91" s="5" t="str">
        <f t="shared" si="41"/>
        <v>Mon</v>
      </c>
      <c r="AD91" s="5" t="str">
        <f t="shared" si="41"/>
        <v>Tue</v>
      </c>
      <c r="AE91" s="5" t="str">
        <f t="shared" si="41"/>
        <v>Wed</v>
      </c>
      <c r="AF91" s="5" t="str">
        <f t="shared" si="41"/>
        <v>Thu</v>
      </c>
      <c r="AG91" s="5" t="str">
        <f t="shared" si="41"/>
        <v>Fri</v>
      </c>
      <c r="AH91" s="5" t="str">
        <f t="shared" si="41"/>
        <v>Sat</v>
      </c>
      <c r="AI91" s="7" t="str">
        <f>AI42</f>
        <v>Sun</v>
      </c>
      <c r="AJ91" s="420"/>
      <c r="AK91" s="420"/>
      <c r="AL91" s="420"/>
      <c r="AM91" s="420"/>
      <c r="AN91" s="420"/>
      <c r="AO91" s="420"/>
      <c r="AR91" s="420"/>
      <c r="AS91" s="420"/>
    </row>
    <row r="92" spans="2:45" s="322" customFormat="1" ht="23.25" hidden="1" customHeight="1" x14ac:dyDescent="0.35">
      <c r="B92" s="21"/>
      <c r="C92" s="21"/>
      <c r="D92" s="420"/>
      <c r="E92" s="420"/>
      <c r="F92" s="420"/>
      <c r="G92" s="420"/>
      <c r="H92" s="420"/>
      <c r="I92" s="420"/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0"/>
      <c r="V92" s="420"/>
      <c r="W92" s="420"/>
      <c r="X92" s="420"/>
      <c r="Y92" s="420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399"/>
      <c r="AK92" s="399"/>
      <c r="AN92" s="399"/>
      <c r="AO92" s="399"/>
      <c r="AR92" s="420"/>
      <c r="AS92" s="420"/>
    </row>
    <row r="93" spans="2:45" s="322" customFormat="1" ht="23.25" hidden="1" customHeight="1" x14ac:dyDescent="0.35">
      <c r="B93" s="433">
        <v>0.29166666666424135</v>
      </c>
      <c r="C93" s="434">
        <v>0.645833333372138</v>
      </c>
      <c r="D93" s="420"/>
      <c r="E93" s="31"/>
      <c r="F93" s="32"/>
      <c r="G93" s="32"/>
      <c r="H93" s="32"/>
      <c r="I93" s="32"/>
      <c r="J93" s="32"/>
      <c r="K93" s="32" t="e">
        <f t="shared" ref="K93:V93" si="42">SUM(AT6:AT7)/AT$20</f>
        <v>#DIV/0!</v>
      </c>
      <c r="L93" s="32" t="e">
        <f t="shared" si="42"/>
        <v>#DIV/0!</v>
      </c>
      <c r="M93" s="32" t="e">
        <f t="shared" si="42"/>
        <v>#DIV/0!</v>
      </c>
      <c r="N93" s="32">
        <f t="shared" si="42"/>
        <v>0.13637576106561888</v>
      </c>
      <c r="O93" s="32">
        <f t="shared" si="42"/>
        <v>0.18485318881167034</v>
      </c>
      <c r="P93" s="32">
        <f t="shared" si="42"/>
        <v>0.20020189700095717</v>
      </c>
      <c r="Q93" s="74">
        <f t="shared" si="42"/>
        <v>0.19593208963673633</v>
      </c>
      <c r="R93" s="31">
        <f t="shared" si="42"/>
        <v>0.25661687086460977</v>
      </c>
      <c r="S93" s="32">
        <f t="shared" si="42"/>
        <v>0</v>
      </c>
      <c r="T93" s="32">
        <f t="shared" si="42"/>
        <v>0</v>
      </c>
      <c r="U93" s="32">
        <f t="shared" si="42"/>
        <v>0.13637576106561888</v>
      </c>
      <c r="V93" s="32">
        <f t="shared" si="42"/>
        <v>0.18485318881167034</v>
      </c>
      <c r="W93" s="32"/>
      <c r="X93" s="33"/>
      <c r="Y93" s="31">
        <f>SUM(BH6:BH7)/BH$20</f>
        <v>0.25661687086460977</v>
      </c>
      <c r="Z93" s="32">
        <f>SUM(BI6:BI7)/BI$20</f>
        <v>0</v>
      </c>
      <c r="AA93" s="32">
        <f>SUM(BJ6:BJ7)/BJ$20</f>
        <v>0</v>
      </c>
      <c r="AB93" s="32" t="e">
        <f>SUM(BK6:BK7)/BK$20</f>
        <v>#DIV/0!</v>
      </c>
      <c r="AC93" s="32"/>
      <c r="AD93" s="32"/>
      <c r="AE93" s="33" t="e">
        <f>SUM(BN6:BN7)/BN$20</f>
        <v>#DIV/0!</v>
      </c>
      <c r="AF93" s="78"/>
      <c r="AG93" s="32"/>
      <c r="AH93" s="32"/>
      <c r="AI93" s="33"/>
      <c r="AJ93" s="399"/>
      <c r="AK93" s="399"/>
      <c r="AN93" s="399"/>
      <c r="AO93" s="399"/>
      <c r="AR93" s="420"/>
      <c r="AS93" s="420"/>
    </row>
    <row r="94" spans="2:45" s="322" customFormat="1" ht="23.25" hidden="1" customHeight="1" x14ac:dyDescent="0.35">
      <c r="B94" s="355">
        <v>0.3125</v>
      </c>
      <c r="C94" s="435">
        <v>0.66666666670789698</v>
      </c>
      <c r="D94" s="420"/>
      <c r="E94" s="34"/>
      <c r="F94" s="35"/>
      <c r="G94" s="35"/>
      <c r="H94" s="35"/>
      <c r="I94" s="35"/>
      <c r="J94" s="35"/>
      <c r="K94" s="35">
        <f>SUM(AT25:AT26)/AT$40</f>
        <v>0</v>
      </c>
      <c r="L94" s="35" t="e">
        <f>SUM(AU25:AU26)/AU$40</f>
        <v>#DIV/0!</v>
      </c>
      <c r="M94" s="35" t="e">
        <f>SUM(AV25:AV26)/AV$40</f>
        <v>#DIV/0!</v>
      </c>
      <c r="N94" s="35">
        <f>SUM(AW25:AW26)/AW$40</f>
        <v>0.13637576106561891</v>
      </c>
      <c r="O94" s="35">
        <f>SUM(AX25:AX26)/AX$40</f>
        <v>0.18485318881167034</v>
      </c>
      <c r="P94" s="35"/>
      <c r="Q94" s="75"/>
      <c r="R94" s="34">
        <f>SUM(BA25:BA26)/BA$40</f>
        <v>0.25661687086460977</v>
      </c>
      <c r="S94" s="35">
        <f>SUM(BB25:BB26)/BB$40</f>
        <v>0</v>
      </c>
      <c r="T94" s="35">
        <f>SUM(BC25:BC26)/BC$40</f>
        <v>0</v>
      </c>
      <c r="U94" s="35" t="e">
        <f>SUM(BD25:BD26)/BD$40</f>
        <v>#DIV/0!</v>
      </c>
      <c r="V94" s="35">
        <f>SUM(BE25:BE26)/BE$40</f>
        <v>0.18485318881167034</v>
      </c>
      <c r="W94" s="35"/>
      <c r="X94" s="36"/>
      <c r="Y94" s="34">
        <f>SUM(BH25:BH26)/BH$40</f>
        <v>0.25661687086460977</v>
      </c>
      <c r="Z94" s="35">
        <f>SUM(BI25:BI26)/BI$40</f>
        <v>0</v>
      </c>
      <c r="AA94" s="35">
        <f>SUM(BJ25:BJ26)/BJ$40</f>
        <v>0</v>
      </c>
      <c r="AB94" s="35" t="e">
        <f>SUM(BK25:BK26)/BK$40</f>
        <v>#DIV/0!</v>
      </c>
      <c r="AC94" s="35"/>
      <c r="AD94" s="35"/>
      <c r="AE94" s="36"/>
      <c r="AF94" s="79"/>
      <c r="AG94" s="35"/>
      <c r="AH94" s="35"/>
      <c r="AI94" s="36"/>
      <c r="AJ94" s="399"/>
      <c r="AK94" s="399"/>
      <c r="AN94" s="399"/>
      <c r="AO94" s="399"/>
      <c r="AR94" s="420"/>
      <c r="AS94" s="420"/>
    </row>
    <row r="95" spans="2:45" s="322" customFormat="1" ht="23.25" hidden="1" customHeight="1" x14ac:dyDescent="0.35">
      <c r="B95" s="355">
        <v>0.33333333333575865</v>
      </c>
      <c r="C95" s="435">
        <v>0.68750000004365597</v>
      </c>
      <c r="D95" s="420"/>
      <c r="E95" s="37"/>
      <c r="F95" s="38"/>
      <c r="G95" s="38"/>
      <c r="H95" s="38"/>
      <c r="I95" s="38"/>
      <c r="J95" s="38"/>
      <c r="K95" s="38" t="e">
        <f>SUM(AT8:AT9)/AT$20</f>
        <v>#DIV/0!</v>
      </c>
      <c r="L95" s="38" t="e">
        <f>SUM(AU8:AU9)/AU$20</f>
        <v>#DIV/0!</v>
      </c>
      <c r="M95" s="38" t="e">
        <f>SUM(AV8:AV9)/AV$20</f>
        <v>#DIV/0!</v>
      </c>
      <c r="N95" s="38">
        <f>SUM(AW8:AW9)/AW$20</f>
        <v>0.19526946733169054</v>
      </c>
      <c r="O95" s="38">
        <f>SUM(AX8:AX9)/AX$20</f>
        <v>0.18489582579141481</v>
      </c>
      <c r="P95" s="38"/>
      <c r="Q95" s="76"/>
      <c r="R95" s="37">
        <f>SUM(BA8:BA9)/BA$20</f>
        <v>0.18825444845528316</v>
      </c>
      <c r="S95" s="38">
        <f>SUM(BB8:BB9)/BB$20</f>
        <v>1</v>
      </c>
      <c r="T95" s="38">
        <f>SUM(BC8:BC9)/BC$20</f>
        <v>1</v>
      </c>
      <c r="U95" s="38">
        <f>SUM(BD8:BD9)/BD$20</f>
        <v>0.19526946733169054</v>
      </c>
      <c r="V95" s="38">
        <f>SUM(BE8:BE9)/BE$20</f>
        <v>0.18489582579141481</v>
      </c>
      <c r="W95" s="38"/>
      <c r="X95" s="39"/>
      <c r="Y95" s="37">
        <f>SUM(BH8:BH9)/BH$20</f>
        <v>0.18825444845528316</v>
      </c>
      <c r="Z95" s="38">
        <f>SUM(BI8:BI9)/BI$20</f>
        <v>1</v>
      </c>
      <c r="AA95" s="38">
        <f>SUM(BJ8:BJ9)/BJ$20</f>
        <v>1</v>
      </c>
      <c r="AB95" s="38" t="e">
        <f>SUM(BK8:BK9)/BK$20</f>
        <v>#DIV/0!</v>
      </c>
      <c r="AC95" s="38"/>
      <c r="AD95" s="38"/>
      <c r="AE95" s="39"/>
      <c r="AF95" s="80"/>
      <c r="AG95" s="38"/>
      <c r="AH95" s="38"/>
      <c r="AI95" s="39"/>
      <c r="AJ95" s="399"/>
      <c r="AK95" s="399"/>
      <c r="AN95" s="399"/>
      <c r="AO95" s="399"/>
      <c r="AR95" s="420"/>
      <c r="AS95" s="420"/>
    </row>
    <row r="96" spans="2:45" s="322" customFormat="1" ht="23.25" hidden="1" customHeight="1" x14ac:dyDescent="0.35">
      <c r="B96" s="355">
        <v>0.35416666666424135</v>
      </c>
      <c r="C96" s="435">
        <v>0.70833333337941495</v>
      </c>
      <c r="D96" s="420"/>
      <c r="E96" s="34"/>
      <c r="F96" s="35"/>
      <c r="G96" s="35"/>
      <c r="H96" s="35"/>
      <c r="I96" s="35"/>
      <c r="J96" s="35"/>
      <c r="K96" s="35">
        <f>SUM(AT27:AT28)/AT$40</f>
        <v>0</v>
      </c>
      <c r="L96" s="35" t="e">
        <f>SUM(AU27:AU28)/AU$40</f>
        <v>#DIV/0!</v>
      </c>
      <c r="M96" s="35" t="e">
        <f>SUM(AV27:AV28)/AV$40</f>
        <v>#DIV/0!</v>
      </c>
      <c r="N96" s="35">
        <f>SUM(AW27:AW28)/AW$40</f>
        <v>0.19526946733169057</v>
      </c>
      <c r="O96" s="35">
        <f>SUM(AX27:AX28)/AX$40</f>
        <v>0.18489582579141481</v>
      </c>
      <c r="P96" s="35"/>
      <c r="Q96" s="75"/>
      <c r="R96" s="34">
        <f>SUM(BA27:BA28)/BA$40</f>
        <v>0.18825444845528316</v>
      </c>
      <c r="S96" s="35">
        <f>SUM(BB27:BB28)/BB$40</f>
        <v>1</v>
      </c>
      <c r="T96" s="35">
        <f>SUM(BC27:BC28)/BC$40</f>
        <v>1</v>
      </c>
      <c r="U96" s="35" t="e">
        <f>SUM(BD27:BD28)/BD$40</f>
        <v>#DIV/0!</v>
      </c>
      <c r="V96" s="35">
        <f>SUM(BE27:BE28)/BE$40</f>
        <v>0.18489582579141481</v>
      </c>
      <c r="W96" s="35"/>
      <c r="X96" s="36"/>
      <c r="Y96" s="34">
        <f>SUM(BH27:BH28)/BH$40</f>
        <v>0.18825444845528316</v>
      </c>
      <c r="Z96" s="35">
        <f>SUM(BI27:BI28)/BI$40</f>
        <v>1</v>
      </c>
      <c r="AA96" s="35">
        <f>SUM(BJ27:BJ28)/BJ$40</f>
        <v>1</v>
      </c>
      <c r="AB96" s="35" t="e">
        <f>SUM(BK27:BK28)/BK$40</f>
        <v>#DIV/0!</v>
      </c>
      <c r="AC96" s="35"/>
      <c r="AD96" s="35"/>
      <c r="AE96" s="36"/>
      <c r="AF96" s="79"/>
      <c r="AG96" s="35"/>
      <c r="AH96" s="35"/>
      <c r="AI96" s="36"/>
      <c r="AJ96" s="399"/>
      <c r="AK96" s="399"/>
      <c r="AN96" s="399"/>
      <c r="AO96" s="399"/>
      <c r="AR96" s="420"/>
      <c r="AS96" s="420"/>
    </row>
    <row r="97" spans="2:115" s="322" customFormat="1" ht="23.25" hidden="1" customHeight="1" x14ac:dyDescent="0.35">
      <c r="B97" s="355">
        <v>0.375</v>
      </c>
      <c r="C97" s="435">
        <v>0.72916666671517405</v>
      </c>
      <c r="D97" s="420"/>
      <c r="E97" s="37"/>
      <c r="F97" s="38"/>
      <c r="G97" s="38"/>
      <c r="H97" s="38"/>
      <c r="I97" s="38"/>
      <c r="J97" s="38"/>
      <c r="K97" s="38" t="e">
        <f>SUM(AT10:AT11)/AT$20</f>
        <v>#DIV/0!</v>
      </c>
      <c r="L97" s="38" t="e">
        <f>SUM(AU10:AU11)/AU$20</f>
        <v>#DIV/0!</v>
      </c>
      <c r="M97" s="38" t="e">
        <f>SUM(AV10:AV11)/AV$20</f>
        <v>#DIV/0!</v>
      </c>
      <c r="N97" s="38">
        <f>SUM(AW10:AW11)/AW$20</f>
        <v>0.21965405210106337</v>
      </c>
      <c r="O97" s="38">
        <f>SUM(AX10:AX11)/AX$20</f>
        <v>0.19227604564377171</v>
      </c>
      <c r="P97" s="38"/>
      <c r="Q97" s="76"/>
      <c r="R97" s="37">
        <f>SUM(BA10:BA11)/BA$20</f>
        <v>0.17871900520978279</v>
      </c>
      <c r="S97" s="38">
        <f>SUM(BB10:BB11)/BB$20</f>
        <v>0</v>
      </c>
      <c r="T97" s="38">
        <f>SUM(BC10:BC11)/BC$20</f>
        <v>0</v>
      </c>
      <c r="U97" s="38">
        <f>SUM(BD10:BD11)/BD$20</f>
        <v>0.21965405210106337</v>
      </c>
      <c r="V97" s="38">
        <f>SUM(BE10:BE11)/BE$20</f>
        <v>0.19227604564377171</v>
      </c>
      <c r="W97" s="38"/>
      <c r="X97" s="39"/>
      <c r="Y97" s="37">
        <f>SUM(BH10:BH11)/BH$20</f>
        <v>0.17871900520978279</v>
      </c>
      <c r="Z97" s="38">
        <f>SUM(BI10:BI11)/BI$20</f>
        <v>0</v>
      </c>
      <c r="AA97" s="38">
        <f>SUM(BJ10:BJ11)/BJ$20</f>
        <v>0</v>
      </c>
      <c r="AB97" s="38" t="e">
        <f>SUM(BK10:BK11)/BK$20</f>
        <v>#DIV/0!</v>
      </c>
      <c r="AC97" s="38"/>
      <c r="AD97" s="38"/>
      <c r="AE97" s="39"/>
      <c r="AF97" s="80"/>
      <c r="AG97" s="38"/>
      <c r="AH97" s="38"/>
      <c r="AI97" s="39"/>
      <c r="AJ97" s="399"/>
      <c r="AK97" s="399"/>
      <c r="AN97" s="399"/>
      <c r="AO97" s="399"/>
      <c r="AR97" s="420"/>
      <c r="AS97" s="420"/>
    </row>
    <row r="98" spans="2:115" s="322" customFormat="1" ht="23.25" hidden="1" customHeight="1" x14ac:dyDescent="0.35">
      <c r="B98" s="355">
        <v>0.39583333333575865</v>
      </c>
      <c r="C98" s="435">
        <v>0.75000000005093304</v>
      </c>
      <c r="D98" s="420"/>
      <c r="E98" s="34"/>
      <c r="F98" s="35"/>
      <c r="G98" s="35"/>
      <c r="H98" s="35"/>
      <c r="I98" s="35"/>
      <c r="J98" s="35"/>
      <c r="K98" s="35">
        <f>SUM(AT29:AT30)/AT$40</f>
        <v>0</v>
      </c>
      <c r="L98" s="35" t="e">
        <f>SUM(AU29:AU30)/AU$40</f>
        <v>#DIV/0!</v>
      </c>
      <c r="M98" s="35" t="e">
        <f>SUM(AV29:AV30)/AV$40</f>
        <v>#DIV/0!</v>
      </c>
      <c r="N98" s="35">
        <f>SUM(AW29:AW30)/AW$40</f>
        <v>0.2196540521010634</v>
      </c>
      <c r="O98" s="35">
        <f>SUM(AX29:AX30)/AX$40</f>
        <v>0.19227604564377171</v>
      </c>
      <c r="P98" s="35"/>
      <c r="Q98" s="75"/>
      <c r="R98" s="34">
        <f>SUM(BA29:BA30)/BA$40</f>
        <v>0.17871900520978279</v>
      </c>
      <c r="S98" s="35">
        <f>SUM(BB29:BB30)/BB$40</f>
        <v>0</v>
      </c>
      <c r="T98" s="35">
        <f>SUM(BC29:BC30)/BC$40</f>
        <v>0</v>
      </c>
      <c r="U98" s="35" t="e">
        <f>SUM(BD29:BD30)/BD$40</f>
        <v>#DIV/0!</v>
      </c>
      <c r="V98" s="35">
        <f>SUM(BE29:BE30)/BE$40</f>
        <v>0.19227604564377171</v>
      </c>
      <c r="W98" s="35"/>
      <c r="X98" s="36"/>
      <c r="Y98" s="34">
        <f>SUM(BH29:BH30)/BH$40</f>
        <v>0.17871900520978279</v>
      </c>
      <c r="Z98" s="35">
        <f>SUM(BI29:BI30)/BI$40</f>
        <v>0</v>
      </c>
      <c r="AA98" s="35">
        <f>SUM(BJ29:BJ30)/BJ$40</f>
        <v>0</v>
      </c>
      <c r="AB98" s="35" t="e">
        <f>SUM(BK29:BK30)/BK$40</f>
        <v>#DIV/0!</v>
      </c>
      <c r="AC98" s="35"/>
      <c r="AD98" s="35"/>
      <c r="AE98" s="36"/>
      <c r="AF98" s="79"/>
      <c r="AG98" s="35"/>
      <c r="AH98" s="35"/>
      <c r="AI98" s="36"/>
      <c r="AJ98" s="399"/>
      <c r="AK98" s="399"/>
      <c r="AN98" s="399"/>
      <c r="AO98" s="399"/>
      <c r="AR98" s="420"/>
      <c r="AS98" s="420"/>
    </row>
    <row r="99" spans="2:115" s="322" customFormat="1" ht="23.25" hidden="1" customHeight="1" x14ac:dyDescent="0.35">
      <c r="B99" s="355">
        <v>0.41666666666424135</v>
      </c>
      <c r="C99" s="435">
        <v>0.77083333338669202</v>
      </c>
      <c r="D99" s="420"/>
      <c r="E99" s="37"/>
      <c r="F99" s="38"/>
      <c r="G99" s="38"/>
      <c r="H99" s="38"/>
      <c r="I99" s="38"/>
      <c r="J99" s="38"/>
      <c r="K99" s="38" t="e">
        <f>SUM(AT12:AT15)/AT$20</f>
        <v>#DIV/0!</v>
      </c>
      <c r="L99" s="38" t="e">
        <f>SUM(AU12:AU15)/AU$20</f>
        <v>#DIV/0!</v>
      </c>
      <c r="M99" s="38" t="e">
        <f>SUM(AV12:AV15)/AV$20</f>
        <v>#DIV/0!</v>
      </c>
      <c r="N99" s="38">
        <f>SUM(AW12:AW15)/AW$20</f>
        <v>0.17369373336381827</v>
      </c>
      <c r="O99" s="38">
        <f>SUM(AX12:AX15)/AX$20</f>
        <v>0.15159489656268715</v>
      </c>
      <c r="P99" s="38"/>
      <c r="Q99" s="76"/>
      <c r="R99" s="37">
        <f>SUM(BA12:BA15)/BA$20</f>
        <v>0.14796331566512691</v>
      </c>
      <c r="S99" s="38">
        <f>SUM(BB12:BB15)/BB$20</f>
        <v>0</v>
      </c>
      <c r="T99" s="38">
        <f>SUM(BC12:BC15)/BC$20</f>
        <v>0</v>
      </c>
      <c r="U99" s="38">
        <f>SUM(BD12:BD15)/BD$20</f>
        <v>0.17369373336381827</v>
      </c>
      <c r="V99" s="38">
        <f>SUM(BE12:BE15)/BE$20</f>
        <v>0.15159489656268715</v>
      </c>
      <c r="W99" s="38"/>
      <c r="X99" s="39"/>
      <c r="Y99" s="37">
        <f>SUM(BH12:BH15)/BH$20</f>
        <v>0.14796331566512691</v>
      </c>
      <c r="Z99" s="38">
        <f>SUM(BI12:BI15)/BI$20</f>
        <v>0</v>
      </c>
      <c r="AA99" s="38">
        <f>SUM(BJ12:BJ15)/BJ$20</f>
        <v>0</v>
      </c>
      <c r="AB99" s="38" t="e">
        <f>SUM(BK12:BK15)/BK$20</f>
        <v>#DIV/0!</v>
      </c>
      <c r="AC99" s="38"/>
      <c r="AD99" s="38"/>
      <c r="AE99" s="39"/>
      <c r="AF99" s="80"/>
      <c r="AG99" s="38"/>
      <c r="AH99" s="38"/>
      <c r="AI99" s="39"/>
      <c r="AJ99" s="399"/>
      <c r="AK99" s="399"/>
      <c r="AN99" s="399"/>
      <c r="AO99" s="399"/>
      <c r="AR99" s="420"/>
      <c r="AS99" s="420"/>
    </row>
    <row r="100" spans="2:115" s="322" customFormat="1" ht="23.25" hidden="1" customHeight="1" x14ac:dyDescent="0.35">
      <c r="B100" s="355">
        <v>0.4375</v>
      </c>
      <c r="C100" s="435">
        <v>0.79166666672245101</v>
      </c>
      <c r="D100" s="420"/>
      <c r="E100" s="34"/>
      <c r="F100" s="35"/>
      <c r="G100" s="35"/>
      <c r="H100" s="35"/>
      <c r="I100" s="35"/>
      <c r="J100" s="35"/>
      <c r="K100" s="35">
        <f>SUM(AT31:AT34)/AT$40</f>
        <v>1</v>
      </c>
      <c r="L100" s="35" t="e">
        <f>SUM(AU31:AU34)/AU$40</f>
        <v>#DIV/0!</v>
      </c>
      <c r="M100" s="35" t="e">
        <f>SUM(AV31:AV34)/AV$40</f>
        <v>#DIV/0!</v>
      </c>
      <c r="N100" s="35">
        <f>SUM(AW31:AW34)/AW$40</f>
        <v>0.1736937333638183</v>
      </c>
      <c r="O100" s="35">
        <f>SUM(AX31:AX34)/AX$40</f>
        <v>0.15159489656268715</v>
      </c>
      <c r="P100" s="35"/>
      <c r="Q100" s="75"/>
      <c r="R100" s="34">
        <f>SUM(BA31:BA34)/BA$40</f>
        <v>0.14796331566512691</v>
      </c>
      <c r="S100" s="35">
        <f>SUM(BB31:BB34)/BB$40</f>
        <v>0</v>
      </c>
      <c r="T100" s="35">
        <f>SUM(BC31:BC34)/BC$40</f>
        <v>0</v>
      </c>
      <c r="U100" s="35" t="e">
        <f>SUM(BD31:BD34)/BD$40</f>
        <v>#DIV/0!</v>
      </c>
      <c r="V100" s="35">
        <f>SUM(BE31:BE34)/BE$40</f>
        <v>0.15159489656268715</v>
      </c>
      <c r="W100" s="35"/>
      <c r="X100" s="36"/>
      <c r="Y100" s="34">
        <f>SUM(BH31:BH34)/BH$40</f>
        <v>0.14796331566512691</v>
      </c>
      <c r="Z100" s="35">
        <f>SUM(BI31:BI34)/BI$40</f>
        <v>0</v>
      </c>
      <c r="AA100" s="35">
        <f>SUM(BJ31:BJ34)/BJ$40</f>
        <v>0</v>
      </c>
      <c r="AB100" s="35" t="e">
        <f>SUM(BK31:BK34)/BK$40</f>
        <v>#DIV/0!</v>
      </c>
      <c r="AC100" s="35"/>
      <c r="AD100" s="35"/>
      <c r="AE100" s="36"/>
      <c r="AF100" s="79"/>
      <c r="AG100" s="35"/>
      <c r="AH100" s="35"/>
      <c r="AI100" s="36"/>
      <c r="AJ100" s="399"/>
      <c r="AK100" s="399"/>
      <c r="AN100" s="399"/>
      <c r="AO100" s="399"/>
      <c r="AR100" s="420"/>
      <c r="AS100" s="420"/>
    </row>
    <row r="101" spans="2:115" s="322" customFormat="1" ht="23.25" hidden="1" customHeight="1" x14ac:dyDescent="0.35">
      <c r="B101" s="355">
        <v>0.45833333333575865</v>
      </c>
      <c r="C101" s="435">
        <v>0.81250000005820999</v>
      </c>
      <c r="D101" s="420"/>
      <c r="E101" s="37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76"/>
      <c r="R101" s="37"/>
      <c r="S101" s="38"/>
      <c r="T101" s="38"/>
      <c r="U101" s="38"/>
      <c r="V101" s="38"/>
      <c r="W101" s="38"/>
      <c r="X101" s="39"/>
      <c r="Y101" s="37"/>
      <c r="Z101" s="38"/>
      <c r="AA101" s="38"/>
      <c r="AB101" s="38"/>
      <c r="AC101" s="38"/>
      <c r="AD101" s="38"/>
      <c r="AE101" s="39"/>
      <c r="AF101" s="80"/>
      <c r="AG101" s="38"/>
      <c r="AH101" s="38"/>
      <c r="AI101" s="39"/>
      <c r="AJ101" s="399"/>
      <c r="AK101" s="399"/>
      <c r="AN101" s="399"/>
      <c r="AO101" s="399"/>
      <c r="AR101" s="420"/>
      <c r="AS101" s="420"/>
    </row>
    <row r="102" spans="2:115" s="322" customFormat="1" ht="23.25" hidden="1" customHeight="1" x14ac:dyDescent="0.35">
      <c r="B102" s="355">
        <v>0.47916666666424135</v>
      </c>
      <c r="C102" s="435">
        <v>0.83333333339396898</v>
      </c>
      <c r="D102" s="420"/>
      <c r="E102" s="37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76"/>
      <c r="R102" s="37"/>
      <c r="S102" s="38"/>
      <c r="T102" s="38"/>
      <c r="U102" s="38"/>
      <c r="V102" s="38"/>
      <c r="W102" s="38"/>
      <c r="X102" s="39"/>
      <c r="Y102" s="37"/>
      <c r="Z102" s="38"/>
      <c r="AA102" s="38"/>
      <c r="AB102" s="38"/>
      <c r="AC102" s="38"/>
      <c r="AD102" s="38"/>
      <c r="AE102" s="39"/>
      <c r="AF102" s="80"/>
      <c r="AG102" s="38"/>
      <c r="AH102" s="38"/>
      <c r="AI102" s="39"/>
      <c r="AJ102" s="399"/>
      <c r="AK102" s="399"/>
      <c r="AN102" s="399"/>
      <c r="AO102" s="399"/>
      <c r="AR102" s="420"/>
      <c r="AS102" s="420"/>
    </row>
    <row r="103" spans="2:115" s="322" customFormat="1" ht="23.25" hidden="1" customHeight="1" x14ac:dyDescent="0.35">
      <c r="B103" s="355">
        <v>0.5</v>
      </c>
      <c r="C103" s="435">
        <v>0.85416666672972796</v>
      </c>
      <c r="D103" s="420"/>
      <c r="E103" s="37"/>
      <c r="F103" s="38"/>
      <c r="G103" s="38"/>
      <c r="H103" s="38"/>
      <c r="I103" s="38"/>
      <c r="J103" s="38"/>
      <c r="K103" s="38" t="e">
        <f>SUM(AT16:AT19)/AT$20</f>
        <v>#DIV/0!</v>
      </c>
      <c r="L103" s="38" t="e">
        <f>SUM(AU16:AU19)/AU$20</f>
        <v>#DIV/0!</v>
      </c>
      <c r="M103" s="38" t="e">
        <f>SUM(AV16:AV19)/AV$20</f>
        <v>#DIV/0!</v>
      </c>
      <c r="N103" s="38">
        <f>SUM(AW16:AW19)/AW$20</f>
        <v>0.27500698613780894</v>
      </c>
      <c r="O103" s="38">
        <f>SUM(AX16:AX19)/AX$20</f>
        <v>0.28638004319045596</v>
      </c>
      <c r="P103" s="38"/>
      <c r="Q103" s="76"/>
      <c r="R103" s="37">
        <f>SUM(BA16:BA19)/BA$20</f>
        <v>0.22844635980519745</v>
      </c>
      <c r="S103" s="38">
        <f>SUM(BB16:BB19)/BB$20</f>
        <v>0</v>
      </c>
      <c r="T103" s="38">
        <f>SUM(BC16:BC19)/BC$20</f>
        <v>0</v>
      </c>
      <c r="U103" s="38">
        <f>SUM(BD16:BD19)/BD$20</f>
        <v>0.27500698613780894</v>
      </c>
      <c r="V103" s="38">
        <f>SUM(BE16:BE19)/BE$20</f>
        <v>0.28638004319045596</v>
      </c>
      <c r="W103" s="38"/>
      <c r="X103" s="39"/>
      <c r="Y103" s="37">
        <f>SUM(BH16:BH19)/BH$20</f>
        <v>0.22844635980519745</v>
      </c>
      <c r="Z103" s="38">
        <f>SUM(BI16:BI19)/BI$20</f>
        <v>0</v>
      </c>
      <c r="AA103" s="38">
        <f>SUM(BJ16:BJ19)/BJ$20</f>
        <v>0</v>
      </c>
      <c r="AB103" s="38" t="e">
        <f>SUM(BK16:BK19)/BK$20</f>
        <v>#DIV/0!</v>
      </c>
      <c r="AC103" s="38"/>
      <c r="AD103" s="38"/>
      <c r="AE103" s="39"/>
      <c r="AF103" s="80"/>
      <c r="AG103" s="38"/>
      <c r="AH103" s="38"/>
      <c r="AI103" s="39"/>
      <c r="AJ103" s="399"/>
      <c r="AK103" s="399"/>
      <c r="AN103" s="399"/>
      <c r="AO103" s="399"/>
      <c r="AR103" s="420"/>
      <c r="AS103" s="420"/>
    </row>
    <row r="104" spans="2:115" s="322" customFormat="1" ht="23.25" hidden="1" customHeight="1" x14ac:dyDescent="0.35">
      <c r="B104" s="355">
        <v>0.52083333333575865</v>
      </c>
      <c r="C104" s="435">
        <v>0.87500000006548695</v>
      </c>
      <c r="D104" s="420"/>
      <c r="E104" s="34"/>
      <c r="F104" s="35"/>
      <c r="G104" s="35"/>
      <c r="H104" s="35"/>
      <c r="I104" s="35"/>
      <c r="J104" s="35"/>
      <c r="K104" s="35">
        <f>SUM(AT35:AT38)/AT$40</f>
        <v>0</v>
      </c>
      <c r="L104" s="35" t="e">
        <f>SUM(AU35:AU38)/AU$40</f>
        <v>#DIV/0!</v>
      </c>
      <c r="M104" s="35" t="e">
        <f>SUM(AV35:AV38)/AV$40</f>
        <v>#DIV/0!</v>
      </c>
      <c r="N104" s="35">
        <f>SUM(AW35:AW38)/AW$40</f>
        <v>0.275006986137809</v>
      </c>
      <c r="O104" s="35">
        <f>SUM(AX35:AX38)/AX$40</f>
        <v>0.28638004319045596</v>
      </c>
      <c r="P104" s="35"/>
      <c r="Q104" s="75"/>
      <c r="R104" s="34">
        <f>SUM(BA35:BA38)/BA$40</f>
        <v>0.22844635980519745</v>
      </c>
      <c r="S104" s="35">
        <f>SUM(BB35:BB38)/BB$40</f>
        <v>0</v>
      </c>
      <c r="T104" s="35">
        <f>SUM(BC35:BC38)/BC$40</f>
        <v>0</v>
      </c>
      <c r="U104" s="35" t="e">
        <f>SUM(BD35:BD38)/BD$40</f>
        <v>#DIV/0!</v>
      </c>
      <c r="V104" s="35">
        <f>SUM(BE35:BE38)/BE$40</f>
        <v>0.28638004319045596</v>
      </c>
      <c r="W104" s="35"/>
      <c r="X104" s="36"/>
      <c r="Y104" s="34">
        <f>SUM(BH35:BH38)/BH$40</f>
        <v>0.22844635980519745</v>
      </c>
      <c r="Z104" s="35">
        <f>SUM(BI35:BI38)/BI$40</f>
        <v>0</v>
      </c>
      <c r="AA104" s="35">
        <f>SUM(BJ35:BJ38)/BJ$40</f>
        <v>0</v>
      </c>
      <c r="AB104" s="35" t="e">
        <f>SUM(BK35:BK38)/BK$40</f>
        <v>#DIV/0!</v>
      </c>
      <c r="AC104" s="35"/>
      <c r="AD104" s="35"/>
      <c r="AE104" s="36"/>
      <c r="AF104" s="79"/>
      <c r="AG104" s="35"/>
      <c r="AH104" s="35"/>
      <c r="AI104" s="36"/>
      <c r="AJ104" s="399"/>
      <c r="AK104" s="399"/>
      <c r="AN104" s="399"/>
      <c r="AO104" s="399"/>
      <c r="AR104" s="420"/>
      <c r="AS104" s="420"/>
    </row>
    <row r="105" spans="2:115" s="322" customFormat="1" ht="23.25" hidden="1" customHeight="1" x14ac:dyDescent="0.35">
      <c r="B105" s="355">
        <v>0.54166666666424135</v>
      </c>
      <c r="C105" s="435">
        <v>0.89583333340124605</v>
      </c>
      <c r="D105" s="420"/>
      <c r="E105" s="37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76"/>
      <c r="R105" s="37"/>
      <c r="S105" s="38"/>
      <c r="T105" s="38"/>
      <c r="U105" s="38"/>
      <c r="V105" s="38"/>
      <c r="W105" s="38"/>
      <c r="X105" s="39"/>
      <c r="Y105" s="37"/>
      <c r="Z105" s="38"/>
      <c r="AA105" s="38"/>
      <c r="AB105" s="38"/>
      <c r="AC105" s="38"/>
      <c r="AD105" s="38"/>
      <c r="AE105" s="39"/>
      <c r="AF105" s="80"/>
      <c r="AG105" s="38"/>
      <c r="AH105" s="38"/>
      <c r="AI105" s="39"/>
      <c r="AJ105" s="399"/>
      <c r="AK105" s="399"/>
      <c r="AN105" s="399"/>
      <c r="AO105" s="399"/>
      <c r="AR105" s="420"/>
      <c r="AS105" s="420"/>
    </row>
    <row r="106" spans="2:115" s="322" customFormat="1" ht="23.25" hidden="1" customHeight="1" thickBot="1" x14ac:dyDescent="0.4">
      <c r="B106" s="436">
        <v>0.5625</v>
      </c>
      <c r="C106" s="437">
        <v>0.91666666673700503</v>
      </c>
      <c r="D106" s="420"/>
      <c r="E106" s="40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77"/>
      <c r="R106" s="40"/>
      <c r="S106" s="41"/>
      <c r="T106" s="41"/>
      <c r="U106" s="41"/>
      <c r="V106" s="41"/>
      <c r="W106" s="41"/>
      <c r="X106" s="42"/>
      <c r="Y106" s="40"/>
      <c r="Z106" s="41"/>
      <c r="AA106" s="41"/>
      <c r="AB106" s="41"/>
      <c r="AC106" s="41"/>
      <c r="AD106" s="41"/>
      <c r="AE106" s="42"/>
      <c r="AF106" s="81"/>
      <c r="AG106" s="41"/>
      <c r="AH106" s="41"/>
      <c r="AI106" s="42"/>
      <c r="AJ106" s="399"/>
      <c r="AK106" s="399"/>
      <c r="AN106" s="399"/>
      <c r="AO106" s="399"/>
      <c r="AR106" s="420"/>
      <c r="AS106" s="420"/>
    </row>
    <row r="107" spans="2:115" hidden="1" x14ac:dyDescent="0.3">
      <c r="B107" s="43"/>
      <c r="C107" s="43"/>
      <c r="D107" s="438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</row>
    <row r="108" spans="2:115" ht="19.5" thickBot="1" x14ac:dyDescent="0.35">
      <c r="D108" s="62"/>
      <c r="E108" s="62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</row>
    <row r="109" spans="2:115" s="322" customFormat="1" ht="23.25" customHeight="1" x14ac:dyDescent="0.35">
      <c r="B109" s="413"/>
      <c r="AI109" s="29">
        <f>AI3</f>
        <v>15</v>
      </c>
      <c r="AJ109" s="3"/>
      <c r="AK109" s="3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</row>
    <row r="110" spans="2:115" s="322" customFormat="1" ht="23.25" customHeight="1" thickBot="1" x14ac:dyDescent="0.4">
      <c r="B110" s="439"/>
      <c r="AI110" s="7" t="str">
        <f>TEXT(AI109,"Ddd")</f>
        <v>Sun</v>
      </c>
      <c r="AJ110" s="8"/>
      <c r="AK110" s="8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</row>
    <row r="111" spans="2:115" s="322" customFormat="1" ht="23.25" customHeight="1" thickBot="1" x14ac:dyDescent="0.4">
      <c r="B111" s="440"/>
      <c r="AI111" s="10">
        <f>MAX(AI112:AI141)</f>
        <v>0</v>
      </c>
      <c r="AJ111" s="9"/>
      <c r="AK111" s="9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</row>
    <row r="112" spans="2:115" s="322" customFormat="1" ht="23.25" customHeight="1" x14ac:dyDescent="0.35">
      <c r="B112" s="11"/>
      <c r="AI112" s="46"/>
      <c r="AJ112" s="15"/>
      <c r="AK112" s="399"/>
      <c r="AL112" s="441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</row>
    <row r="113" spans="2:115" s="322" customFormat="1" ht="23.25" customHeight="1" x14ac:dyDescent="0.35">
      <c r="B113" s="11"/>
      <c r="AI113" s="48"/>
      <c r="AJ113" s="15"/>
      <c r="AK113" s="399"/>
      <c r="AL113" s="441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</row>
    <row r="114" spans="2:115" s="322" customFormat="1" ht="23.25" customHeight="1" x14ac:dyDescent="0.35">
      <c r="B114" s="11"/>
      <c r="AI114" s="48"/>
      <c r="AJ114" s="15"/>
      <c r="AK114" s="399"/>
      <c r="AL114" s="441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</row>
    <row r="115" spans="2:115" s="322" customFormat="1" ht="23.25" customHeight="1" x14ac:dyDescent="0.35">
      <c r="B115" s="11"/>
      <c r="AI115" s="48"/>
      <c r="AJ115" s="15"/>
      <c r="AK115" s="399"/>
      <c r="AL115" s="441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</row>
    <row r="116" spans="2:115" s="322" customFormat="1" ht="23.25" customHeight="1" x14ac:dyDescent="0.35">
      <c r="B116" s="11"/>
      <c r="AI116" s="48"/>
      <c r="AJ116" s="15"/>
      <c r="AK116" s="399"/>
      <c r="AL116" s="441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</row>
    <row r="117" spans="2:115" s="322" customFormat="1" ht="23.25" customHeight="1" x14ac:dyDescent="0.35">
      <c r="B117" s="11"/>
      <c r="AI117" s="48"/>
      <c r="AJ117" s="15"/>
      <c r="AK117" s="399"/>
      <c r="AL117" s="441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</row>
    <row r="118" spans="2:115" s="322" customFormat="1" ht="23.25" customHeight="1" x14ac:dyDescent="0.35">
      <c r="B118" s="11"/>
      <c r="AI118" s="48"/>
      <c r="AJ118" s="15"/>
      <c r="AK118" s="399"/>
      <c r="AL118" s="441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</row>
    <row r="119" spans="2:115" s="322" customFormat="1" ht="23.25" customHeight="1" x14ac:dyDescent="0.35">
      <c r="B119" s="11"/>
      <c r="AI119" s="48"/>
      <c r="AJ119" s="15"/>
      <c r="AK119" s="399"/>
      <c r="AL119" s="441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</row>
    <row r="120" spans="2:115" s="322" customFormat="1" ht="23.25" customHeight="1" x14ac:dyDescent="0.35">
      <c r="B120" s="11"/>
      <c r="AI120" s="48"/>
      <c r="AJ120" s="15"/>
      <c r="AK120" s="399"/>
      <c r="AL120" s="441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</row>
    <row r="121" spans="2:115" s="322" customFormat="1" ht="23.25" customHeight="1" x14ac:dyDescent="0.35">
      <c r="B121" s="11"/>
      <c r="AI121" s="48"/>
      <c r="AJ121" s="15"/>
      <c r="AK121" s="399"/>
      <c r="AL121" s="441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</row>
    <row r="122" spans="2:115" s="322" customFormat="1" ht="23.25" customHeight="1" x14ac:dyDescent="0.35">
      <c r="B122" s="11"/>
      <c r="AI122" s="48"/>
      <c r="AJ122" s="15"/>
      <c r="AK122" s="399"/>
      <c r="AL122" s="441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</row>
    <row r="123" spans="2:115" s="322" customFormat="1" ht="23.25" customHeight="1" x14ac:dyDescent="0.35">
      <c r="B123" s="11"/>
      <c r="AI123" s="48"/>
      <c r="AJ123" s="15"/>
      <c r="AK123" s="399"/>
      <c r="AL123" s="441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</row>
    <row r="124" spans="2:115" s="322" customFormat="1" ht="23.25" customHeight="1" x14ac:dyDescent="0.35">
      <c r="B124" s="11"/>
      <c r="AI124" s="48"/>
      <c r="AJ124" s="15"/>
      <c r="AK124" s="399"/>
      <c r="AL124" s="441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</row>
    <row r="125" spans="2:115" s="322" customFormat="1" ht="23.25" customHeight="1" x14ac:dyDescent="0.35">
      <c r="B125" s="11"/>
      <c r="AI125" s="48"/>
      <c r="AJ125" s="15"/>
      <c r="AK125" s="399"/>
      <c r="AL125" s="441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</row>
    <row r="126" spans="2:115" s="322" customFormat="1" ht="23.25" customHeight="1" x14ac:dyDescent="0.35">
      <c r="B126" s="11"/>
      <c r="AI126" s="48"/>
      <c r="AJ126" s="15"/>
      <c r="AK126" s="399"/>
      <c r="AL126" s="21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</row>
    <row r="127" spans="2:115" s="322" customFormat="1" ht="23.25" customHeight="1" x14ac:dyDescent="0.35">
      <c r="B127" s="11"/>
      <c r="AI127" s="48"/>
      <c r="AJ127" s="15"/>
      <c r="AK127" s="399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</row>
    <row r="128" spans="2:115" s="322" customFormat="1" ht="23.25" customHeight="1" x14ac:dyDescent="0.35">
      <c r="B128" s="11"/>
      <c r="AI128" s="48"/>
      <c r="AJ128" s="15"/>
      <c r="AK128" s="399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</row>
    <row r="129" spans="2:115" s="322" customFormat="1" ht="23.25" customHeight="1" x14ac:dyDescent="0.35">
      <c r="B129" s="11"/>
      <c r="AI129" s="48"/>
      <c r="AJ129" s="15"/>
      <c r="AK129" s="399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</row>
    <row r="130" spans="2:115" s="322" customFormat="1" ht="23.25" customHeight="1" x14ac:dyDescent="0.35">
      <c r="B130" s="11"/>
      <c r="AI130" s="48"/>
      <c r="AJ130" s="15"/>
      <c r="AK130" s="399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</row>
    <row r="131" spans="2:115" s="322" customFormat="1" ht="23.25" customHeight="1" x14ac:dyDescent="0.35">
      <c r="B131" s="11"/>
      <c r="AI131" s="48"/>
      <c r="AJ131" s="15"/>
      <c r="AK131" s="399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</row>
    <row r="132" spans="2:115" s="322" customFormat="1" ht="23.25" customHeight="1" x14ac:dyDescent="0.35">
      <c r="B132" s="11"/>
      <c r="AI132" s="48"/>
      <c r="AJ132" s="15"/>
      <c r="AK132" s="399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</row>
    <row r="133" spans="2:115" s="322" customFormat="1" ht="23.25" customHeight="1" x14ac:dyDescent="0.35">
      <c r="B133" s="11"/>
      <c r="AI133" s="48"/>
      <c r="AJ133" s="15"/>
      <c r="AK133" s="399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</row>
    <row r="134" spans="2:115" s="322" customFormat="1" ht="23.25" customHeight="1" x14ac:dyDescent="0.35">
      <c r="B134" s="11"/>
      <c r="AI134" s="48"/>
      <c r="AJ134" s="15"/>
      <c r="AK134" s="399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</row>
    <row r="135" spans="2:115" s="322" customFormat="1" ht="23.25" customHeight="1" x14ac:dyDescent="0.35">
      <c r="B135" s="11"/>
      <c r="AI135" s="48"/>
      <c r="AJ135" s="15"/>
      <c r="AK135" s="399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</row>
    <row r="136" spans="2:115" s="322" customFormat="1" ht="23.25" customHeight="1" x14ac:dyDescent="0.35">
      <c r="B136" s="11"/>
      <c r="AI136" s="48"/>
      <c r="AJ136" s="15"/>
      <c r="AK136" s="399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</row>
    <row r="137" spans="2:115" s="322" customFormat="1" ht="23.25" customHeight="1" x14ac:dyDescent="0.35">
      <c r="B137" s="11"/>
      <c r="AI137" s="48"/>
      <c r="AJ137" s="15"/>
      <c r="AK137" s="399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</row>
    <row r="138" spans="2:115" s="322" customFormat="1" ht="23.25" customHeight="1" x14ac:dyDescent="0.35">
      <c r="B138" s="11"/>
      <c r="AI138" s="48"/>
      <c r="AJ138" s="15"/>
      <c r="AK138" s="399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</row>
    <row r="139" spans="2:115" s="322" customFormat="1" ht="23.25" customHeight="1" x14ac:dyDescent="0.35">
      <c r="B139" s="11"/>
      <c r="AI139" s="48"/>
      <c r="AJ139" s="15"/>
      <c r="AK139" s="399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</row>
    <row r="140" spans="2:115" s="322" customFormat="1" ht="23.25" customHeight="1" x14ac:dyDescent="0.35">
      <c r="B140" s="11"/>
      <c r="AI140" s="48"/>
      <c r="AJ140" s="15"/>
      <c r="AK140" s="399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</row>
    <row r="141" spans="2:115" s="322" customFormat="1" ht="23.25" customHeight="1" thickBot="1" x14ac:dyDescent="0.4">
      <c r="B141" s="25"/>
      <c r="AI141" s="50"/>
      <c r="AJ141" s="15"/>
      <c r="AK141" s="399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</row>
    <row r="142" spans="2:115" s="322" customFormat="1" ht="23.25" customHeight="1" x14ac:dyDescent="0.35">
      <c r="B142" s="440"/>
      <c r="AI142" s="399"/>
      <c r="AK142" s="399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</row>
    <row r="143" spans="2:115" s="322" customFormat="1" ht="23.25" customHeight="1" thickBot="1" x14ac:dyDescent="0.4">
      <c r="B143" s="440"/>
      <c r="AI143" s="51">
        <f>AI88-AI69</f>
        <v>0</v>
      </c>
      <c r="AK143" s="399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</row>
    <row r="144" spans="2:115" s="322" customFormat="1" ht="23.25" customHeight="1" x14ac:dyDescent="0.35">
      <c r="B144" s="413"/>
      <c r="AK144" s="399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</row>
    <row r="145" spans="2:115" s="322" customFormat="1" ht="23.25" customHeight="1" x14ac:dyDescent="0.35">
      <c r="B145" s="440"/>
      <c r="AI145" s="411">
        <f>AI39</f>
        <v>0</v>
      </c>
      <c r="AK145" s="6"/>
      <c r="AL145" s="6"/>
      <c r="AM145" s="6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</row>
    <row r="146" spans="2:115" x14ac:dyDescent="0.3"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</row>
    <row r="147" spans="2:115" x14ac:dyDescent="0.3"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</row>
    <row r="148" spans="2:115" x14ac:dyDescent="0.3"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</row>
    <row r="149" spans="2:115" x14ac:dyDescent="0.3"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</row>
    <row r="150" spans="2:115" x14ac:dyDescent="0.3"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</row>
    <row r="151" spans="2:115" x14ac:dyDescent="0.3"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</row>
  </sheetData>
  <phoneticPr fontId="2" type="noConversion"/>
  <conditionalFormatting sqref="AJ6:AJ35 AJ112:AJ141">
    <cfRule type="cellIs" dxfId="18" priority="1" stopIfTrue="1" operator="lessThanOrEqual">
      <formula>0</formula>
    </cfRule>
    <cfRule type="cellIs" dxfId="17" priority="2" stopIfTrue="1" operator="equal">
      <formula>$B6</formula>
    </cfRule>
    <cfRule type="cellIs" dxfId="16" priority="3" stopIfTrue="1" operator="equal">
      <formula>AJ$5</formula>
    </cfRule>
  </conditionalFormatting>
  <conditionalFormatting sqref="AN6:BQ19">
    <cfRule type="cellIs" dxfId="15" priority="4" stopIfTrue="1" operator="lessThanOrEqual">
      <formula>0</formula>
    </cfRule>
    <cfRule type="cellIs" dxfId="14" priority="5" stopIfTrue="1" operator="equal">
      <formula>$AM6</formula>
    </cfRule>
    <cfRule type="cellIs" dxfId="13" priority="6" stopIfTrue="1" operator="equal">
      <formula>AN$5</formula>
    </cfRule>
  </conditionalFormatting>
  <conditionalFormatting sqref="AI143 E40:AH40 AI37 BU40:CX40">
    <cfRule type="cellIs" dxfId="12" priority="7" stopIfTrue="1" operator="equal">
      <formula>$B$37</formula>
    </cfRule>
  </conditionalFormatting>
  <conditionalFormatting sqref="E42:AH42 BU41:CX41 AI39 AI145">
    <cfRule type="cellIs" dxfId="11" priority="8" stopIfTrue="1" operator="equal">
      <formula>$B$39</formula>
    </cfRule>
  </conditionalFormatting>
  <conditionalFormatting sqref="E107:AI107 AI88 AI69 AN40:BQ40 AN20:BQ20 AN74:BJ74">
    <cfRule type="cellIs" dxfId="10" priority="9" stopIfTrue="1" operator="equal">
      <formula>$AM$20</formula>
    </cfRule>
  </conditionalFormatting>
  <conditionalFormatting sqref="AM4 D91 E6:AI35 AI74:AI87 AN25:BQ38 AN48:BJ72">
    <cfRule type="cellIs" dxfId="9" priority="10" stopIfTrue="1" operator="lessThanOrEqual">
      <formula>0</formula>
    </cfRule>
  </conditionalFormatting>
  <conditionalFormatting sqref="E93:AI106">
    <cfRule type="cellIs" dxfId="8" priority="11" stopIfTrue="1" operator="lessThanOrEqual">
      <formula>0</formula>
    </cfRule>
    <cfRule type="expression" dxfId="7" priority="12" stopIfTrue="1">
      <formula>"iserror"</formula>
    </cfRule>
  </conditionalFormatting>
  <conditionalFormatting sqref="B6:B35 B112:B141">
    <cfRule type="expression" dxfId="6" priority="13" stopIfTrue="1">
      <formula>"max($E$36:$AI$36)"</formula>
    </cfRule>
  </conditionalFormatting>
  <conditionalFormatting sqref="AI44:AI61">
    <cfRule type="cellIs" dxfId="5" priority="14" stopIfTrue="1" operator="lessThanOrEqual">
      <formula>0</formula>
    </cfRule>
    <cfRule type="cellIs" dxfId="4" priority="15" stopIfTrue="1" operator="equal">
      <formula>$AM6</formula>
    </cfRule>
    <cfRule type="cellIs" dxfId="3" priority="16" stopIfTrue="1" operator="equal">
      <formula>AI$43</formula>
    </cfRule>
  </conditionalFormatting>
  <conditionalFormatting sqref="AI62:AI68">
    <cfRule type="cellIs" dxfId="2" priority="17" stopIfTrue="1" operator="lessThanOrEqual">
      <formula>0</formula>
    </cfRule>
    <cfRule type="cellIs" dxfId="1" priority="18" stopIfTrue="1" operator="equal">
      <formula>$AM13</formula>
    </cfRule>
    <cfRule type="cellIs" dxfId="0" priority="19" stopIfTrue="1" operator="equal">
      <formula>AI$43</formula>
    </cfRule>
  </conditionalFormatting>
  <pageMargins left="0" right="0" top="0.5" bottom="0.5" header="0.5" footer="0.5"/>
  <pageSetup scale="29" orientation="landscape" r:id="rId1"/>
  <headerFooter alignWithMargins="0"/>
  <ignoredErrors>
    <ignoredError sqref="U6:AA3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REQ'S</vt:lpstr>
      <vt:lpstr>SUMMARY</vt:lpstr>
      <vt:lpstr>SCHEDULES</vt:lpstr>
      <vt:lpstr>ORISCHE</vt:lpstr>
      <vt:lpstr>NEWSCHEDULES</vt:lpstr>
      <vt:lpstr>NCC</vt:lpstr>
      <vt:lpstr>NCC!Print_Area</vt:lpstr>
      <vt:lpstr>SUMMARY!Print_Area</vt:lpstr>
    </vt:vector>
  </TitlesOfParts>
  <Company>National City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xtal73w</dc:creator>
  <cp:lastModifiedBy>King William N</cp:lastModifiedBy>
  <cp:lastPrinted>2010-05-25T13:48:27Z</cp:lastPrinted>
  <dcterms:created xsi:type="dcterms:W3CDTF">2009-12-09T22:33:27Z</dcterms:created>
  <dcterms:modified xsi:type="dcterms:W3CDTF">2017-04-17T12:05:08Z</dcterms:modified>
</cp:coreProperties>
</file>