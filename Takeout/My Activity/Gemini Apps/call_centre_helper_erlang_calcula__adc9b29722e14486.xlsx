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6" codeName="{00000000-0000-0000-0000-000000000000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ngw\Desktop\"/>
    </mc:Choice>
  </mc:AlternateContent>
  <xr:revisionPtr revIDLastSave="0" documentId="11_48C2844340A06237E768FA83E1CFE42F8D16A789" xr6:coauthVersionLast="47" xr6:coauthVersionMax="47" xr10:uidLastSave="{00000000-0000-0000-0000-000000000000}"/>
  <bookViews>
    <workbookView showHorizontalScroll="0" showVerticalScroll="0" xWindow="0" yWindow="0" windowWidth="28770" windowHeight="7965" xr2:uid="{00000000-000D-0000-FFFF-FFFF00000000}"/>
  </bookViews>
  <sheets>
    <sheet name="AgentCalculator" sheetId="1" r:id="rId1"/>
    <sheet name="How to Use" sheetId="2" r:id="rId2"/>
    <sheet name="Day Planner" sheetId="3" r:id="rId3"/>
    <sheet name="Expected Service Level" sheetId="5" r:id="rId4"/>
    <sheet name="Other Tools" sheetId="7" r:id="rId5"/>
    <sheet name="Changelog" sheetId="6" r:id="rId6"/>
  </sheets>
  <definedNames>
    <definedName name="AgentsRequired">OFFSET('Day Planner'!$E$15,1,0,COUNT('Day Planner'!$D$16:$D$63))</definedName>
    <definedName name="ESLAgentsAvailable">OFFSET('Expected Service Level'!$E$15,1,0,COUNT('Expected Service Level'!$D$16:$D$47))</definedName>
    <definedName name="ESLIncomingCalls">OFFSET('Expected Service Level'!$D$15,1,0,COUNT('Expected Service Level'!$D$16:$D$47))</definedName>
    <definedName name="ESLReqAgents">OFFSET('Expected Service Level'!$G$15,1,0,COUNT('Expected Service Level'!$D$16:$D$47))</definedName>
    <definedName name="ESLTimeRange">OFFSET('Expected Service Level'!$C$15,1,0,COUNT('Expected Service Level'!$D$16:$D$47))</definedName>
    <definedName name="IncomingCalls">OFFSET('Day Planner'!$D$15,1,0,COUNT('Day Planner'!$D$16:$D$63))</definedName>
    <definedName name="servlevel">AgentCalculator!$D$24</definedName>
    <definedName name="TimeRange">OFFSET('Day Planner'!$C$15,1,0,COUNT('Day Planner'!$D$16:$D$63))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G60" i="2"/>
  <c r="E33" i="3"/>
  <c r="E35" i="3"/>
  <c r="E34" i="3"/>
  <c r="E36" i="3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E83" i="2"/>
  <c r="E85" i="2"/>
  <c r="D85" i="2"/>
  <c r="D83" i="2"/>
  <c r="E82" i="2"/>
  <c r="D88" i="2"/>
  <c r="E87" i="2"/>
  <c r="D84" i="2"/>
  <c r="E88" i="2"/>
  <c r="D86" i="2"/>
  <c r="E84" i="2"/>
  <c r="D87" i="2"/>
  <c r="D82" i="2"/>
  <c r="E86" i="2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G18" i="5"/>
  <c r="E54" i="3"/>
  <c r="I36" i="5"/>
  <c r="G30" i="5"/>
  <c r="I42" i="5"/>
  <c r="J31" i="5"/>
  <c r="E37" i="3"/>
  <c r="I29" i="5"/>
  <c r="G35" i="5"/>
  <c r="G19" i="5"/>
  <c r="E27" i="3"/>
  <c r="I46" i="5"/>
  <c r="J22" i="5"/>
  <c r="G33" i="5"/>
  <c r="J47" i="5"/>
  <c r="E28" i="3"/>
  <c r="I35" i="5"/>
  <c r="J38" i="5"/>
  <c r="I43" i="5"/>
  <c r="E46" i="3"/>
  <c r="G31" i="5"/>
  <c r="E58" i="3"/>
  <c r="G36" i="5"/>
  <c r="J44" i="5"/>
  <c r="G26" i="5"/>
  <c r="G20" i="5"/>
  <c r="E44" i="3"/>
  <c r="J43" i="5"/>
  <c r="J34" i="5"/>
  <c r="E24" i="3"/>
  <c r="E55" i="3"/>
  <c r="J36" i="5"/>
  <c r="I17" i="5"/>
  <c r="G44" i="5"/>
  <c r="I41" i="5"/>
  <c r="J30" i="5"/>
  <c r="I23" i="5"/>
  <c r="E26" i="3"/>
  <c r="I19" i="5"/>
  <c r="E19" i="3"/>
  <c r="G42" i="5"/>
  <c r="J16" i="5"/>
  <c r="G23" i="5"/>
  <c r="I31" i="5"/>
  <c r="J29" i="5"/>
  <c r="E17" i="3"/>
  <c r="I21" i="5"/>
  <c r="G29" i="5"/>
  <c r="E59" i="3"/>
  <c r="J21" i="5"/>
  <c r="I34" i="5"/>
  <c r="J18" i="5"/>
  <c r="J19" i="5"/>
  <c r="E18" i="3"/>
  <c r="I16" i="5"/>
  <c r="E20" i="3"/>
  <c r="E51" i="3"/>
  <c r="J46" i="5"/>
  <c r="J45" i="5"/>
  <c r="E48" i="3"/>
  <c r="J35" i="5"/>
  <c r="G24" i="5"/>
  <c r="I28" i="5"/>
  <c r="I18" i="5"/>
  <c r="E23" i="3"/>
  <c r="I25" i="5"/>
  <c r="G21" i="5"/>
  <c r="E40" i="3"/>
  <c r="G32" i="5"/>
  <c r="J32" i="5"/>
  <c r="E42" i="3"/>
  <c r="I37" i="5"/>
  <c r="I39" i="5"/>
  <c r="E39" i="3"/>
  <c r="E25" i="3"/>
  <c r="I40" i="5"/>
  <c r="I26" i="5"/>
  <c r="E32" i="3"/>
  <c r="J28" i="5"/>
  <c r="J20" i="5"/>
  <c r="G43" i="5"/>
  <c r="E63" i="3"/>
  <c r="J24" i="5"/>
  <c r="J27" i="5"/>
  <c r="I32" i="5"/>
  <c r="I45" i="5"/>
  <c r="E62" i="3"/>
  <c r="J25" i="5"/>
  <c r="E29" i="3"/>
  <c r="E57" i="3"/>
  <c r="I20" i="5"/>
  <c r="G22" i="5"/>
  <c r="E45" i="3"/>
  <c r="E41" i="3"/>
  <c r="J17" i="5"/>
  <c r="I22" i="5"/>
  <c r="I38" i="5"/>
  <c r="G37" i="5"/>
  <c r="I27" i="5"/>
  <c r="J39" i="5"/>
  <c r="G17" i="5"/>
  <c r="E43" i="3"/>
  <c r="G34" i="5"/>
  <c r="J33" i="5"/>
  <c r="E52" i="3"/>
  <c r="E60" i="3"/>
  <c r="G38" i="5"/>
  <c r="G40" i="5"/>
  <c r="G45" i="5"/>
  <c r="J23" i="5"/>
  <c r="G46" i="5"/>
  <c r="J26" i="5"/>
  <c r="E49" i="3"/>
  <c r="E16" i="3"/>
  <c r="E31" i="3"/>
  <c r="E38" i="3"/>
  <c r="E53" i="3"/>
  <c r="I47" i="5"/>
  <c r="E61" i="3"/>
  <c r="I33" i="5"/>
  <c r="G28" i="5"/>
  <c r="E30" i="3"/>
  <c r="G47" i="5"/>
  <c r="J42" i="5"/>
  <c r="E56" i="3"/>
  <c r="E47" i="3"/>
  <c r="G25" i="5"/>
  <c r="E50" i="3"/>
  <c r="G39" i="5"/>
  <c r="I44" i="5"/>
  <c r="G41" i="5"/>
  <c r="G16" i="5"/>
  <c r="I24" i="5"/>
  <c r="G27" i="5"/>
  <c r="I30" i="5"/>
  <c r="J40" i="5"/>
  <c r="E21" i="3"/>
  <c r="J37" i="5"/>
  <c r="J41" i="5"/>
  <c r="E22" i="3"/>
  <c r="H27" i="5"/>
  <c r="H26" i="5"/>
  <c r="H42" i="5"/>
  <c r="H39" i="5"/>
  <c r="H35" i="5"/>
  <c r="H25" i="5"/>
  <c r="H36" i="5"/>
  <c r="H40" i="5"/>
  <c r="H46" i="5"/>
  <c r="H33" i="5"/>
  <c r="H45" i="5"/>
  <c r="H37" i="5"/>
  <c r="H22" i="5"/>
  <c r="H31" i="5"/>
  <c r="H16" i="5"/>
  <c r="H32" i="5"/>
  <c r="H21" i="5"/>
  <c r="H24" i="5"/>
  <c r="H23" i="5"/>
  <c r="H30" i="5"/>
  <c r="H19" i="5"/>
  <c r="H43" i="5"/>
  <c r="H44" i="5"/>
  <c r="H47" i="5"/>
  <c r="H17" i="5"/>
  <c r="H41" i="5"/>
  <c r="H20" i="5"/>
  <c r="H29" i="5"/>
  <c r="H38" i="5"/>
  <c r="H34" i="5"/>
  <c r="H28" i="5"/>
  <c r="H18" i="5"/>
  <c r="I33" i="1"/>
  <c r="H16" i="2"/>
  <c r="I30" i="1"/>
  <c r="I29" i="2"/>
  <c r="D31" i="1"/>
  <c r="H44" i="2"/>
  <c r="D53" i="1"/>
</calcChain>
</file>

<file path=xl/sharedStrings.xml><?xml version="1.0" encoding="utf-8"?>
<sst xmlns="http://schemas.openxmlformats.org/spreadsheetml/2006/main" count="214" uniqueCount="120">
  <si>
    <t>seconds</t>
  </si>
  <si>
    <t>Traffic Intensity (Erlang)</t>
  </si>
  <si>
    <t>Required service level</t>
  </si>
  <si>
    <t>Probability of target answer time</t>
  </si>
  <si>
    <t>Target answer time</t>
  </si>
  <si>
    <t>Number of agents</t>
  </si>
  <si>
    <t>Probability a call waits</t>
  </si>
  <si>
    <t>Erlang-C Formula</t>
  </si>
  <si>
    <t>Number of Agents required</t>
  </si>
  <si>
    <t>Calculate the number of agents required to reach an agreed service level:</t>
  </si>
  <si>
    <t>Calculate probability of calls being answered or waiting:</t>
  </si>
  <si>
    <t>Predicted Service Level</t>
  </si>
  <si>
    <t>Agents required</t>
  </si>
  <si>
    <t>Target answer time (secs)</t>
  </si>
  <si>
    <t>IMPORTANT:       For this tool to work correctly you must change Macro security to medium                (Tools &gt; Options &gt; Security &gt; Macro Security) and Enable macros on opening the spreadsheet</t>
  </si>
  <si>
    <t>Reporting Period</t>
  </si>
  <si>
    <t>calls</t>
  </si>
  <si>
    <t>minutes</t>
  </si>
  <si>
    <t>Incoming calls</t>
  </si>
  <si>
    <t>in a period of</t>
  </si>
  <si>
    <t>Time slot beginning 
(enter start time in top cell)</t>
  </si>
  <si>
    <t>Shrinkage</t>
  </si>
  <si>
    <t xml:space="preserve">Shrinkage </t>
  </si>
  <si>
    <t>Calls</t>
  </si>
  <si>
    <t>Reporting Period (mins)</t>
  </si>
  <si>
    <t>Agents</t>
  </si>
  <si>
    <t>For example  =AgentsReq(B9,C9,D9,E9,F9)</t>
  </si>
  <si>
    <t>Target answer time (seconds)</t>
  </si>
  <si>
    <t>Required service level (percent)</t>
  </si>
  <si>
    <t>For a full explanation on shrinkage click here</t>
  </si>
  <si>
    <t>https://www.callcentrehelper.com/how-to-calculate-contact-centre-shrinkage-90353.htm</t>
  </si>
  <si>
    <t>Please note that this does not include any shrinkage (holidays, training, meetings etc)</t>
  </si>
  <si>
    <t>Shrinkage (percent)</t>
  </si>
  <si>
    <t>The Erlang calculator uses a number of user defined function built into macros to work</t>
  </si>
  <si>
    <t xml:space="preserve">The macros are built into this spreadsheet and once you have got it working you can delete all the parts that you do not need </t>
  </si>
  <si>
    <t>This formula is more accurate as it includes Shrinkage (holidays, training, meetings etc) and so give a more realistic staffing requirement</t>
  </si>
  <si>
    <t>This formula works out the probability that a call is answered within the target time</t>
  </si>
  <si>
    <t>Probablity Call Waits</t>
  </si>
  <si>
    <t>For example =AgentsFTE(B30,C30,D30,E30,F30,G30)</t>
  </si>
  <si>
    <t>For example =ServiceLevel(B45,C45,D45,E45,F45)</t>
  </si>
  <si>
    <t>For example =ProbCallWaits(B60,C60,D60,E60)</t>
  </si>
  <si>
    <t>Worked examples</t>
  </si>
  <si>
    <t>Time</t>
  </si>
  <si>
    <t>Average handling time</t>
  </si>
  <si>
    <t>Service level target</t>
  </si>
  <si>
    <t>of calls answered in</t>
  </si>
  <si>
    <t>Agents Required No shrinkage</t>
  </si>
  <si>
    <t>FTE Required After shrinkage</t>
  </si>
  <si>
    <t>Agents (FTE)</t>
  </si>
  <si>
    <t>Agent planner - see at a glance the agents needed across the day</t>
  </si>
  <si>
    <t>Agents Available</t>
  </si>
  <si>
    <t>Agent Surplus/ Shortfall</t>
  </si>
  <si>
    <t>Please note these figures do not include shrinkage</t>
  </si>
  <si>
    <t>Next Page &gt;&gt;</t>
  </si>
  <si>
    <t xml:space="preserve">    seconds</t>
  </si>
  <si>
    <t>© Call Centre Helper Erlang Calculator 2016</t>
  </si>
  <si>
    <t>https://www.callcentrehelper.com</t>
  </si>
  <si>
    <t>Expected Service Level Planner</t>
  </si>
  <si>
    <t>(Please note Shrinkage is not included in this calculation)</t>
  </si>
  <si>
    <t>Probability call is answered in target time (Service Level)</t>
  </si>
  <si>
    <t>In practical use this is the predicted service level</t>
  </si>
  <si>
    <t>Probability Call Waits</t>
  </si>
  <si>
    <t>This works out the probability that a call has to wait (queue)</t>
  </si>
  <si>
    <t>Formula 3.  Work out the Predicted Service Level for a provided number of agents</t>
  </si>
  <si>
    <t>Formula 4.  Work out the probability that a call queues</t>
  </si>
  <si>
    <t>Formula 2.  Work out the total number of agents (FTE) required, for a call volume (including shrinkage)</t>
  </si>
  <si>
    <t>Formula 1.  Work out the raw number of agents required, for a call volume</t>
  </si>
  <si>
    <t>Version 5.0</t>
  </si>
  <si>
    <t>Renamed and improved Erlang C Formulas</t>
  </si>
  <si>
    <t>Agents Required – This is the raw figure without shrinkage</t>
  </si>
  <si>
    <t>Agents FTE Required – This is more accurate as it includes shrinkage</t>
  </si>
  <si>
    <t>Service Level Calculation – Works out the service level for a given number of calls and agents</t>
  </si>
  <si>
    <t>Probability that a Call Waits – Works out the probability that a call waits for a given number of calls and agents</t>
  </si>
  <si>
    <t>How to use Tab with details of how the formulas work</t>
  </si>
  <si>
    <t>Help on function arguments by pressing the fx (Insert Function) button</t>
  </si>
  <si>
    <t>Agent Planner – Tab see at a glance the agents needed across the day – with graph</t>
  </si>
  <si>
    <t>Improved error checking to not allow values outside of expected limits</t>
  </si>
  <si>
    <t>Expected Service Level Planner Tab – show expected Service Level across the day -with graph</t>
  </si>
  <si>
    <t>Version 5.1</t>
  </si>
  <si>
    <t>Date</t>
  </si>
  <si>
    <t>Changes</t>
  </si>
  <si>
    <t>Change of terminology from Call Duration to Average Handling Time</t>
  </si>
  <si>
    <t>Average Handling Time (AHT) (seconds)</t>
  </si>
  <si>
    <t>Average Handling Time</t>
  </si>
  <si>
    <t>Average Handling Time (s)</t>
  </si>
  <si>
    <t>This uses the Excel Formula =AgentsReq(Calls, Reporting_period, Average_handling_time, Service_level_percent, Service_level_time)</t>
  </si>
  <si>
    <t>This uses the Excel Formula =AgentsFTE(Calls, Reporting_period, Average_handling_time, Service_level_percent, Service_level_time, Shrinkage)</t>
  </si>
  <si>
    <t>This uses the Excel Formula =ServiceLevel(Calls, Reporting_period, Average_handling_time, Service_level_time, Agents)</t>
  </si>
  <si>
    <t>This uses the Excel Formula =ProbCallWaits(Calls, Reporting_period, Average_handling_time, Agents)</t>
  </si>
  <si>
    <t>Average Handling Time = Average Call Duration + Average time spent in After Call Work (ACW - also known as Wrap-Up time)</t>
  </si>
  <si>
    <t>Correction of typos</t>
  </si>
  <si>
    <t>Added in missing Help Details when you press the fx button</t>
  </si>
  <si>
    <t>Day Planner and Expected Service Level charts set dynamically - so you can add on extra rows</t>
  </si>
  <si>
    <t xml:space="preserve">  =AgentsReq(Calls, Reporting_period, Average_handling_time, Service_level_percent, Service_level_time)</t>
  </si>
  <si>
    <t xml:space="preserve">  =AgentsFTE(Calls, Reporting_period, Average_handling_time, Service_level_percent, Service_level_time, Shrinkage)</t>
  </si>
  <si>
    <t xml:space="preserve">  =ServiceLevel(Calls, Reporting_period, Average_handling_time, Service_level_time, Agents)</t>
  </si>
  <si>
    <t xml:space="preserve">  =ProbCallWaits(Calls, Reporting_period, Average_handling_time, Agents)</t>
  </si>
  <si>
    <t>Fixed issue with error if period over 546 minutes - (Integer to Long in Excel VBA)</t>
  </si>
  <si>
    <t>Call Centre Helper Erlang Calculator Version 5.2</t>
  </si>
  <si>
    <t>Version 5.2</t>
  </si>
  <si>
    <t>Added warning that calculator only works up to 600 agents with advice to use online calculator</t>
  </si>
  <si>
    <t>This calculator only works up to 600 Agents.  For higher volumes please use the online version</t>
  </si>
  <si>
    <t xml:space="preserve">https://www.callcentrehelper.com/online-call-centre-staffing-calculator-77780.htm </t>
  </si>
  <si>
    <t>Other Contact Centre Tools</t>
  </si>
  <si>
    <t>Call Centre Helper has a range of great contact centre tools to improve your contact centre</t>
  </si>
  <si>
    <t xml:space="preserve">1. Online Call Centre Calculator (including Shrinkage) </t>
  </si>
  <si>
    <t>https://www.callcentrehelper.com/online-call-centre-staffing-calculator-77780.htm</t>
  </si>
  <si>
    <t>Input your past call volumes and the spreadsheet will predict values for the next 12 months</t>
  </si>
  <si>
    <t>https://www.callcentrehelper.com/forecasting-excel-template-73193.htm</t>
  </si>
  <si>
    <t>https://www.callcentrehelper.com/multi-channel-contact-centre-calculator-96321.htm</t>
  </si>
  <si>
    <t>https://www.callcentrehelper.com/free-call-monitoring-form-3507.htm</t>
  </si>
  <si>
    <t>4. Call Monitoring Form</t>
  </si>
  <si>
    <t>2.  Online Multi-Channel Contact Centre Calculator Tool</t>
  </si>
  <si>
    <t>3. Free Excel Forecasting Worksheet</t>
  </si>
  <si>
    <t>How to use the Erlang Calculator Version 5.2</t>
  </si>
  <si>
    <t>Added links to other Call Centre Helper tools</t>
  </si>
  <si>
    <t xml:space="preserve">What's New in the Latest Version </t>
  </si>
  <si>
    <t>The online version of our Erlang Calculator is perfect for a quick calculation or if you need to go up to a higher amount of traffic or agents</t>
  </si>
  <si>
    <t>Need to work out staffing levels for calls email and web chats?  Then the MultiChannel staffing tool may be the answer</t>
  </si>
  <si>
    <t>Want to score advisors on their call quality then this Excel Quality Monitoring form can be customised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</si>
</sst>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9"/>
      <color indexed="4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8"/>
      <name val="Arial"/>
      <family val="2"/>
    </font>
    <font>
      <b/>
      <u/>
      <sz val="10"/>
      <color theme="10"/>
      <name val="Arial"/>
      <family val="2"/>
    </font>
    <font>
      <sz val="9"/>
      <color rgb="FF222222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15"/>
      </left>
      <right/>
      <top style="medium">
        <color indexed="15"/>
      </top>
      <bottom/>
      <diagonal/>
    </border>
    <border>
      <left/>
      <right style="medium">
        <color indexed="15"/>
      </right>
      <top style="medium">
        <color indexed="15"/>
      </top>
      <bottom/>
      <diagonal/>
    </border>
    <border>
      <left style="medium">
        <color indexed="15"/>
      </left>
      <right/>
      <top/>
      <bottom/>
      <diagonal/>
    </border>
    <border>
      <left/>
      <right style="medium">
        <color indexed="15"/>
      </right>
      <top/>
      <bottom/>
      <diagonal/>
    </border>
    <border>
      <left style="medium">
        <color indexed="15"/>
      </left>
      <right/>
      <top/>
      <bottom style="medium">
        <color indexed="15"/>
      </bottom>
      <diagonal/>
    </border>
    <border>
      <left/>
      <right/>
      <top/>
      <bottom style="medium">
        <color indexed="15"/>
      </bottom>
      <diagonal/>
    </border>
    <border>
      <left/>
      <right style="medium">
        <color indexed="15"/>
      </right>
      <top/>
      <bottom style="medium">
        <color indexed="15"/>
      </bottom>
      <diagonal/>
    </border>
    <border>
      <left/>
      <right/>
      <top style="medium">
        <color indexed="1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41">
    <xf numFmtId="0" fontId="0" fillId="0" borderId="0" xfId="0"/>
    <xf numFmtId="0" fontId="5" fillId="2" borderId="0" xfId="0" applyFont="1" applyFill="1"/>
    <xf numFmtId="0" fontId="8" fillId="2" borderId="0" xfId="0" applyFont="1" applyFill="1"/>
    <xf numFmtId="0" fontId="5" fillId="3" borderId="6" xfId="0" applyFont="1" applyFill="1" applyBorder="1"/>
    <xf numFmtId="0" fontId="9" fillId="3" borderId="0" xfId="0" applyFont="1" applyFill="1" applyBorder="1" applyAlignment="1">
      <alignment horizontal="center"/>
    </xf>
    <xf numFmtId="0" fontId="11" fillId="3" borderId="0" xfId="0" applyFont="1" applyFill="1" applyBorder="1"/>
    <xf numFmtId="0" fontId="11" fillId="3" borderId="6" xfId="0" applyFont="1" applyFill="1" applyBorder="1"/>
    <xf numFmtId="0" fontId="9" fillId="3" borderId="8" xfId="0" applyFont="1" applyFill="1" applyBorder="1" applyAlignment="1">
      <alignment horizontal="center"/>
    </xf>
    <xf numFmtId="10" fontId="9" fillId="3" borderId="0" xfId="0" applyNumberFormat="1" applyFont="1" applyFill="1" applyBorder="1" applyAlignment="1">
      <alignment horizontal="center"/>
    </xf>
    <xf numFmtId="0" fontId="11" fillId="3" borderId="0" xfId="0" applyFont="1" applyFill="1" applyProtection="1"/>
    <xf numFmtId="0" fontId="5" fillId="3" borderId="2" xfId="0" applyFont="1" applyFill="1" applyBorder="1" applyProtection="1"/>
    <xf numFmtId="0" fontId="5" fillId="3" borderId="4" xfId="0" applyFont="1" applyFill="1" applyBorder="1" applyProtection="1"/>
    <xf numFmtId="0" fontId="5" fillId="3" borderId="0" xfId="0" applyFont="1" applyFill="1" applyBorder="1" applyProtection="1"/>
    <xf numFmtId="0" fontId="11" fillId="3" borderId="0" xfId="0" applyFont="1" applyFill="1" applyBorder="1" applyProtection="1"/>
    <xf numFmtId="0" fontId="9" fillId="3" borderId="0" xfId="0" applyFont="1" applyFill="1" applyBorder="1" applyAlignment="1" applyProtection="1">
      <alignment horizontal="center"/>
    </xf>
    <xf numFmtId="0" fontId="5" fillId="3" borderId="5" xfId="0" applyFont="1" applyFill="1" applyBorder="1" applyProtection="1"/>
    <xf numFmtId="0" fontId="5" fillId="3" borderId="6" xfId="0" applyFont="1" applyFill="1" applyBorder="1" applyProtection="1"/>
    <xf numFmtId="0" fontId="11" fillId="3" borderId="6" xfId="0" applyFont="1" applyFill="1" applyBorder="1" applyProtection="1"/>
    <xf numFmtId="0" fontId="5" fillId="3" borderId="7" xfId="0" applyFont="1" applyFill="1" applyBorder="1" applyProtection="1"/>
    <xf numFmtId="0" fontId="5" fillId="3" borderId="3" xfId="0" applyFont="1" applyFill="1" applyBorder="1" applyProtection="1"/>
    <xf numFmtId="2" fontId="10" fillId="3" borderId="0" xfId="0" applyNumberFormat="1" applyFont="1" applyFill="1" applyBorder="1" applyAlignment="1" applyProtection="1">
      <alignment horizontal="center"/>
    </xf>
    <xf numFmtId="0" fontId="5" fillId="3" borderId="0" xfId="0" applyFont="1" applyFill="1" applyBorder="1" applyAlignment="1" applyProtection="1">
      <alignment horizontal="left"/>
    </xf>
    <xf numFmtId="2" fontId="9" fillId="3" borderId="0" xfId="0" applyNumberFormat="1" applyFont="1" applyFill="1" applyBorder="1" applyAlignment="1" applyProtection="1">
      <alignment horizontal="center"/>
    </xf>
    <xf numFmtId="0" fontId="3" fillId="3" borderId="0" xfId="0" applyFont="1" applyFill="1" applyBorder="1" applyProtection="1"/>
    <xf numFmtId="10" fontId="9" fillId="3" borderId="0" xfId="0" applyNumberFormat="1" applyFont="1" applyFill="1" applyBorder="1" applyAlignment="1" applyProtection="1">
      <alignment horizontal="center"/>
    </xf>
    <xf numFmtId="0" fontId="5" fillId="3" borderId="0" xfId="0" applyFont="1" applyFill="1" applyBorder="1" applyAlignment="1" applyProtection="1">
      <alignment horizontal="left" indent="1"/>
    </xf>
    <xf numFmtId="0" fontId="12" fillId="4" borderId="9" xfId="0" applyFont="1" applyFill="1" applyBorder="1" applyAlignment="1" applyProtection="1">
      <alignment horizontal="center"/>
      <protection locked="0"/>
    </xf>
    <xf numFmtId="0" fontId="9" fillId="4" borderId="9" xfId="0" applyFont="1" applyFill="1" applyBorder="1" applyAlignment="1" applyProtection="1">
      <alignment horizontal="center"/>
      <protection locked="0"/>
    </xf>
    <xf numFmtId="164" fontId="9" fillId="4" borderId="9" xfId="0" applyNumberFormat="1" applyFont="1" applyFill="1" applyBorder="1" applyAlignment="1" applyProtection="1">
      <alignment horizontal="center"/>
      <protection locked="0"/>
    </xf>
    <xf numFmtId="10" fontId="9" fillId="4" borderId="9" xfId="0" applyNumberFormat="1" applyFont="1" applyFill="1" applyBorder="1" applyAlignment="1" applyProtection="1">
      <alignment horizontal="center"/>
      <protection locked="0"/>
    </xf>
    <xf numFmtId="0" fontId="5" fillId="4" borderId="10" xfId="0" applyFont="1" applyFill="1" applyBorder="1" applyAlignment="1" applyProtection="1">
      <alignment horizontal="center"/>
      <protection locked="0"/>
    </xf>
    <xf numFmtId="0" fontId="11" fillId="0" borderId="0" xfId="0" applyFont="1" applyFill="1"/>
    <xf numFmtId="0" fontId="9" fillId="0" borderId="0" xfId="0" applyFont="1" applyFill="1" applyAlignment="1">
      <alignment horizontal="center"/>
    </xf>
    <xf numFmtId="0" fontId="1" fillId="0" borderId="0" xfId="0" applyFont="1" applyFill="1"/>
    <xf numFmtId="20" fontId="5" fillId="3" borderId="0" xfId="0" applyNumberFormat="1" applyFont="1" applyFill="1" applyBorder="1" applyProtection="1"/>
    <xf numFmtId="20" fontId="5" fillId="3" borderId="9" xfId="0" applyNumberFormat="1" applyFont="1" applyFill="1" applyBorder="1" applyAlignment="1" applyProtection="1">
      <alignment horizontal="center"/>
    </xf>
    <xf numFmtId="20" fontId="5" fillId="5" borderId="9" xfId="0" applyNumberFormat="1" applyFont="1" applyFill="1" applyBorder="1" applyAlignment="1" applyProtection="1">
      <alignment horizontal="center"/>
    </xf>
    <xf numFmtId="0" fontId="6" fillId="3" borderId="9" xfId="0" applyFont="1" applyFill="1" applyBorder="1" applyAlignment="1" applyProtection="1">
      <alignment horizontal="center" vertical="center" wrapText="1"/>
    </xf>
    <xf numFmtId="0" fontId="12" fillId="3" borderId="9" xfId="0" applyFont="1" applyFill="1" applyBorder="1" applyAlignment="1" applyProtection="1">
      <alignment horizontal="center" vertical="center" wrapText="1"/>
    </xf>
    <xf numFmtId="0" fontId="6" fillId="3" borderId="10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>
      <alignment vertical="center" wrapText="1"/>
    </xf>
    <xf numFmtId="9" fontId="9" fillId="4" borderId="9" xfId="0" applyNumberFormat="1" applyFont="1" applyFill="1" applyBorder="1" applyAlignment="1" applyProtection="1">
      <alignment horizontal="center"/>
      <protection locked="0"/>
    </xf>
    <xf numFmtId="0" fontId="1" fillId="0" borderId="0" xfId="0" applyFont="1"/>
    <xf numFmtId="0" fontId="0" fillId="0" borderId="0" xfId="0" applyNumberFormat="1" applyAlignment="1">
      <alignment wrapText="1"/>
    </xf>
    <xf numFmtId="0" fontId="9" fillId="0" borderId="0" xfId="0" applyFont="1"/>
    <xf numFmtId="0" fontId="14" fillId="0" borderId="0" xfId="0" applyFont="1"/>
    <xf numFmtId="0" fontId="9" fillId="0" borderId="11" xfId="0" applyNumberFormat="1" applyFont="1" applyBorder="1" applyAlignment="1">
      <alignment horizontal="center" vertical="center" wrapText="1"/>
    </xf>
    <xf numFmtId="0" fontId="9" fillId="0" borderId="12" xfId="0" applyNumberFormat="1" applyFont="1" applyBorder="1" applyAlignment="1">
      <alignment horizontal="center" vertical="center" wrapText="1"/>
    </xf>
    <xf numFmtId="0" fontId="9" fillId="0" borderId="13" xfId="0" applyNumberFormat="1" applyFont="1" applyBorder="1" applyAlignment="1">
      <alignment horizontal="center" vertical="center" wrapText="1"/>
    </xf>
    <xf numFmtId="0" fontId="16" fillId="0" borderId="0" xfId="2"/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9" fontId="0" fillId="6" borderId="15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17" fillId="0" borderId="0" xfId="0" applyFont="1"/>
    <xf numFmtId="9" fontId="0" fillId="7" borderId="16" xfId="1" applyFont="1" applyFill="1" applyBorder="1" applyAlignment="1">
      <alignment horizontal="center" vertical="center"/>
    </xf>
    <xf numFmtId="9" fontId="0" fillId="0" borderId="0" xfId="1" applyFont="1"/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0" fontId="5" fillId="3" borderId="1" xfId="0" applyFont="1" applyFill="1" applyBorder="1" applyProtection="1"/>
    <xf numFmtId="0" fontId="11" fillId="3" borderId="8" xfId="0" applyFont="1" applyFill="1" applyBorder="1" applyProtection="1"/>
    <xf numFmtId="0" fontId="5" fillId="3" borderId="8" xfId="0" applyFont="1" applyFill="1" applyBorder="1" applyProtection="1"/>
    <xf numFmtId="0" fontId="5" fillId="3" borderId="3" xfId="0" applyFont="1" applyFill="1" applyBorder="1" applyAlignment="1" applyProtection="1">
      <alignment vertical="center" wrapText="1"/>
    </xf>
    <xf numFmtId="0" fontId="9" fillId="3" borderId="9" xfId="0" applyFont="1" applyFill="1" applyBorder="1" applyAlignment="1" applyProtection="1">
      <alignment horizontal="center"/>
    </xf>
    <xf numFmtId="0" fontId="5" fillId="8" borderId="8" xfId="0" applyFont="1" applyFill="1" applyBorder="1" applyProtection="1"/>
    <xf numFmtId="0" fontId="5" fillId="8" borderId="2" xfId="0" applyFont="1" applyFill="1" applyBorder="1" applyProtection="1"/>
    <xf numFmtId="0" fontId="5" fillId="8" borderId="0" xfId="0" applyFont="1" applyFill="1" applyBorder="1" applyProtection="1"/>
    <xf numFmtId="0" fontId="5" fillId="8" borderId="4" xfId="0" applyFont="1" applyFill="1" applyBorder="1" applyProtection="1"/>
    <xf numFmtId="0" fontId="5" fillId="8" borderId="0" xfId="0" applyFont="1" applyFill="1" applyBorder="1" applyAlignment="1" applyProtection="1">
      <alignment horizontal="center" vertical="center" wrapText="1"/>
    </xf>
    <xf numFmtId="0" fontId="0" fillId="8" borderId="0" xfId="0" applyFill="1" applyBorder="1"/>
    <xf numFmtId="0" fontId="0" fillId="8" borderId="4" xfId="0" applyFill="1" applyBorder="1"/>
    <xf numFmtId="0" fontId="9" fillId="8" borderId="9" xfId="0" applyFont="1" applyFill="1" applyBorder="1" applyAlignment="1" applyProtection="1">
      <alignment horizontal="center"/>
    </xf>
    <xf numFmtId="0" fontId="5" fillId="8" borderId="6" xfId="0" applyFont="1" applyFill="1" applyBorder="1" applyProtection="1"/>
    <xf numFmtId="0" fontId="0" fillId="8" borderId="6" xfId="0" applyFill="1" applyBorder="1"/>
    <xf numFmtId="0" fontId="0" fillId="8" borderId="7" xfId="0" applyFill="1" applyBorder="1"/>
    <xf numFmtId="9" fontId="9" fillId="8" borderId="9" xfId="1" applyFont="1" applyFill="1" applyBorder="1" applyAlignment="1" applyProtection="1">
      <alignment horizontal="center"/>
    </xf>
    <xf numFmtId="0" fontId="6" fillId="8" borderId="9" xfId="0" applyFont="1" applyFill="1" applyBorder="1" applyAlignment="1" applyProtection="1">
      <alignment horizontal="center" vertical="center" wrapText="1"/>
    </xf>
    <xf numFmtId="0" fontId="5" fillId="8" borderId="0" xfId="0" applyFont="1" applyFill="1" applyBorder="1"/>
    <xf numFmtId="0" fontId="6" fillId="3" borderId="0" xfId="0" applyFont="1" applyFill="1" applyBorder="1" applyProtection="1"/>
    <xf numFmtId="0" fontId="18" fillId="8" borderId="17" xfId="2" applyFont="1" applyFill="1" applyBorder="1" applyAlignment="1" applyProtection="1">
      <alignment horizontal="center" vertical="center" wrapText="1"/>
    </xf>
    <xf numFmtId="0" fontId="12" fillId="3" borderId="0" xfId="0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5" fillId="3" borderId="3" xfId="0" applyFont="1" applyFill="1" applyBorder="1" applyAlignment="1" applyProtection="1">
      <alignment vertical="center"/>
    </xf>
    <xf numFmtId="0" fontId="5" fillId="3" borderId="0" xfId="0" applyFont="1" applyFill="1" applyBorder="1" applyAlignment="1" applyProtection="1">
      <alignment vertical="center"/>
    </xf>
    <xf numFmtId="0" fontId="9" fillId="4" borderId="9" xfId="0" applyFont="1" applyFill="1" applyBorder="1" applyAlignment="1" applyProtection="1">
      <alignment horizontal="center" vertical="center"/>
      <protection locked="0"/>
    </xf>
    <xf numFmtId="20" fontId="5" fillId="3" borderId="0" xfId="0" applyNumberFormat="1" applyFont="1" applyFill="1" applyBorder="1" applyAlignment="1" applyProtection="1">
      <alignment horizontal="center"/>
    </xf>
    <xf numFmtId="0" fontId="5" fillId="8" borderId="0" xfId="0" applyFont="1" applyFill="1"/>
    <xf numFmtId="0" fontId="5" fillId="8" borderId="3" xfId="0" applyFont="1" applyFill="1" applyBorder="1" applyProtection="1"/>
    <xf numFmtId="0" fontId="5" fillId="8" borderId="0" xfId="0" applyFont="1" applyFill="1" applyBorder="1" applyAlignment="1" applyProtection="1">
      <alignment horizontal="left"/>
    </xf>
    <xf numFmtId="0" fontId="7" fillId="8" borderId="0" xfId="0" applyFont="1" applyFill="1" applyBorder="1" applyAlignment="1" applyProtection="1">
      <alignment horizontal="left"/>
    </xf>
    <xf numFmtId="0" fontId="5" fillId="8" borderId="0" xfId="0" applyFont="1" applyFill="1" applyProtection="1"/>
    <xf numFmtId="0" fontId="8" fillId="8" borderId="0" xfId="0" applyFont="1" applyFill="1"/>
    <xf numFmtId="0" fontId="8" fillId="8" borderId="3" xfId="0" applyFont="1" applyFill="1" applyBorder="1" applyProtection="1"/>
    <xf numFmtId="0" fontId="13" fillId="8" borderId="0" xfId="0" applyFont="1" applyFill="1" applyBorder="1" applyAlignment="1" applyProtection="1">
      <alignment horizontal="left"/>
    </xf>
    <xf numFmtId="0" fontId="5" fillId="8" borderId="3" xfId="0" applyFont="1" applyFill="1" applyBorder="1"/>
    <xf numFmtId="0" fontId="5" fillId="8" borderId="5" xfId="0" applyFont="1" applyFill="1" applyBorder="1"/>
    <xf numFmtId="0" fontId="5" fillId="8" borderId="6" xfId="0" applyFont="1" applyFill="1" applyBorder="1"/>
    <xf numFmtId="0" fontId="5" fillId="8" borderId="1" xfId="0" applyFont="1" applyFill="1" applyBorder="1"/>
    <xf numFmtId="0" fontId="6" fillId="8" borderId="8" xfId="0" applyFont="1" applyFill="1" applyBorder="1" applyAlignment="1">
      <alignment vertical="center"/>
    </xf>
    <xf numFmtId="0" fontId="5" fillId="8" borderId="4" xfId="0" applyFont="1" applyFill="1" applyBorder="1" applyAlignment="1" applyProtection="1">
      <alignment horizontal="left" indent="1"/>
    </xf>
    <xf numFmtId="0" fontId="8" fillId="8" borderId="4" xfId="0" applyFont="1" applyFill="1" applyBorder="1" applyProtection="1"/>
    <xf numFmtId="0" fontId="8" fillId="8" borderId="0" xfId="0" applyFont="1" applyFill="1" applyBorder="1" applyProtection="1"/>
    <xf numFmtId="0" fontId="5" fillId="8" borderId="4" xfId="0" applyFont="1" applyFill="1" applyBorder="1"/>
    <xf numFmtId="0" fontId="5" fillId="8" borderId="0" xfId="0" applyFont="1" applyFill="1" applyBorder="1" applyAlignment="1" applyProtection="1">
      <alignment horizontal="left" indent="1"/>
    </xf>
    <xf numFmtId="0" fontId="5" fillId="8" borderId="0" xfId="0" applyFont="1" applyFill="1" applyBorder="1" applyAlignment="1">
      <alignment horizontal="left" wrapText="1"/>
    </xf>
    <xf numFmtId="0" fontId="5" fillId="8" borderId="7" xfId="0" applyFont="1" applyFill="1" applyBorder="1"/>
    <xf numFmtId="0" fontId="5" fillId="8" borderId="0" xfId="0" applyFont="1" applyFill="1" applyAlignment="1">
      <alignment vertical="center" wrapText="1"/>
    </xf>
    <xf numFmtId="0" fontId="5" fillId="8" borderId="2" xfId="0" applyFont="1" applyFill="1" applyBorder="1"/>
    <xf numFmtId="0" fontId="11" fillId="8" borderId="0" xfId="0" applyFont="1" applyFill="1"/>
    <xf numFmtId="0" fontId="9" fillId="8" borderId="0" xfId="0" applyFont="1" applyFill="1" applyAlignment="1">
      <alignment horizontal="center"/>
    </xf>
    <xf numFmtId="0" fontId="19" fillId="0" borderId="0" xfId="0" applyFont="1"/>
    <xf numFmtId="0" fontId="16" fillId="8" borderId="0" xfId="2" applyFill="1"/>
    <xf numFmtId="0" fontId="0" fillId="8" borderId="9" xfId="0" applyFill="1" applyBorder="1" applyAlignment="1">
      <alignment horizontal="center" vertical="center"/>
    </xf>
    <xf numFmtId="20" fontId="0" fillId="0" borderId="9" xfId="0" applyNumberFormat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5" fillId="4" borderId="9" xfId="0" applyFont="1" applyFill="1" applyBorder="1" applyAlignment="1" applyProtection="1">
      <alignment horizontal="center"/>
      <protection locked="0"/>
    </xf>
    <xf numFmtId="0" fontId="5" fillId="8" borderId="20" xfId="0" applyFont="1" applyFill="1" applyBorder="1" applyProtection="1"/>
    <xf numFmtId="0" fontId="0" fillId="8" borderId="20" xfId="0" applyFill="1" applyBorder="1"/>
    <xf numFmtId="0" fontId="14" fillId="3" borderId="8" xfId="0" applyFont="1" applyFill="1" applyBorder="1" applyProtection="1"/>
    <xf numFmtId="0" fontId="20" fillId="8" borderId="0" xfId="0" applyFont="1" applyFill="1"/>
    <xf numFmtId="15" fontId="9" fillId="0" borderId="0" xfId="0" applyNumberFormat="1" applyFont="1" applyAlignment="1">
      <alignment horizontal="left"/>
    </xf>
    <xf numFmtId="0" fontId="21" fillId="0" borderId="0" xfId="0" applyFont="1"/>
    <xf numFmtId="0" fontId="16" fillId="8" borderId="0" xfId="2" applyFont="1" applyFill="1" applyBorder="1" applyAlignment="1" applyProtection="1">
      <alignment horizontal="left"/>
    </xf>
    <xf numFmtId="0" fontId="14" fillId="3" borderId="0" xfId="0" applyFont="1" applyFill="1" applyBorder="1" applyProtection="1"/>
    <xf numFmtId="0" fontId="16" fillId="8" borderId="17" xfId="2" applyFill="1" applyBorder="1" applyAlignment="1" applyProtection="1">
      <alignment horizontal="center" vertical="center" wrapText="1"/>
    </xf>
    <xf numFmtId="0" fontId="16" fillId="3" borderId="0" xfId="2" applyFill="1" applyBorder="1" applyProtection="1"/>
    <xf numFmtId="0" fontId="1" fillId="0" borderId="0" xfId="0" applyFont="1" applyFill="1" applyBorder="1"/>
    <xf numFmtId="0" fontId="4" fillId="0" borderId="0" xfId="0" applyFont="1" applyFill="1" applyAlignment="1">
      <alignment horizontal="center"/>
    </xf>
    <xf numFmtId="0" fontId="6" fillId="3" borderId="1" xfId="0" applyFont="1" applyFill="1" applyBorder="1" applyAlignment="1" applyProtection="1">
      <alignment horizontal="left" vertical="center" wrapText="1" indent="1"/>
    </xf>
    <xf numFmtId="0" fontId="6" fillId="3" borderId="8" xfId="0" applyFont="1" applyFill="1" applyBorder="1" applyAlignment="1" applyProtection="1">
      <alignment horizontal="left" vertical="center" wrapText="1" indent="1"/>
    </xf>
    <xf numFmtId="0" fontId="6" fillId="3" borderId="2" xfId="0" applyFont="1" applyFill="1" applyBorder="1" applyAlignment="1" applyProtection="1">
      <alignment horizontal="left" vertical="center" wrapText="1" indent="1"/>
    </xf>
    <xf numFmtId="0" fontId="14" fillId="0" borderId="0" xfId="0" applyFont="1" applyFill="1" applyAlignment="1">
      <alignment horizontal="left" vertical="top" wrapText="1"/>
    </xf>
    <xf numFmtId="0" fontId="18" fillId="8" borderId="18" xfId="2" applyFont="1" applyFill="1" applyBorder="1" applyAlignment="1" applyProtection="1">
      <alignment horizontal="center" vertical="center" wrapText="1"/>
    </xf>
    <xf numFmtId="0" fontId="18" fillId="8" borderId="19" xfId="2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CF235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CFF"/>
      <rgbColor rgb="00CCFFCC"/>
      <rgbColor rgb="00FFFF99"/>
      <rgbColor rgb="0099CCFF"/>
      <rgbColor rgb="00FF99CC"/>
      <rgbColor rgb="00CC99FF"/>
      <rgbColor rgb="00FFCC99"/>
      <rgbColor rgb="003366FF"/>
      <rgbColor rgb="00608ECA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6/relationships/vbaProject" Target="vb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Calls</a:t>
            </a:r>
            <a:r>
              <a:rPr lang="en-GB" baseline="0"/>
              <a:t> over the day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'Day Planner'!$E$15</c:f>
              <c:strCache>
                <c:ptCount val="1"/>
                <c:pt idx="0">
                  <c:v>Agents required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'Day Planner'!$C$16:$C$36</c:f>
              <c:numCache>
                <c:formatCode>h:mm</c:formatCode>
                <c:ptCount val="21"/>
                <c:pt idx="0">
                  <c:v>0.33333333333333331</c:v>
                </c:pt>
                <c:pt idx="1">
                  <c:v>0.35416666666666663</c:v>
                </c:pt>
                <c:pt idx="2">
                  <c:v>0.37499999999999994</c:v>
                </c:pt>
                <c:pt idx="3">
                  <c:v>0.39583333333333326</c:v>
                </c:pt>
                <c:pt idx="4">
                  <c:v>0.41666666666666657</c:v>
                </c:pt>
                <c:pt idx="5">
                  <c:v>0.43749999999999989</c:v>
                </c:pt>
                <c:pt idx="6">
                  <c:v>0.4583333333333332</c:v>
                </c:pt>
                <c:pt idx="7">
                  <c:v>0.47916666666666652</c:v>
                </c:pt>
                <c:pt idx="8">
                  <c:v>0.49999999999999983</c:v>
                </c:pt>
                <c:pt idx="9">
                  <c:v>0.52083333333333315</c:v>
                </c:pt>
                <c:pt idx="10">
                  <c:v>0.54166666666666652</c:v>
                </c:pt>
                <c:pt idx="11">
                  <c:v>0.56249999999999989</c:v>
                </c:pt>
                <c:pt idx="12">
                  <c:v>0.58333333333333326</c:v>
                </c:pt>
                <c:pt idx="13">
                  <c:v>0.60416666666666663</c:v>
                </c:pt>
                <c:pt idx="14">
                  <c:v>0.625</c:v>
                </c:pt>
                <c:pt idx="15">
                  <c:v>0.64583333333333337</c:v>
                </c:pt>
                <c:pt idx="16">
                  <c:v>0.66666666666666674</c:v>
                </c:pt>
                <c:pt idx="17">
                  <c:v>0.68750000000000011</c:v>
                </c:pt>
                <c:pt idx="18">
                  <c:v>0.70833333333333348</c:v>
                </c:pt>
                <c:pt idx="19">
                  <c:v>0.72916666666666685</c:v>
                </c:pt>
                <c:pt idx="20">
                  <c:v>0.75000000000000022</c:v>
                </c:pt>
              </c:numCache>
            </c:numRef>
          </c:cat>
          <c:val>
            <c:numRef>
              <c:f>[0]!AgentsRequired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A-42BA-8625-E247EE61D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330208"/>
        <c:axId val="232239680"/>
      </c:barChart>
      <c:lineChart>
        <c:grouping val="standard"/>
        <c:varyColors val="0"/>
        <c:ser>
          <c:idx val="0"/>
          <c:order val="0"/>
          <c:tx>
            <c:strRef>
              <c:f>'Day Planner'!$D$15</c:f>
              <c:strCache>
                <c:ptCount val="1"/>
                <c:pt idx="0">
                  <c:v>Incoming calls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[0]!TimeRange</c:f>
              <c:numCache>
                <c:formatCode>h:mm</c:formatCode>
                <c:ptCount val="21"/>
                <c:pt idx="0">
                  <c:v>0.33333333333333331</c:v>
                </c:pt>
                <c:pt idx="1">
                  <c:v>0.35416666666666663</c:v>
                </c:pt>
                <c:pt idx="2">
                  <c:v>0.37499999999999994</c:v>
                </c:pt>
                <c:pt idx="3">
                  <c:v>0.39583333333333326</c:v>
                </c:pt>
                <c:pt idx="4">
                  <c:v>0.41666666666666657</c:v>
                </c:pt>
                <c:pt idx="5">
                  <c:v>0.43749999999999989</c:v>
                </c:pt>
                <c:pt idx="6">
                  <c:v>0.4583333333333332</c:v>
                </c:pt>
                <c:pt idx="7">
                  <c:v>0.47916666666666652</c:v>
                </c:pt>
                <c:pt idx="8">
                  <c:v>0.49999999999999983</c:v>
                </c:pt>
                <c:pt idx="9">
                  <c:v>0.52083333333333315</c:v>
                </c:pt>
                <c:pt idx="10">
                  <c:v>0.54166666666666652</c:v>
                </c:pt>
                <c:pt idx="11">
                  <c:v>0.56249999999999989</c:v>
                </c:pt>
                <c:pt idx="12">
                  <c:v>0.58333333333333326</c:v>
                </c:pt>
                <c:pt idx="13">
                  <c:v>0.60416666666666663</c:v>
                </c:pt>
                <c:pt idx="14">
                  <c:v>0.625</c:v>
                </c:pt>
                <c:pt idx="15">
                  <c:v>0.64583333333333337</c:v>
                </c:pt>
                <c:pt idx="16">
                  <c:v>0.66666666666666674</c:v>
                </c:pt>
                <c:pt idx="17">
                  <c:v>0.68750000000000011</c:v>
                </c:pt>
                <c:pt idx="18">
                  <c:v>0.70833333333333348</c:v>
                </c:pt>
                <c:pt idx="19">
                  <c:v>0.72916666666666685</c:v>
                </c:pt>
                <c:pt idx="20">
                  <c:v>0.75000000000000022</c:v>
                </c:pt>
              </c:numCache>
            </c:numRef>
          </c:cat>
          <c:val>
            <c:numRef>
              <c:f>[0]!IncomingCalls</c:f>
              <c:numCache>
                <c:formatCode>General</c:formatCode>
                <c:ptCount val="21"/>
                <c:pt idx="0">
                  <c:v>10</c:v>
                </c:pt>
                <c:pt idx="1">
                  <c:v>32</c:v>
                </c:pt>
                <c:pt idx="2">
                  <c:v>103</c:v>
                </c:pt>
                <c:pt idx="3">
                  <c:v>140</c:v>
                </c:pt>
                <c:pt idx="4">
                  <c:v>266</c:v>
                </c:pt>
                <c:pt idx="5">
                  <c:v>361</c:v>
                </c:pt>
                <c:pt idx="6">
                  <c:v>333</c:v>
                </c:pt>
                <c:pt idx="7">
                  <c:v>281</c:v>
                </c:pt>
                <c:pt idx="8">
                  <c:v>304</c:v>
                </c:pt>
                <c:pt idx="9">
                  <c:v>220</c:v>
                </c:pt>
                <c:pt idx="10">
                  <c:v>246</c:v>
                </c:pt>
                <c:pt idx="11">
                  <c:v>259</c:v>
                </c:pt>
                <c:pt idx="12">
                  <c:v>220</c:v>
                </c:pt>
                <c:pt idx="13">
                  <c:v>258</c:v>
                </c:pt>
                <c:pt idx="14">
                  <c:v>276</c:v>
                </c:pt>
                <c:pt idx="15">
                  <c:v>222</c:v>
                </c:pt>
                <c:pt idx="16">
                  <c:v>180</c:v>
                </c:pt>
                <c:pt idx="17">
                  <c:v>200</c:v>
                </c:pt>
                <c:pt idx="18">
                  <c:v>152</c:v>
                </c:pt>
                <c:pt idx="19">
                  <c:v>87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A-42BA-8625-E247EE61D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331520"/>
        <c:axId val="519329224"/>
      </c:lineChart>
      <c:catAx>
        <c:axId val="5193315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29224"/>
        <c:crosses val="autoZero"/>
        <c:auto val="1"/>
        <c:lblAlgn val="ctr"/>
        <c:lblOffset val="100"/>
        <c:noMultiLvlLbl val="0"/>
      </c:catAx>
      <c:valAx>
        <c:axId val="51932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31520"/>
        <c:crosses val="autoZero"/>
        <c:crossBetween val="between"/>
      </c:valAx>
      <c:valAx>
        <c:axId val="232239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30208"/>
        <c:crosses val="max"/>
        <c:crossBetween val="between"/>
      </c:valAx>
      <c:catAx>
        <c:axId val="519330208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32239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Calls</a:t>
            </a:r>
            <a:r>
              <a:rPr lang="en-GB" baseline="0"/>
              <a:t> over the day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'Expected Service Level'!$G$15</c:f>
              <c:strCache>
                <c:ptCount val="1"/>
                <c:pt idx="0">
                  <c:v>Agents required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'Expected Service Level'!$C$16:$C$36</c:f>
              <c:numCache>
                <c:formatCode>h:mm</c:formatCode>
                <c:ptCount val="21"/>
                <c:pt idx="0">
                  <c:v>0.33333333333333331</c:v>
                </c:pt>
                <c:pt idx="1">
                  <c:v>0.35416666666666663</c:v>
                </c:pt>
                <c:pt idx="2">
                  <c:v>0.37499999999999994</c:v>
                </c:pt>
                <c:pt idx="3">
                  <c:v>0.39583333333333326</c:v>
                </c:pt>
                <c:pt idx="4">
                  <c:v>0.41666666666666657</c:v>
                </c:pt>
                <c:pt idx="5">
                  <c:v>0.43749999999999989</c:v>
                </c:pt>
                <c:pt idx="6">
                  <c:v>0.4583333333333332</c:v>
                </c:pt>
                <c:pt idx="7">
                  <c:v>0.47916666666666652</c:v>
                </c:pt>
                <c:pt idx="8">
                  <c:v>0.49999999999999983</c:v>
                </c:pt>
                <c:pt idx="9">
                  <c:v>0.52083333333333315</c:v>
                </c:pt>
                <c:pt idx="10">
                  <c:v>0.54166666666666652</c:v>
                </c:pt>
                <c:pt idx="11">
                  <c:v>0.56249999999999989</c:v>
                </c:pt>
                <c:pt idx="12">
                  <c:v>0.58333333333333326</c:v>
                </c:pt>
                <c:pt idx="13">
                  <c:v>0.60416666666666663</c:v>
                </c:pt>
                <c:pt idx="14">
                  <c:v>0.625</c:v>
                </c:pt>
                <c:pt idx="15">
                  <c:v>0.64583333333333337</c:v>
                </c:pt>
                <c:pt idx="16">
                  <c:v>0.66666666666666674</c:v>
                </c:pt>
                <c:pt idx="17">
                  <c:v>0.68750000000000011</c:v>
                </c:pt>
                <c:pt idx="18">
                  <c:v>0.70833333333333348</c:v>
                </c:pt>
                <c:pt idx="19">
                  <c:v>0.72916666666666685</c:v>
                </c:pt>
                <c:pt idx="20">
                  <c:v>0.75000000000000022</c:v>
                </c:pt>
              </c:numCache>
            </c:numRef>
          </c:cat>
          <c:val>
            <c:numRef>
              <c:f>[0]!ESLReqAgents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4-4DB3-8244-B71CCF552642}"/>
            </c:ext>
          </c:extLst>
        </c:ser>
        <c:ser>
          <c:idx val="2"/>
          <c:order val="2"/>
          <c:tx>
            <c:v>Agents Available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[0]!ESLAgentsAvailable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30</c:v>
                </c:pt>
                <c:pt idx="3">
                  <c:v>20</c:v>
                </c:pt>
                <c:pt idx="4">
                  <c:v>35</c:v>
                </c:pt>
                <c:pt idx="5">
                  <c:v>35</c:v>
                </c:pt>
                <c:pt idx="6">
                  <c:v>40</c:v>
                </c:pt>
                <c:pt idx="7">
                  <c:v>40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A4-4DB3-8244-B71CCF552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9330208"/>
        <c:axId val="232239680"/>
      </c:barChart>
      <c:lineChart>
        <c:grouping val="standard"/>
        <c:varyColors val="0"/>
        <c:ser>
          <c:idx val="0"/>
          <c:order val="0"/>
          <c:tx>
            <c:strRef>
              <c:f>'Expected Service Level'!$D$15</c:f>
              <c:strCache>
                <c:ptCount val="1"/>
                <c:pt idx="0">
                  <c:v>Incoming calls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[0]!ESLTimeRange</c:f>
              <c:numCache>
                <c:formatCode>h:mm</c:formatCode>
                <c:ptCount val="21"/>
                <c:pt idx="0">
                  <c:v>0.33333333333333331</c:v>
                </c:pt>
                <c:pt idx="1">
                  <c:v>0.35416666666666663</c:v>
                </c:pt>
                <c:pt idx="2">
                  <c:v>0.37499999999999994</c:v>
                </c:pt>
                <c:pt idx="3">
                  <c:v>0.39583333333333326</c:v>
                </c:pt>
                <c:pt idx="4">
                  <c:v>0.41666666666666657</c:v>
                </c:pt>
                <c:pt idx="5">
                  <c:v>0.43749999999999989</c:v>
                </c:pt>
                <c:pt idx="6">
                  <c:v>0.4583333333333332</c:v>
                </c:pt>
                <c:pt idx="7">
                  <c:v>0.47916666666666652</c:v>
                </c:pt>
                <c:pt idx="8">
                  <c:v>0.49999999999999983</c:v>
                </c:pt>
                <c:pt idx="9">
                  <c:v>0.52083333333333315</c:v>
                </c:pt>
                <c:pt idx="10">
                  <c:v>0.54166666666666652</c:v>
                </c:pt>
                <c:pt idx="11">
                  <c:v>0.56249999999999989</c:v>
                </c:pt>
                <c:pt idx="12">
                  <c:v>0.58333333333333326</c:v>
                </c:pt>
                <c:pt idx="13">
                  <c:v>0.60416666666666663</c:v>
                </c:pt>
                <c:pt idx="14">
                  <c:v>0.625</c:v>
                </c:pt>
                <c:pt idx="15">
                  <c:v>0.64583333333333337</c:v>
                </c:pt>
                <c:pt idx="16">
                  <c:v>0.66666666666666674</c:v>
                </c:pt>
                <c:pt idx="17">
                  <c:v>0.68750000000000011</c:v>
                </c:pt>
                <c:pt idx="18">
                  <c:v>0.70833333333333348</c:v>
                </c:pt>
                <c:pt idx="19">
                  <c:v>0.72916666666666685</c:v>
                </c:pt>
                <c:pt idx="20">
                  <c:v>0.75000000000000022</c:v>
                </c:pt>
              </c:numCache>
            </c:numRef>
          </c:cat>
          <c:val>
            <c:numRef>
              <c:f>[0]!ESLIncomingCalls</c:f>
              <c:numCache>
                <c:formatCode>General</c:formatCode>
                <c:ptCount val="21"/>
                <c:pt idx="0">
                  <c:v>10</c:v>
                </c:pt>
                <c:pt idx="1">
                  <c:v>32</c:v>
                </c:pt>
                <c:pt idx="2">
                  <c:v>103</c:v>
                </c:pt>
                <c:pt idx="3">
                  <c:v>140</c:v>
                </c:pt>
                <c:pt idx="4">
                  <c:v>266</c:v>
                </c:pt>
                <c:pt idx="5">
                  <c:v>361</c:v>
                </c:pt>
                <c:pt idx="6">
                  <c:v>333</c:v>
                </c:pt>
                <c:pt idx="7">
                  <c:v>281</c:v>
                </c:pt>
                <c:pt idx="8">
                  <c:v>304</c:v>
                </c:pt>
                <c:pt idx="9">
                  <c:v>220</c:v>
                </c:pt>
                <c:pt idx="10">
                  <c:v>246</c:v>
                </c:pt>
                <c:pt idx="11">
                  <c:v>259</c:v>
                </c:pt>
                <c:pt idx="12">
                  <c:v>220</c:v>
                </c:pt>
                <c:pt idx="13">
                  <c:v>258</c:v>
                </c:pt>
                <c:pt idx="14">
                  <c:v>276</c:v>
                </c:pt>
                <c:pt idx="15">
                  <c:v>222</c:v>
                </c:pt>
                <c:pt idx="16">
                  <c:v>180</c:v>
                </c:pt>
                <c:pt idx="17">
                  <c:v>200</c:v>
                </c:pt>
                <c:pt idx="18">
                  <c:v>152</c:v>
                </c:pt>
                <c:pt idx="19">
                  <c:v>87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4-4DB3-8244-B71CCF552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331520"/>
        <c:axId val="519329224"/>
      </c:lineChart>
      <c:catAx>
        <c:axId val="5193315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29224"/>
        <c:crosses val="autoZero"/>
        <c:auto val="1"/>
        <c:lblAlgn val="ctr"/>
        <c:lblOffset val="100"/>
        <c:noMultiLvlLbl val="0"/>
      </c:catAx>
      <c:valAx>
        <c:axId val="51932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31520"/>
        <c:crosses val="autoZero"/>
        <c:crossBetween val="between"/>
      </c:valAx>
      <c:valAx>
        <c:axId val="232239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30208"/>
        <c:crosses val="max"/>
        <c:crossBetween val="between"/>
      </c:valAx>
      <c:catAx>
        <c:axId val="519330208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32239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www.callcentrehelper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www.callcentrehelper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hyperlink" Target="https://www.callcentrehelper.com/" TargetMode="Externa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hyperlink" Target="https://www.callcentrehelper.com/" TargetMode="Externa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www.callcentrehelper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104775</xdr:rowOff>
    </xdr:from>
    <xdr:to>
      <xdr:col>9</xdr:col>
      <xdr:colOff>1114425</xdr:colOff>
      <xdr:row>9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3467100" y="762000"/>
          <a:ext cx="4619625" cy="866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F235E" mc:Ignorable="a14" a14:legacySpreadsheetColorIndex="1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Type parameters in the boxes below.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The left hand box calculates the number of agents needed to reach a required service level. Use the right hand box if you want to see statistics for the number of agents that you have.</a:t>
          </a:r>
        </a:p>
      </xdr:txBody>
    </xdr:sp>
    <xdr:clientData/>
  </xdr:twoCellAnchor>
  <xdr:twoCellAnchor editAs="oneCell">
    <xdr:from>
      <xdr:col>1</xdr:col>
      <xdr:colOff>171450</xdr:colOff>
      <xdr:row>3</xdr:row>
      <xdr:rowOff>114300</xdr:rowOff>
    </xdr:from>
    <xdr:to>
      <xdr:col>3</xdr:col>
      <xdr:colOff>285750</xdr:colOff>
      <xdr:row>7</xdr:row>
      <xdr:rowOff>76200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71525"/>
          <a:ext cx="1847850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352425</xdr:colOff>
      <xdr:row>3</xdr:row>
      <xdr:rowOff>152400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99054A-D16B-4B41-B525-25EF00819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61925"/>
          <a:ext cx="1847850" cy="6096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242886</xdr:colOff>
      <xdr:row>4</xdr:row>
      <xdr:rowOff>76199</xdr:rowOff>
    </xdr:from>
    <xdr:to>
      <xdr:col>16</xdr:col>
      <xdr:colOff>571499</xdr:colOff>
      <xdr:row>25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C2D87-772C-4F14-993C-430BCA32F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0</xdr:rowOff>
    </xdr:from>
    <xdr:to>
      <xdr:col>12</xdr:col>
      <xdr:colOff>19050</xdr:colOff>
      <xdr:row>3</xdr:row>
      <xdr:rowOff>85725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D6F150-5D18-47AE-BE44-BC2DC7DF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171450"/>
          <a:ext cx="1847850" cy="6096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1</xdr:row>
      <xdr:rowOff>57150</xdr:rowOff>
    </xdr:from>
    <xdr:to>
      <xdr:col>20</xdr:col>
      <xdr:colOff>538163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8FD9EC-945A-4831-92AD-C9AB771FA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9</xdr:col>
      <xdr:colOff>228600</xdr:colOff>
      <xdr:row>11</xdr:row>
      <xdr:rowOff>123825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C21E7F-551F-4DCE-BF6E-A41C2B0B4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1476375"/>
          <a:ext cx="1847850" cy="6096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</xdr:row>
      <xdr:rowOff>190500</xdr:rowOff>
    </xdr:from>
    <xdr:to>
      <xdr:col>10</xdr:col>
      <xdr:colOff>47625</xdr:colOff>
      <xdr:row>5</xdr:row>
      <xdr:rowOff>38100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2569DA-CA91-4197-A857-DFB75B954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361950"/>
          <a:ext cx="1847850" cy="6096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lcentrehelper.com/online-call-centre-staffing-calculator-77780.htm" TargetMode="External"/><Relationship Id="rId2" Type="http://schemas.openxmlformats.org/officeDocument/2006/relationships/hyperlink" Target="https://www.callcentrehelper.com/" TargetMode="External"/><Relationship Id="rId1" Type="http://schemas.openxmlformats.org/officeDocument/2006/relationships/hyperlink" Target="https://www.callcentrehelper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lcentrehelper.com/" TargetMode="External"/><Relationship Id="rId2" Type="http://schemas.openxmlformats.org/officeDocument/2006/relationships/hyperlink" Target="https://www.callcentrehelper.com/" TargetMode="External"/><Relationship Id="rId1" Type="http://schemas.openxmlformats.org/officeDocument/2006/relationships/hyperlink" Target="https://www.callcentrehelper.com/how-to-calculate-contact-centre-shrinkage-90353.ht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callcentrehelper.com/" TargetMode="External"/><Relationship Id="rId1" Type="http://schemas.openxmlformats.org/officeDocument/2006/relationships/hyperlink" Target="https://www.callcentrehelper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callcentrehelper.com/" TargetMode="External"/><Relationship Id="rId1" Type="http://schemas.openxmlformats.org/officeDocument/2006/relationships/hyperlink" Target="https://www.callcentrehelper.com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callcentrehelper.com/online-call-centre-staffing-calculator-77780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llcentrehelper.com/online-call-centre-staffing-calculator-7778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005"/>
  <sheetViews>
    <sheetView showGridLines="0" tabSelected="1" topLeftCell="A13" workbookViewId="0">
      <selection activeCell="D31" sqref="D31"/>
    </sheetView>
  </sheetViews>
  <sheetFormatPr defaultColWidth="9.16796875" defaultRowHeight="12.75" x14ac:dyDescent="0.15"/>
  <cols>
    <col min="1" max="1" width="4.58203125" style="88" customWidth="1"/>
    <col min="2" max="2" width="3.234375" style="88" customWidth="1"/>
    <col min="3" max="3" width="22.65234375" style="88" customWidth="1"/>
    <col min="4" max="4" width="13.75390625" style="110" customWidth="1"/>
    <col min="5" max="5" width="17.2578125" style="88" customWidth="1"/>
    <col min="6" max="6" width="3.234375" style="88" customWidth="1"/>
    <col min="7" max="7" width="4.04296875" style="88" customWidth="1"/>
    <col min="8" max="8" width="20.90234375" style="88" customWidth="1"/>
    <col min="9" max="9" width="13.75390625" style="111" customWidth="1"/>
    <col min="10" max="10" width="15.23828125" style="88" customWidth="1"/>
    <col min="11" max="11" width="3.37109375" style="88" customWidth="1"/>
    <col min="12" max="12" width="5.12109375" style="88" customWidth="1"/>
    <col min="13" max="13" width="21.171875" style="1" customWidth="1"/>
    <col min="14" max="14" width="18.203125" style="1" customWidth="1"/>
    <col min="15" max="15" width="12.5390625" style="1" customWidth="1"/>
    <col min="16" max="16384" width="9.16796875" style="1"/>
  </cols>
  <sheetData>
    <row r="1" spans="2:10" x14ac:dyDescent="0.15">
      <c r="D1" s="31"/>
      <c r="I1" s="32"/>
    </row>
    <row r="2" spans="2:10" ht="20.100000000000001" customHeight="1" x14ac:dyDescent="0.15">
      <c r="C2" s="135" t="s">
        <v>14</v>
      </c>
      <c r="D2" s="135"/>
      <c r="E2" s="135"/>
      <c r="F2" s="135"/>
      <c r="G2" s="135"/>
      <c r="H2" s="135"/>
      <c r="I2" s="135"/>
      <c r="J2" s="135"/>
    </row>
    <row r="3" spans="2:10" ht="20.100000000000001" customHeight="1" x14ac:dyDescent="0.15">
      <c r="C3" s="135"/>
      <c r="D3" s="135"/>
      <c r="E3" s="135"/>
      <c r="F3" s="135"/>
      <c r="G3" s="135"/>
      <c r="H3" s="135"/>
      <c r="I3" s="135"/>
      <c r="J3" s="135"/>
    </row>
    <row r="4" spans="2:10" x14ac:dyDescent="0.15">
      <c r="D4" s="31"/>
      <c r="I4" s="32"/>
    </row>
    <row r="5" spans="2:10" x14ac:dyDescent="0.15">
      <c r="D5" s="33"/>
      <c r="I5" s="32"/>
    </row>
    <row r="6" spans="2:10" x14ac:dyDescent="0.15">
      <c r="D6" s="33"/>
      <c r="I6" s="32"/>
    </row>
    <row r="7" spans="2:10" x14ac:dyDescent="0.15">
      <c r="D7" s="33"/>
      <c r="I7" s="32"/>
    </row>
    <row r="8" spans="2:10" x14ac:dyDescent="0.15">
      <c r="D8" s="33"/>
      <c r="I8" s="32"/>
    </row>
    <row r="9" spans="2:10" x14ac:dyDescent="0.15">
      <c r="D9" s="33"/>
      <c r="I9" s="32"/>
    </row>
    <row r="10" spans="2:10" x14ac:dyDescent="0.15">
      <c r="D10" s="33"/>
      <c r="I10" s="32"/>
    </row>
    <row r="11" spans="2:10" ht="19.5" customHeight="1" x14ac:dyDescent="0.2">
      <c r="C11" s="123" t="s">
        <v>98</v>
      </c>
      <c r="D11" s="33"/>
      <c r="I11" s="32"/>
    </row>
    <row r="12" spans="2:10" ht="11.25" customHeight="1" x14ac:dyDescent="0.2">
      <c r="C12" s="123"/>
      <c r="D12" s="33"/>
      <c r="I12" s="32"/>
    </row>
    <row r="13" spans="2:10" x14ac:dyDescent="0.15">
      <c r="C13" s="90" t="s">
        <v>101</v>
      </c>
      <c r="D13" s="33"/>
      <c r="I13" s="32"/>
    </row>
    <row r="14" spans="2:10" x14ac:dyDescent="0.15">
      <c r="C14" s="126" t="s">
        <v>102</v>
      </c>
      <c r="D14" s="33"/>
      <c r="I14" s="32"/>
    </row>
    <row r="15" spans="2:10" ht="13.5" thickBot="1" x14ac:dyDescent="0.2">
      <c r="B15" s="131"/>
      <c r="C15" s="131"/>
      <c r="D15" s="131"/>
      <c r="E15" s="131"/>
      <c r="I15" s="32"/>
    </row>
    <row r="16" spans="2:10" ht="30" customHeight="1" x14ac:dyDescent="0.15">
      <c r="B16" s="132" t="s">
        <v>9</v>
      </c>
      <c r="C16" s="133"/>
      <c r="D16" s="133"/>
      <c r="E16" s="134"/>
      <c r="G16" s="99"/>
      <c r="H16" s="100" t="s">
        <v>10</v>
      </c>
      <c r="I16" s="7"/>
      <c r="J16" s="109"/>
    </row>
    <row r="17" spans="1:12" x14ac:dyDescent="0.15">
      <c r="B17" s="89"/>
      <c r="C17" s="68"/>
      <c r="D17" s="20"/>
      <c r="E17" s="69"/>
      <c r="G17" s="96"/>
      <c r="H17" s="68"/>
      <c r="I17" s="20"/>
      <c r="J17" s="69"/>
    </row>
    <row r="18" spans="1:12" x14ac:dyDescent="0.15">
      <c r="B18" s="89"/>
      <c r="C18" s="90" t="s">
        <v>18</v>
      </c>
      <c r="D18" s="26">
        <v>100</v>
      </c>
      <c r="E18" s="101" t="s">
        <v>16</v>
      </c>
      <c r="G18" s="96"/>
      <c r="H18" s="90" t="s">
        <v>18</v>
      </c>
      <c r="I18" s="27">
        <v>250</v>
      </c>
      <c r="J18" s="101" t="s">
        <v>16</v>
      </c>
    </row>
    <row r="19" spans="1:12" x14ac:dyDescent="0.15">
      <c r="B19" s="89"/>
      <c r="C19" s="68"/>
      <c r="D19" s="14"/>
      <c r="E19" s="69"/>
      <c r="G19" s="96"/>
      <c r="H19" s="68"/>
      <c r="I19" s="14"/>
      <c r="J19" s="69"/>
    </row>
    <row r="20" spans="1:12" x14ac:dyDescent="0.15">
      <c r="B20" s="89"/>
      <c r="C20" s="90" t="s">
        <v>19</v>
      </c>
      <c r="D20" s="26">
        <v>30</v>
      </c>
      <c r="E20" s="101" t="s">
        <v>17</v>
      </c>
      <c r="G20" s="96"/>
      <c r="H20" s="68" t="s">
        <v>19</v>
      </c>
      <c r="I20" s="27">
        <v>30</v>
      </c>
      <c r="J20" s="101" t="s">
        <v>17</v>
      </c>
    </row>
    <row r="21" spans="1:12" x14ac:dyDescent="0.15">
      <c r="B21" s="89"/>
      <c r="C21" s="68"/>
      <c r="D21" s="14"/>
      <c r="E21" s="69"/>
      <c r="G21" s="96"/>
      <c r="H21" s="68"/>
      <c r="I21" s="14"/>
      <c r="J21" s="69"/>
    </row>
    <row r="22" spans="1:12" x14ac:dyDescent="0.15">
      <c r="B22" s="89"/>
      <c r="C22" s="90" t="s">
        <v>83</v>
      </c>
      <c r="D22" s="27">
        <v>157</v>
      </c>
      <c r="E22" s="101" t="s">
        <v>0</v>
      </c>
      <c r="G22" s="96"/>
      <c r="H22" s="90" t="s">
        <v>83</v>
      </c>
      <c r="I22" s="27">
        <v>360</v>
      </c>
      <c r="J22" s="101" t="s">
        <v>0</v>
      </c>
    </row>
    <row r="23" spans="1:12" x14ac:dyDescent="0.15">
      <c r="B23" s="89"/>
      <c r="C23" s="68"/>
      <c r="D23" s="14"/>
      <c r="E23" s="69"/>
      <c r="G23" s="96"/>
      <c r="H23" s="68"/>
      <c r="I23" s="14"/>
      <c r="J23" s="69"/>
    </row>
    <row r="24" spans="1:12" x14ac:dyDescent="0.15">
      <c r="B24" s="89"/>
      <c r="C24" s="90" t="s">
        <v>2</v>
      </c>
      <c r="D24" s="28">
        <v>0.8</v>
      </c>
      <c r="E24" s="101"/>
      <c r="G24" s="96"/>
      <c r="H24" s="90" t="s">
        <v>4</v>
      </c>
      <c r="I24" s="27">
        <v>20</v>
      </c>
      <c r="J24" s="101" t="s">
        <v>0</v>
      </c>
    </row>
    <row r="25" spans="1:12" x14ac:dyDescent="0.15">
      <c r="B25" s="89"/>
      <c r="C25" s="91" t="s">
        <v>3</v>
      </c>
      <c r="D25" s="9"/>
      <c r="E25" s="69"/>
      <c r="G25" s="96"/>
      <c r="H25" s="68"/>
      <c r="I25" s="14"/>
      <c r="J25" s="69"/>
    </row>
    <row r="26" spans="1:12" x14ac:dyDescent="0.15">
      <c r="B26" s="89"/>
      <c r="C26" s="92"/>
      <c r="D26" s="9"/>
      <c r="E26" s="101"/>
      <c r="G26" s="96"/>
      <c r="H26" s="90" t="s">
        <v>5</v>
      </c>
      <c r="I26" s="27">
        <v>55</v>
      </c>
      <c r="J26" s="69"/>
    </row>
    <row r="27" spans="1:12" x14ac:dyDescent="0.15">
      <c r="B27" s="89"/>
      <c r="C27" s="90" t="s">
        <v>4</v>
      </c>
      <c r="D27" s="27">
        <v>20</v>
      </c>
      <c r="E27" s="101" t="s">
        <v>0</v>
      </c>
      <c r="G27" s="96"/>
      <c r="H27" s="68"/>
      <c r="I27" s="14"/>
      <c r="J27" s="69"/>
    </row>
    <row r="28" spans="1:12" x14ac:dyDescent="0.15">
      <c r="B28" s="89"/>
      <c r="C28" s="68"/>
      <c r="D28" s="14"/>
      <c r="E28" s="69"/>
      <c r="G28" s="96"/>
      <c r="H28" s="90" t="s">
        <v>1</v>
      </c>
      <c r="I28" s="22">
        <f>I18/(I20*60)*I22</f>
        <v>50</v>
      </c>
      <c r="J28" s="69"/>
    </row>
    <row r="29" spans="1:12" s="2" customFormat="1" x14ac:dyDescent="0.15">
      <c r="A29" s="93"/>
      <c r="B29" s="94"/>
      <c r="C29" s="90" t="s">
        <v>21</v>
      </c>
      <c r="D29" s="41">
        <v>0.3</v>
      </c>
      <c r="E29" s="102"/>
      <c r="F29" s="93"/>
      <c r="G29" s="96"/>
      <c r="H29" s="103"/>
      <c r="I29" s="23"/>
      <c r="J29" s="69"/>
      <c r="K29" s="93"/>
      <c r="L29" s="93"/>
    </row>
    <row r="30" spans="1:12" x14ac:dyDescent="0.15">
      <c r="B30" s="89"/>
      <c r="C30" s="68"/>
      <c r="D30" s="14"/>
      <c r="E30" s="69"/>
      <c r="G30" s="96"/>
      <c r="H30" s="90" t="s">
        <v>6</v>
      </c>
      <c r="I30" s="24" t="e">
        <f ca="1">erlangc(I28,I26)</f>
        <v>#NAME?</v>
      </c>
      <c r="J30" s="69"/>
    </row>
    <row r="31" spans="1:12" x14ac:dyDescent="0.15">
      <c r="B31" s="89"/>
      <c r="C31" s="95" t="s">
        <v>8</v>
      </c>
      <c r="D31" s="14" t="e">
        <f ca="1">AgentsFTE(D18,D20,D22,D24,D27,D29)</f>
        <v>#NAME?</v>
      </c>
      <c r="E31" s="69"/>
      <c r="G31" s="96"/>
      <c r="H31" s="91" t="s">
        <v>7</v>
      </c>
      <c r="I31" s="14"/>
      <c r="J31" s="69"/>
    </row>
    <row r="32" spans="1:12" x14ac:dyDescent="0.15">
      <c r="B32" s="96"/>
      <c r="C32" s="79"/>
      <c r="D32" s="5"/>
      <c r="E32" s="104"/>
      <c r="G32" s="96"/>
      <c r="H32" s="105"/>
      <c r="I32" s="14"/>
      <c r="J32" s="69"/>
    </row>
    <row r="33" spans="1:12" ht="31.5" x14ac:dyDescent="0.15">
      <c r="B33" s="96"/>
      <c r="C33" s="138" t="s">
        <v>89</v>
      </c>
      <c r="D33" s="139"/>
      <c r="E33" s="140"/>
      <c r="G33" s="96"/>
      <c r="H33" s="106" t="s">
        <v>59</v>
      </c>
      <c r="I33" s="8" t="e">
        <f ca="1">Servicelevel(I18,I20,I22,I24,I26)</f>
        <v>#NAME?</v>
      </c>
      <c r="J33" s="104"/>
    </row>
    <row r="34" spans="1:12" x14ac:dyDescent="0.15">
      <c r="B34" s="96"/>
      <c r="C34" s="95"/>
      <c r="D34" s="14"/>
      <c r="E34" s="104"/>
      <c r="G34" s="96"/>
      <c r="H34" s="106"/>
      <c r="I34" s="8"/>
      <c r="J34" s="104"/>
    </row>
    <row r="35" spans="1:12" x14ac:dyDescent="0.15">
      <c r="B35" s="96"/>
      <c r="C35" s="79"/>
      <c r="D35" s="5"/>
      <c r="E35" s="104"/>
      <c r="G35" s="96"/>
      <c r="H35" s="91" t="s">
        <v>58</v>
      </c>
      <c r="I35" s="4"/>
      <c r="J35" s="104"/>
    </row>
    <row r="36" spans="1:12" ht="13.5" thickBot="1" x14ac:dyDescent="0.2">
      <c r="B36" s="97"/>
      <c r="C36" s="98"/>
      <c r="D36" s="6"/>
      <c r="E36" s="107"/>
      <c r="G36" s="97"/>
      <c r="H36" s="98"/>
      <c r="I36" s="3"/>
      <c r="J36" s="107"/>
    </row>
    <row r="37" spans="1:12" ht="13.5" thickBot="1" x14ac:dyDescent="0.2"/>
    <row r="38" spans="1:12" ht="36" customHeight="1" thickBot="1" x14ac:dyDescent="0.2">
      <c r="B38" s="132" t="s">
        <v>9</v>
      </c>
      <c r="C38" s="133"/>
      <c r="D38" s="133"/>
      <c r="E38" s="134"/>
      <c r="I38" s="88"/>
    </row>
    <row r="39" spans="1:12" ht="17.25" customHeight="1" thickTop="1" thickBot="1" x14ac:dyDescent="0.2">
      <c r="B39" s="89"/>
      <c r="C39" s="68"/>
      <c r="D39" s="20"/>
      <c r="E39" s="69"/>
      <c r="I39" s="88"/>
      <c r="J39" s="136" t="s">
        <v>53</v>
      </c>
      <c r="K39" s="137"/>
    </row>
    <row r="40" spans="1:12" ht="13.5" thickTop="1" x14ac:dyDescent="0.15">
      <c r="B40" s="89"/>
      <c r="C40" s="90" t="s">
        <v>18</v>
      </c>
      <c r="D40" s="26">
        <v>250</v>
      </c>
      <c r="E40" s="101" t="s">
        <v>16</v>
      </c>
    </row>
    <row r="41" spans="1:12" x14ac:dyDescent="0.15">
      <c r="B41" s="89"/>
      <c r="C41" s="68"/>
      <c r="D41" s="14"/>
      <c r="E41" s="69"/>
    </row>
    <row r="42" spans="1:12" x14ac:dyDescent="0.15">
      <c r="B42" s="89"/>
      <c r="C42" s="90" t="s">
        <v>19</v>
      </c>
      <c r="D42" s="26">
        <v>30</v>
      </c>
      <c r="E42" s="101" t="s">
        <v>17</v>
      </c>
    </row>
    <row r="43" spans="1:12" x14ac:dyDescent="0.15">
      <c r="B43" s="89"/>
      <c r="C43" s="68"/>
      <c r="D43" s="14"/>
      <c r="E43" s="69"/>
    </row>
    <row r="44" spans="1:12" x14ac:dyDescent="0.15">
      <c r="B44" s="89"/>
      <c r="C44" s="90" t="s">
        <v>83</v>
      </c>
      <c r="D44" s="27">
        <v>360</v>
      </c>
      <c r="E44" s="101" t="s">
        <v>0</v>
      </c>
    </row>
    <row r="45" spans="1:12" x14ac:dyDescent="0.15">
      <c r="B45" s="89"/>
      <c r="C45" s="68"/>
      <c r="D45" s="14"/>
      <c r="E45" s="69"/>
    </row>
    <row r="46" spans="1:12" x14ac:dyDescent="0.15">
      <c r="B46" s="89"/>
      <c r="C46" s="90" t="s">
        <v>2</v>
      </c>
      <c r="D46" s="28">
        <v>0.8</v>
      </c>
      <c r="E46" s="101"/>
    </row>
    <row r="47" spans="1:12" s="40" customFormat="1" ht="32.25" customHeight="1" x14ac:dyDescent="0.15">
      <c r="A47" s="88"/>
      <c r="B47" s="89"/>
      <c r="C47" s="91" t="s">
        <v>3</v>
      </c>
      <c r="D47" s="9"/>
      <c r="E47" s="69"/>
      <c r="F47" s="108"/>
      <c r="G47" s="108"/>
      <c r="H47" s="108"/>
      <c r="I47" s="108"/>
      <c r="J47" s="108"/>
      <c r="K47" s="108"/>
      <c r="L47" s="108"/>
    </row>
    <row r="48" spans="1:12" x14ac:dyDescent="0.15">
      <c r="B48" s="89"/>
      <c r="C48" s="92"/>
      <c r="D48" s="9"/>
      <c r="E48" s="101"/>
    </row>
    <row r="49" spans="1:11" x14ac:dyDescent="0.15">
      <c r="B49" s="89"/>
      <c r="C49" s="90" t="s">
        <v>4</v>
      </c>
      <c r="D49" s="27">
        <v>20</v>
      </c>
      <c r="E49" s="101" t="s">
        <v>0</v>
      </c>
    </row>
    <row r="50" spans="1:11" x14ac:dyDescent="0.15">
      <c r="B50" s="89"/>
      <c r="C50" s="68"/>
      <c r="D50" s="14"/>
      <c r="E50" s="69"/>
    </row>
    <row r="51" spans="1:11" x14ac:dyDescent="0.15">
      <c r="B51" s="94"/>
      <c r="C51" s="90"/>
      <c r="D51" s="21"/>
      <c r="E51" s="102"/>
    </row>
    <row r="52" spans="1:11" x14ac:dyDescent="0.15">
      <c r="B52" s="89"/>
      <c r="C52" s="68"/>
      <c r="D52" s="14"/>
      <c r="E52" s="69"/>
    </row>
    <row r="53" spans="1:11" x14ac:dyDescent="0.15">
      <c r="B53" s="89"/>
      <c r="C53" s="95" t="s">
        <v>8</v>
      </c>
      <c r="D53" s="14" t="e">
        <f ca="1">AgentsReq(D40,D42,D44,D46,D49)</f>
        <v>#NAME?</v>
      </c>
      <c r="E53" s="69"/>
    </row>
    <row r="54" spans="1:11" x14ac:dyDescent="0.15">
      <c r="B54" s="96"/>
      <c r="C54" s="79"/>
      <c r="D54" s="5"/>
      <c r="E54" s="104"/>
    </row>
    <row r="55" spans="1:11" x14ac:dyDescent="0.15">
      <c r="B55" s="96"/>
      <c r="C55" s="91" t="s">
        <v>58</v>
      </c>
      <c r="D55" s="14"/>
      <c r="E55" s="104"/>
    </row>
    <row r="56" spans="1:11" ht="13.5" thickBot="1" x14ac:dyDescent="0.2">
      <c r="B56" s="97"/>
      <c r="C56" s="98"/>
      <c r="D56" s="6"/>
      <c r="E56" s="107"/>
    </row>
    <row r="57" spans="1:11" ht="13.5" thickBot="1" x14ac:dyDescent="0.2"/>
    <row r="58" spans="1:11" ht="22.5" customHeight="1" thickTop="1" thickBot="1" x14ac:dyDescent="0.2">
      <c r="J58" s="136" t="s">
        <v>53</v>
      </c>
      <c r="K58" s="137"/>
    </row>
    <row r="59" spans="1:11" ht="13.5" thickTop="1" x14ac:dyDescent="0.15"/>
    <row r="62" spans="1:11" x14ac:dyDescent="0.15">
      <c r="A62" s="112" t="s">
        <v>55</v>
      </c>
    </row>
    <row r="63" spans="1:11" x14ac:dyDescent="0.15">
      <c r="A63" s="113" t="s">
        <v>56</v>
      </c>
    </row>
    <row r="10004" spans="1:1" x14ac:dyDescent="0.15">
      <c r="A10004" s="112" t="s">
        <v>55</v>
      </c>
    </row>
    <row r="10005" spans="1:1" x14ac:dyDescent="0.15">
      <c r="A10005" s="113" t="s">
        <v>56</v>
      </c>
    </row>
  </sheetData>
  <sheetProtection selectLockedCells="1"/>
  <mergeCells count="7">
    <mergeCell ref="B15:E15"/>
    <mergeCell ref="B16:E16"/>
    <mergeCell ref="C2:J3"/>
    <mergeCell ref="B38:E38"/>
    <mergeCell ref="J58:K58"/>
    <mergeCell ref="J39:K39"/>
    <mergeCell ref="C33:E33"/>
  </mergeCells>
  <phoneticPr fontId="2" type="noConversion"/>
  <dataValidations disablePrompts="1" count="7">
    <dataValidation type="decimal" allowBlank="1" showInputMessage="1" showErrorMessage="1" errorTitle="Service Level" error="Please enter a value greater than zero and less than 100%" prompt="Please enter a value greater than zero and less than 100%" sqref="D46" xr:uid="{00000000-0002-0000-0000-000000000000}">
      <formula1>0.00001</formula1>
      <formula2>0.9998</formula2>
    </dataValidation>
    <dataValidation type="decimal" allowBlank="1" showInputMessage="1" showErrorMessage="1" errorTitle="Service Level" error="Please enter a value greater than zero and less than 100%" promptTitle="Service Level" prompt="Please enter a value greater than zero and less than 100%" sqref="D24" xr:uid="{00000000-0002-0000-0000-000001000000}">
      <formula1>0.00001</formula1>
      <formula2>0.9998</formula2>
    </dataValidation>
    <dataValidation type="whole" allowBlank="1" showInputMessage="1" showErrorMessage="1" error="Enter number between 1 and 30,000 seconds" prompt="Enter number between 1 and 30,000 seconds" sqref="D22 I22 D44" xr:uid="{00000000-0002-0000-0000-000002000000}">
      <formula1>1</formula1>
      <formula2>30000</formula2>
    </dataValidation>
    <dataValidation type="whole" allowBlank="1" showInputMessage="1" showErrorMessage="1" error="Enter period netween 5 and 1500 minutes " prompt="Enter period netween 5 and 1500 minutes" sqref="D20" xr:uid="{00000000-0002-0000-0000-000003000000}">
      <formula1>5</formula1>
      <formula2>1500</formula2>
    </dataValidation>
    <dataValidation type="whole" allowBlank="1" showInputMessage="1" showErrorMessage="1" error="Enter service level time between 1 and 30000 seconds" prompt="Enter service level time between 1 and 30000 seconds" sqref="D27 I24 D49" xr:uid="{00000000-0002-0000-0000-000004000000}">
      <formula1>1</formula1>
      <formula2>30000</formula2>
    </dataValidation>
    <dataValidation type="decimal" allowBlank="1" showInputMessage="1" showErrorMessage="1" error="Enter shrinkage between 0 and 99%" prompt="Enter shrinkage between 0 and 99%" sqref="D29" xr:uid="{00000000-0002-0000-0000-000005000000}">
      <formula1>0.00001</formula1>
      <formula2>0.9998</formula2>
    </dataValidation>
    <dataValidation type="whole" allowBlank="1" showInputMessage="1" showErrorMessage="1" error="Enter period netween 5 and 1500 minutes" prompt="Enter period netween 5 and 1500 minutes" sqref="I20 D42" xr:uid="{00000000-0002-0000-0000-000006000000}">
      <formula1>5</formula1>
      <formula2>1500</formula2>
    </dataValidation>
  </dataValidations>
  <hyperlinks>
    <hyperlink ref="J58" location="'Expected Service Level'!A1" display="Next Page &gt;&gt;" xr:uid="{00000000-0004-0000-0000-000000000000}"/>
    <hyperlink ref="J39" location="'Expected Service Level'!A1" display="Next Page &gt;&gt;" xr:uid="{00000000-0004-0000-0000-000001000000}"/>
    <hyperlink ref="A63" r:id="rId1" xr:uid="{00000000-0004-0000-0000-000002000000}"/>
    <hyperlink ref="A10005" r:id="rId2" xr:uid="{00000000-0004-0000-0000-000003000000}"/>
    <hyperlink ref="J39:K39" location="'How to Use'!A1" display="Next Page &gt;&gt;" xr:uid="{00000000-0004-0000-0000-000004000000}"/>
    <hyperlink ref="J58:K58" location="'How to Use'!A1" display="Next Page &gt;&gt;" xr:uid="{00000000-0004-0000-0000-000005000000}"/>
    <hyperlink ref="C14" r:id="rId3" xr:uid="{00000000-0004-0000-0000-000006000000}"/>
  </hyperlinks>
  <pageMargins left="0.75" right="0.75" top="1" bottom="1" header="0.5" footer="0.5"/>
  <pageSetup paperSize="9" orientation="portrait" horizontalDpi="1200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N9999"/>
  <sheetViews>
    <sheetView showGridLines="0" topLeftCell="A7" zoomScaleNormal="100" workbookViewId="0">
      <selection activeCell="E3" sqref="E3"/>
    </sheetView>
  </sheetViews>
  <sheetFormatPr defaultRowHeight="12.75" x14ac:dyDescent="0.15"/>
  <cols>
    <col min="1" max="1" width="4.98828125" customWidth="1"/>
    <col min="2" max="2" width="10.78515625" customWidth="1"/>
    <col min="3" max="3" width="11.59375" customWidth="1"/>
    <col min="4" max="4" width="13.484375" customWidth="1"/>
    <col min="5" max="5" width="14.6953125" customWidth="1"/>
    <col min="6" max="6" width="11.0546875" customWidth="1"/>
    <col min="7" max="8" width="11.4609375" customWidth="1"/>
  </cols>
  <sheetData>
    <row r="2" spans="2:11" ht="22.5" x14ac:dyDescent="0.25">
      <c r="E2" s="55" t="s">
        <v>114</v>
      </c>
    </row>
    <row r="4" spans="2:11" ht="13.5" thickBot="1" x14ac:dyDescent="0.2"/>
    <row r="5" spans="2:11" ht="21.75" customHeight="1" thickTop="1" thickBot="1" x14ac:dyDescent="0.2">
      <c r="B5" s="42" t="s">
        <v>33</v>
      </c>
      <c r="J5" s="136" t="s">
        <v>53</v>
      </c>
      <c r="K5" s="137"/>
    </row>
    <row r="6" spans="2:11" ht="13.5" thickTop="1" x14ac:dyDescent="0.15">
      <c r="B6" s="42"/>
    </row>
    <row r="7" spans="2:11" x14ac:dyDescent="0.15">
      <c r="B7" s="135" t="s">
        <v>14</v>
      </c>
      <c r="C7" s="135"/>
      <c r="D7" s="135"/>
      <c r="E7" s="135"/>
      <c r="F7" s="135"/>
      <c r="G7" s="135"/>
      <c r="H7" s="135"/>
      <c r="I7" s="135"/>
    </row>
    <row r="8" spans="2:11" ht="36.75" customHeight="1" x14ac:dyDescent="0.15">
      <c r="B8" s="135"/>
      <c r="C8" s="135"/>
      <c r="D8" s="135"/>
      <c r="E8" s="135"/>
      <c r="F8" s="135"/>
      <c r="G8" s="135"/>
      <c r="H8" s="135"/>
      <c r="I8" s="135"/>
    </row>
    <row r="9" spans="2:11" x14ac:dyDescent="0.15">
      <c r="B9" s="42"/>
    </row>
    <row r="10" spans="2:11" x14ac:dyDescent="0.15">
      <c r="B10" s="42" t="s">
        <v>34</v>
      </c>
    </row>
    <row r="12" spans="2:11" ht="14.25" x14ac:dyDescent="0.15">
      <c r="B12" s="45" t="s">
        <v>66</v>
      </c>
    </row>
    <row r="14" spans="2:11" ht="13.5" thickBot="1" x14ac:dyDescent="0.2"/>
    <row r="15" spans="2:11" s="43" customFormat="1" ht="53.25" customHeight="1" thickTop="1" x14ac:dyDescent="0.15">
      <c r="B15" s="46" t="s">
        <v>23</v>
      </c>
      <c r="C15" s="47" t="s">
        <v>24</v>
      </c>
      <c r="D15" s="47" t="s">
        <v>82</v>
      </c>
      <c r="E15" s="47" t="s">
        <v>28</v>
      </c>
      <c r="F15" s="47" t="s">
        <v>27</v>
      </c>
      <c r="G15" s="47"/>
      <c r="H15" s="48" t="s">
        <v>25</v>
      </c>
    </row>
    <row r="16" spans="2:11" ht="21.75" customHeight="1" thickBot="1" x14ac:dyDescent="0.2">
      <c r="B16" s="50">
        <v>1000</v>
      </c>
      <c r="C16" s="51">
        <v>60</v>
      </c>
      <c r="D16" s="51">
        <v>180</v>
      </c>
      <c r="E16" s="52">
        <v>0.8</v>
      </c>
      <c r="F16" s="51">
        <v>20</v>
      </c>
      <c r="G16" s="53"/>
      <c r="H16" s="54" t="e">
        <f ca="1">AgentsReq(B16,C16,D16,E16,F16)</f>
        <v>#NAME?</v>
      </c>
    </row>
    <row r="17" spans="2:9" ht="13.5" thickTop="1" x14ac:dyDescent="0.15"/>
    <row r="18" spans="2:9" x14ac:dyDescent="0.15">
      <c r="B18" s="44" t="s">
        <v>85</v>
      </c>
    </row>
    <row r="20" spans="2:9" x14ac:dyDescent="0.15">
      <c r="B20" s="42" t="s">
        <v>26</v>
      </c>
    </row>
    <row r="22" spans="2:9" x14ac:dyDescent="0.15">
      <c r="B22" s="42" t="s">
        <v>89</v>
      </c>
    </row>
    <row r="23" spans="2:9" x14ac:dyDescent="0.15">
      <c r="B23" s="42" t="s">
        <v>31</v>
      </c>
    </row>
    <row r="25" spans="2:9" ht="14.25" x14ac:dyDescent="0.15">
      <c r="B25" s="45" t="s">
        <v>65</v>
      </c>
    </row>
    <row r="27" spans="2:9" ht="13.5" thickBot="1" x14ac:dyDescent="0.2"/>
    <row r="28" spans="2:9" ht="47.25" thickTop="1" x14ac:dyDescent="0.15">
      <c r="B28" s="46" t="s">
        <v>23</v>
      </c>
      <c r="C28" s="47" t="s">
        <v>24</v>
      </c>
      <c r="D28" s="47" t="s">
        <v>82</v>
      </c>
      <c r="E28" s="47" t="s">
        <v>28</v>
      </c>
      <c r="F28" s="47" t="s">
        <v>27</v>
      </c>
      <c r="G28" s="47" t="s">
        <v>32</v>
      </c>
      <c r="H28" s="47"/>
      <c r="I28" s="48" t="s">
        <v>48</v>
      </c>
    </row>
    <row r="29" spans="2:9" ht="13.5" thickBot="1" x14ac:dyDescent="0.2">
      <c r="B29" s="50">
        <v>1000</v>
      </c>
      <c r="C29" s="51">
        <v>60</v>
      </c>
      <c r="D29" s="51">
        <v>180</v>
      </c>
      <c r="E29" s="52">
        <v>0.8</v>
      </c>
      <c r="F29" s="51">
        <v>20</v>
      </c>
      <c r="G29" s="52">
        <v>0.35</v>
      </c>
      <c r="H29" s="53"/>
      <c r="I29" s="54" t="e">
        <f ca="1">AgentsFTE(B29,C29,D29,E29,F29,G29)</f>
        <v>#NAME?</v>
      </c>
    </row>
    <row r="30" spans="2:9" ht="13.5" thickTop="1" x14ac:dyDescent="0.15"/>
    <row r="31" spans="2:9" x14ac:dyDescent="0.15">
      <c r="B31" s="44" t="s">
        <v>86</v>
      </c>
    </row>
    <row r="32" spans="2:9" x14ac:dyDescent="0.15">
      <c r="B32" s="44"/>
    </row>
    <row r="33" spans="2:8" x14ac:dyDescent="0.15">
      <c r="B33" s="42" t="s">
        <v>38</v>
      </c>
    </row>
    <row r="35" spans="2:8" x14ac:dyDescent="0.15">
      <c r="B35" s="42" t="s">
        <v>35</v>
      </c>
    </row>
    <row r="36" spans="2:8" x14ac:dyDescent="0.15">
      <c r="B36" s="42" t="s">
        <v>29</v>
      </c>
    </row>
    <row r="37" spans="2:8" x14ac:dyDescent="0.15">
      <c r="B37" s="49" t="s">
        <v>30</v>
      </c>
    </row>
    <row r="38" spans="2:8" x14ac:dyDescent="0.15">
      <c r="B38" s="42" t="s">
        <v>89</v>
      </c>
    </row>
    <row r="40" spans="2:8" ht="14.25" x14ac:dyDescent="0.15">
      <c r="B40" s="45" t="s">
        <v>63</v>
      </c>
    </row>
    <row r="42" spans="2:8" ht="13.5" thickBot="1" x14ac:dyDescent="0.2"/>
    <row r="43" spans="2:8" ht="63" customHeight="1" thickTop="1" x14ac:dyDescent="0.15">
      <c r="B43" s="46" t="s">
        <v>23</v>
      </c>
      <c r="C43" s="47" t="s">
        <v>24</v>
      </c>
      <c r="D43" s="47" t="s">
        <v>82</v>
      </c>
      <c r="E43" s="47" t="s">
        <v>27</v>
      </c>
      <c r="F43" s="47" t="s">
        <v>5</v>
      </c>
      <c r="G43" s="47"/>
      <c r="H43" s="48" t="s">
        <v>11</v>
      </c>
    </row>
    <row r="44" spans="2:8" ht="13.5" thickBot="1" x14ac:dyDescent="0.2">
      <c r="B44" s="50">
        <v>250</v>
      </c>
      <c r="C44" s="51">
        <v>30</v>
      </c>
      <c r="D44" s="51">
        <v>360</v>
      </c>
      <c r="E44" s="51">
        <v>20</v>
      </c>
      <c r="F44" s="51">
        <v>55</v>
      </c>
      <c r="G44" s="53"/>
      <c r="H44" s="56" t="e">
        <f ca="1">Servicelevel(B44,C44,D44,E44,F44)</f>
        <v>#NAME?</v>
      </c>
    </row>
    <row r="45" spans="2:8" ht="13.5" thickTop="1" x14ac:dyDescent="0.15"/>
    <row r="46" spans="2:8" x14ac:dyDescent="0.15">
      <c r="B46" s="44" t="s">
        <v>87</v>
      </c>
    </row>
    <row r="48" spans="2:8" x14ac:dyDescent="0.15">
      <c r="B48" s="42" t="s">
        <v>39</v>
      </c>
    </row>
    <row r="50" spans="2:14" x14ac:dyDescent="0.15">
      <c r="B50" s="42" t="s">
        <v>36</v>
      </c>
    </row>
    <row r="51" spans="2:14" x14ac:dyDescent="0.15">
      <c r="B51" s="42" t="s">
        <v>60</v>
      </c>
    </row>
    <row r="52" spans="2:14" x14ac:dyDescent="0.15">
      <c r="B52" s="42"/>
    </row>
    <row r="53" spans="2:14" x14ac:dyDescent="0.15">
      <c r="B53" s="42" t="s">
        <v>89</v>
      </c>
    </row>
    <row r="54" spans="2:14" x14ac:dyDescent="0.15">
      <c r="B54" s="42" t="s">
        <v>31</v>
      </c>
    </row>
    <row r="56" spans="2:14" ht="14.25" x14ac:dyDescent="0.15">
      <c r="B56" s="45" t="s">
        <v>64</v>
      </c>
    </row>
    <row r="58" spans="2:14" ht="13.5" thickBot="1" x14ac:dyDescent="0.2">
      <c r="N58" s="42"/>
    </row>
    <row r="59" spans="2:14" ht="57.75" customHeight="1" thickTop="1" x14ac:dyDescent="0.15">
      <c r="B59" s="46" t="s">
        <v>23</v>
      </c>
      <c r="C59" s="47" t="s">
        <v>24</v>
      </c>
      <c r="D59" s="47" t="s">
        <v>82</v>
      </c>
      <c r="E59" s="47" t="s">
        <v>5</v>
      </c>
      <c r="F59" s="47"/>
      <c r="G59" s="48" t="s">
        <v>61</v>
      </c>
    </row>
    <row r="60" spans="2:14" ht="13.5" thickBot="1" x14ac:dyDescent="0.2">
      <c r="B60" s="50">
        <v>250</v>
      </c>
      <c r="C60" s="51">
        <v>30</v>
      </c>
      <c r="D60" s="51">
        <v>360</v>
      </c>
      <c r="E60" s="51">
        <v>55</v>
      </c>
      <c r="F60" s="53"/>
      <c r="G60" s="56" t="e">
        <f ca="1">ProbCallWaits(B60,C60,D60,E60)</f>
        <v>#NAME?</v>
      </c>
    </row>
    <row r="61" spans="2:14" ht="13.5" thickTop="1" x14ac:dyDescent="0.15"/>
    <row r="62" spans="2:14" x14ac:dyDescent="0.15">
      <c r="B62" s="44" t="s">
        <v>88</v>
      </c>
      <c r="D62" s="42"/>
      <c r="G62" s="57"/>
    </row>
    <row r="63" spans="2:14" x14ac:dyDescent="0.15">
      <c r="E63" s="42"/>
    </row>
    <row r="64" spans="2:14" x14ac:dyDescent="0.15">
      <c r="B64" s="42" t="s">
        <v>40</v>
      </c>
    </row>
    <row r="65" spans="2:14" x14ac:dyDescent="0.15">
      <c r="N65" s="42"/>
    </row>
    <row r="66" spans="2:14" x14ac:dyDescent="0.15">
      <c r="B66" s="42" t="s">
        <v>62</v>
      </c>
    </row>
    <row r="68" spans="2:14" x14ac:dyDescent="0.15">
      <c r="B68" s="42" t="s">
        <v>89</v>
      </c>
    </row>
    <row r="69" spans="2:14" x14ac:dyDescent="0.15">
      <c r="B69" s="42" t="s">
        <v>31</v>
      </c>
    </row>
    <row r="72" spans="2:14" x14ac:dyDescent="0.15">
      <c r="B72" s="44" t="s">
        <v>41</v>
      </c>
    </row>
    <row r="73" spans="2:14" x14ac:dyDescent="0.15">
      <c r="B73" s="44"/>
    </row>
    <row r="74" spans="2:14" x14ac:dyDescent="0.15">
      <c r="B74" s="42" t="s">
        <v>15</v>
      </c>
      <c r="D74" s="58">
        <v>30</v>
      </c>
      <c r="E74" s="42" t="s">
        <v>17</v>
      </c>
    </row>
    <row r="75" spans="2:14" x14ac:dyDescent="0.15">
      <c r="B75" s="42" t="s">
        <v>43</v>
      </c>
      <c r="D75" s="59">
        <v>180</v>
      </c>
      <c r="E75" s="42" t="s">
        <v>0</v>
      </c>
    </row>
    <row r="76" spans="2:14" x14ac:dyDescent="0.15">
      <c r="B76" s="42" t="s">
        <v>44</v>
      </c>
      <c r="D76" s="60">
        <v>0.8</v>
      </c>
      <c r="E76" s="42" t="s">
        <v>45</v>
      </c>
    </row>
    <row r="77" spans="2:14" x14ac:dyDescent="0.15">
      <c r="D77" s="59">
        <v>20</v>
      </c>
      <c r="E77" s="42" t="s">
        <v>0</v>
      </c>
    </row>
    <row r="78" spans="2:14" x14ac:dyDescent="0.15">
      <c r="B78" s="42" t="s">
        <v>21</v>
      </c>
      <c r="D78" s="60">
        <v>0.35</v>
      </c>
    </row>
    <row r="80" spans="2:14" x14ac:dyDescent="0.15">
      <c r="B80" s="44"/>
      <c r="C80" s="44"/>
    </row>
    <row r="81" spans="1:8" ht="49.5" customHeight="1" x14ac:dyDescent="0.15">
      <c r="B81" s="117" t="s">
        <v>42</v>
      </c>
      <c r="C81" s="117" t="s">
        <v>23</v>
      </c>
      <c r="D81" s="118" t="s">
        <v>46</v>
      </c>
      <c r="E81" s="118" t="s">
        <v>47</v>
      </c>
    </row>
    <row r="82" spans="1:8" x14ac:dyDescent="0.15">
      <c r="B82" s="115">
        <v>0.33333333333333331</v>
      </c>
      <c r="C82" s="116">
        <v>15</v>
      </c>
      <c r="D82" s="114" t="e">
        <f t="shared" ref="D82:D88" ca="1" si="0">AgentsReq(C82,$D$74,$D$75,$D$76,$D$77)</f>
        <v>#NAME?</v>
      </c>
      <c r="E82" s="114" t="e">
        <f ca="1">AgentsFTE(C82,$D$74,$D$75,$D$76,$D$77,$D$78)</f>
        <v>#NAME?</v>
      </c>
    </row>
    <row r="83" spans="1:8" x14ac:dyDescent="0.15">
      <c r="B83" s="115">
        <v>0.35416666666666669</v>
      </c>
      <c r="C83" s="116">
        <v>20</v>
      </c>
      <c r="D83" s="114" t="e">
        <f t="shared" ca="1" si="0"/>
        <v>#NAME?</v>
      </c>
      <c r="E83" s="114" t="e">
        <f ca="1">AgentsFTE(C83,$D$74,$D$75,$D$76,$D$77,$D$78)</f>
        <v>#NAME?</v>
      </c>
    </row>
    <row r="84" spans="1:8" x14ac:dyDescent="0.15">
      <c r="B84" s="115">
        <v>0.375</v>
      </c>
      <c r="C84" s="116">
        <v>45</v>
      </c>
      <c r="D84" s="114" t="e">
        <f t="shared" ca="1" si="0"/>
        <v>#NAME?</v>
      </c>
      <c r="E84" s="114" t="e">
        <f t="shared" ref="E84:E88" ca="1" si="1">AgentsFTE(C84,$D$74,$D$75,$D$76,$D$77,$D$78)</f>
        <v>#NAME?</v>
      </c>
    </row>
    <row r="85" spans="1:8" x14ac:dyDescent="0.15">
      <c r="B85" s="115">
        <v>0.39583333333333298</v>
      </c>
      <c r="C85" s="116">
        <v>55</v>
      </c>
      <c r="D85" s="114" t="e">
        <f t="shared" ca="1" si="0"/>
        <v>#NAME?</v>
      </c>
      <c r="E85" s="114" t="e">
        <f t="shared" ca="1" si="1"/>
        <v>#NAME?</v>
      </c>
    </row>
    <row r="86" spans="1:8" x14ac:dyDescent="0.15">
      <c r="B86" s="115">
        <v>0.41666666666666702</v>
      </c>
      <c r="C86" s="116">
        <v>71</v>
      </c>
      <c r="D86" s="114" t="e">
        <f t="shared" ca="1" si="0"/>
        <v>#NAME?</v>
      </c>
      <c r="E86" s="114" t="e">
        <f t="shared" ca="1" si="1"/>
        <v>#NAME?</v>
      </c>
    </row>
    <row r="87" spans="1:8" x14ac:dyDescent="0.15">
      <c r="B87" s="115">
        <v>0.4375</v>
      </c>
      <c r="C87" s="116">
        <v>92</v>
      </c>
      <c r="D87" s="114" t="e">
        <f t="shared" ca="1" si="0"/>
        <v>#NAME?</v>
      </c>
      <c r="E87" s="114" t="e">
        <f t="shared" ca="1" si="1"/>
        <v>#NAME?</v>
      </c>
    </row>
    <row r="88" spans="1:8" x14ac:dyDescent="0.15">
      <c r="B88" s="115">
        <v>0.45833333333333298</v>
      </c>
      <c r="C88" s="116">
        <v>74</v>
      </c>
      <c r="D88" s="114" t="e">
        <f t="shared" ca="1" si="0"/>
        <v>#NAME?</v>
      </c>
      <c r="E88" s="114" t="e">
        <f t="shared" ca="1" si="1"/>
        <v>#NAME?</v>
      </c>
    </row>
    <row r="91" spans="1:8" ht="13.5" thickBot="1" x14ac:dyDescent="0.2"/>
    <row r="92" spans="1:8" ht="27" customHeight="1" thickTop="1" thickBot="1" x14ac:dyDescent="0.2">
      <c r="G92" s="136" t="s">
        <v>53</v>
      </c>
      <c r="H92" s="137"/>
    </row>
    <row r="93" spans="1:8" ht="13.5" thickTop="1" x14ac:dyDescent="0.15"/>
    <row r="96" spans="1:8" x14ac:dyDescent="0.15">
      <c r="A96" s="112" t="s">
        <v>55</v>
      </c>
      <c r="B96" s="88"/>
      <c r="C96" s="88"/>
      <c r="D96" s="110"/>
    </row>
    <row r="97" spans="1:4" x14ac:dyDescent="0.15">
      <c r="A97" s="113" t="s">
        <v>56</v>
      </c>
      <c r="B97" s="88"/>
      <c r="C97" s="88"/>
      <c r="D97" s="110"/>
    </row>
    <row r="9998" spans="1:4" x14ac:dyDescent="0.15">
      <c r="A9998" s="112" t="s">
        <v>55</v>
      </c>
      <c r="B9998" s="88"/>
      <c r="C9998" s="88"/>
      <c r="D9998" s="110"/>
    </row>
    <row r="9999" spans="1:4" x14ac:dyDescent="0.15">
      <c r="A9999" s="113" t="s">
        <v>56</v>
      </c>
      <c r="B9999" s="88"/>
      <c r="C9999" s="88"/>
      <c r="D9999" s="110"/>
    </row>
  </sheetData>
  <mergeCells count="3">
    <mergeCell ref="B7:I8"/>
    <mergeCell ref="G92:H92"/>
    <mergeCell ref="J5:K5"/>
  </mergeCells>
  <hyperlinks>
    <hyperlink ref="B37" r:id="rId1" xr:uid="{00000000-0004-0000-0100-000000000000}"/>
    <hyperlink ref="G92" location="'Expected Service Level'!A1" display="Next Page &gt;&gt;" xr:uid="{00000000-0004-0000-0100-000001000000}"/>
    <hyperlink ref="A97" r:id="rId2" xr:uid="{00000000-0004-0000-0100-000002000000}"/>
    <hyperlink ref="A9999" r:id="rId3" xr:uid="{00000000-0004-0000-0100-000003000000}"/>
    <hyperlink ref="G92:H92" location="'Day Planner'!A1" display="Next Page &gt;&gt;" xr:uid="{00000000-0004-0000-0100-000004000000}"/>
    <hyperlink ref="J5" location="'Expected Service Level'!A1" display="Next Page &gt;&gt;" xr:uid="{00000000-0004-0000-0100-000005000000}"/>
    <hyperlink ref="J5:K5" location="'Day Planner'!A1" display="Next Page &gt;&gt;" xr:uid="{00000000-0004-0000-0100-000006000000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0001"/>
  <sheetViews>
    <sheetView showGridLines="0" workbookViewId="0">
      <selection activeCell="F4" sqref="F4"/>
    </sheetView>
  </sheetViews>
  <sheetFormatPr defaultRowHeight="12.75" x14ac:dyDescent="0.15"/>
  <cols>
    <col min="2" max="2" width="9.4375" customWidth="1"/>
    <col min="3" max="3" width="24.13671875" customWidth="1"/>
    <col min="4" max="4" width="19.95703125" customWidth="1"/>
    <col min="5" max="5" width="22.3828125" customWidth="1"/>
    <col min="6" max="6" width="14.96875" customWidth="1"/>
    <col min="7" max="7" width="2.01953125" customWidth="1"/>
  </cols>
  <sheetData>
    <row r="1" spans="1:7" ht="13.5" thickBot="1" x14ac:dyDescent="0.2"/>
    <row r="2" spans="1:7" ht="27.75" customHeight="1" x14ac:dyDescent="0.15">
      <c r="B2" s="61"/>
      <c r="C2" s="122" t="s">
        <v>49</v>
      </c>
      <c r="D2" s="62"/>
      <c r="E2" s="63"/>
      <c r="F2" s="63"/>
      <c r="G2" s="10"/>
    </row>
    <row r="3" spans="1:7" ht="13.5" thickBot="1" x14ac:dyDescent="0.2">
      <c r="B3" s="19"/>
      <c r="C3" s="12"/>
      <c r="D3" s="13"/>
      <c r="E3" s="12"/>
      <c r="F3" s="12"/>
      <c r="G3" s="11"/>
    </row>
    <row r="4" spans="1:7" ht="23.25" customHeight="1" thickTop="1" thickBot="1" x14ac:dyDescent="0.2">
      <c r="A4" s="83"/>
      <c r="B4" s="84"/>
      <c r="C4" s="85" t="s">
        <v>84</v>
      </c>
      <c r="D4" s="86">
        <v>240</v>
      </c>
      <c r="E4" s="85" t="s">
        <v>54</v>
      </c>
      <c r="F4" s="81" t="s">
        <v>53</v>
      </c>
      <c r="G4" s="11"/>
    </row>
    <row r="5" spans="1:7" ht="13.5" thickTop="1" x14ac:dyDescent="0.15">
      <c r="B5" s="19"/>
      <c r="C5" s="12"/>
      <c r="D5" s="12"/>
      <c r="E5" s="12"/>
      <c r="F5" s="12"/>
      <c r="G5" s="11"/>
    </row>
    <row r="6" spans="1:7" x14ac:dyDescent="0.15">
      <c r="B6" s="19"/>
      <c r="C6" s="12" t="s">
        <v>15</v>
      </c>
      <c r="D6" s="27">
        <v>30</v>
      </c>
      <c r="E6" s="25" t="s">
        <v>17</v>
      </c>
      <c r="F6" s="25"/>
      <c r="G6" s="11"/>
    </row>
    <row r="7" spans="1:7" x14ac:dyDescent="0.15">
      <c r="B7" s="19"/>
      <c r="C7" s="12"/>
      <c r="D7" s="12"/>
      <c r="E7" s="12"/>
      <c r="F7" s="12"/>
      <c r="G7" s="11"/>
    </row>
    <row r="8" spans="1:7" x14ac:dyDescent="0.15">
      <c r="B8" s="19"/>
      <c r="C8" s="12" t="s">
        <v>2</v>
      </c>
      <c r="D8" s="29">
        <v>0.8</v>
      </c>
      <c r="E8" s="12"/>
      <c r="F8" s="12"/>
      <c r="G8" s="11"/>
    </row>
    <row r="9" spans="1:7" x14ac:dyDescent="0.15">
      <c r="B9" s="19"/>
      <c r="C9" s="12"/>
      <c r="D9" s="12"/>
      <c r="E9" s="12"/>
      <c r="F9" s="12"/>
      <c r="G9" s="11"/>
    </row>
    <row r="10" spans="1:7" x14ac:dyDescent="0.15">
      <c r="B10" s="19"/>
      <c r="C10" s="12" t="s">
        <v>13</v>
      </c>
      <c r="D10" s="27">
        <v>20</v>
      </c>
      <c r="E10" s="85" t="s">
        <v>54</v>
      </c>
      <c r="F10" s="12"/>
      <c r="G10" s="11"/>
    </row>
    <row r="11" spans="1:7" x14ac:dyDescent="0.15">
      <c r="B11" s="19"/>
      <c r="C11" s="12"/>
      <c r="D11" s="12"/>
      <c r="E11" s="12"/>
      <c r="F11" s="12"/>
      <c r="G11" s="11"/>
    </row>
    <row r="12" spans="1:7" x14ac:dyDescent="0.15">
      <c r="B12" s="19"/>
      <c r="C12" s="12" t="s">
        <v>22</v>
      </c>
      <c r="D12" s="41">
        <v>0.35</v>
      </c>
      <c r="E12" s="12"/>
      <c r="F12" s="12"/>
      <c r="G12" s="11"/>
    </row>
    <row r="13" spans="1:7" x14ac:dyDescent="0.15">
      <c r="B13" s="19"/>
      <c r="C13" s="12"/>
      <c r="D13" s="12"/>
      <c r="E13" s="12"/>
      <c r="F13" s="12"/>
      <c r="G13" s="11"/>
    </row>
    <row r="14" spans="1:7" x14ac:dyDescent="0.15">
      <c r="B14" s="19"/>
      <c r="C14" s="34"/>
      <c r="D14" s="13"/>
      <c r="E14" s="12"/>
      <c r="F14" s="12"/>
      <c r="G14" s="11"/>
    </row>
    <row r="15" spans="1:7" ht="21.75" x14ac:dyDescent="0.15">
      <c r="B15" s="64"/>
      <c r="C15" s="37" t="s">
        <v>20</v>
      </c>
      <c r="D15" s="39" t="s">
        <v>18</v>
      </c>
      <c r="E15" s="38" t="s">
        <v>12</v>
      </c>
      <c r="F15" s="82"/>
      <c r="G15" s="11"/>
    </row>
    <row r="16" spans="1:7" x14ac:dyDescent="0.15">
      <c r="B16" s="19"/>
      <c r="C16" s="36">
        <v>0.33333333333333331</v>
      </c>
      <c r="D16" s="30">
        <v>10</v>
      </c>
      <c r="E16" s="65" t="e">
        <f t="shared" ref="E16:E63" ca="1" si="0">AgentsFTE(D16,$D$6,$D$4,$D$8,$D$10,$D$12)</f>
        <v>#NAME?</v>
      </c>
      <c r="F16" s="14"/>
      <c r="G16" s="11"/>
    </row>
    <row r="17" spans="2:7" x14ac:dyDescent="0.15">
      <c r="B17" s="19"/>
      <c r="C17" s="35">
        <f t="shared" ref="C17:C63" si="1">C16+TIME(0,$D$6,0)</f>
        <v>0.35416666666666663</v>
      </c>
      <c r="D17" s="30">
        <v>32</v>
      </c>
      <c r="E17" s="65" t="e">
        <f t="shared" ca="1" si="0"/>
        <v>#NAME?</v>
      </c>
      <c r="F17" s="14"/>
      <c r="G17" s="11"/>
    </row>
    <row r="18" spans="2:7" x14ac:dyDescent="0.15">
      <c r="B18" s="19"/>
      <c r="C18" s="35">
        <f t="shared" si="1"/>
        <v>0.37499999999999994</v>
      </c>
      <c r="D18" s="30">
        <v>103</v>
      </c>
      <c r="E18" s="65" t="e">
        <f t="shared" ca="1" si="0"/>
        <v>#NAME?</v>
      </c>
      <c r="F18" s="14"/>
      <c r="G18" s="11"/>
    </row>
    <row r="19" spans="2:7" x14ac:dyDescent="0.15">
      <c r="B19" s="19"/>
      <c r="C19" s="35">
        <f t="shared" si="1"/>
        <v>0.39583333333333326</v>
      </c>
      <c r="D19" s="30">
        <v>140</v>
      </c>
      <c r="E19" s="65" t="e">
        <f t="shared" ca="1" si="0"/>
        <v>#NAME?</v>
      </c>
      <c r="F19" s="14"/>
      <c r="G19" s="11"/>
    </row>
    <row r="20" spans="2:7" x14ac:dyDescent="0.15">
      <c r="B20" s="19"/>
      <c r="C20" s="35">
        <f t="shared" si="1"/>
        <v>0.41666666666666657</v>
      </c>
      <c r="D20" s="30">
        <v>266</v>
      </c>
      <c r="E20" s="65" t="e">
        <f t="shared" ca="1" si="0"/>
        <v>#NAME?</v>
      </c>
      <c r="F20" s="14"/>
      <c r="G20" s="11"/>
    </row>
    <row r="21" spans="2:7" x14ac:dyDescent="0.15">
      <c r="B21" s="19"/>
      <c r="C21" s="35">
        <f t="shared" si="1"/>
        <v>0.43749999999999989</v>
      </c>
      <c r="D21" s="30">
        <v>361</v>
      </c>
      <c r="E21" s="65" t="e">
        <f t="shared" ca="1" si="0"/>
        <v>#NAME?</v>
      </c>
      <c r="F21" s="14"/>
      <c r="G21" s="11"/>
    </row>
    <row r="22" spans="2:7" x14ac:dyDescent="0.15">
      <c r="B22" s="19"/>
      <c r="C22" s="35">
        <f t="shared" si="1"/>
        <v>0.4583333333333332</v>
      </c>
      <c r="D22" s="30">
        <v>333</v>
      </c>
      <c r="E22" s="65" t="e">
        <f t="shared" ca="1" si="0"/>
        <v>#NAME?</v>
      </c>
      <c r="F22" s="14"/>
      <c r="G22" s="11"/>
    </row>
    <row r="23" spans="2:7" x14ac:dyDescent="0.15">
      <c r="B23" s="19"/>
      <c r="C23" s="35">
        <f t="shared" si="1"/>
        <v>0.47916666666666652</v>
      </c>
      <c r="D23" s="30">
        <v>281</v>
      </c>
      <c r="E23" s="65" t="e">
        <f t="shared" ca="1" si="0"/>
        <v>#NAME?</v>
      </c>
      <c r="F23" s="14"/>
      <c r="G23" s="11"/>
    </row>
    <row r="24" spans="2:7" x14ac:dyDescent="0.15">
      <c r="B24" s="19"/>
      <c r="C24" s="35">
        <f t="shared" si="1"/>
        <v>0.49999999999999983</v>
      </c>
      <c r="D24" s="30">
        <v>304</v>
      </c>
      <c r="E24" s="65" t="e">
        <f t="shared" ca="1" si="0"/>
        <v>#NAME?</v>
      </c>
      <c r="F24" s="14"/>
      <c r="G24" s="11"/>
    </row>
    <row r="25" spans="2:7" x14ac:dyDescent="0.15">
      <c r="B25" s="19"/>
      <c r="C25" s="35">
        <f t="shared" si="1"/>
        <v>0.52083333333333315</v>
      </c>
      <c r="D25" s="30">
        <v>220</v>
      </c>
      <c r="E25" s="65" t="e">
        <f t="shared" ca="1" si="0"/>
        <v>#NAME?</v>
      </c>
      <c r="F25" s="14"/>
      <c r="G25" s="11"/>
    </row>
    <row r="26" spans="2:7" x14ac:dyDescent="0.15">
      <c r="B26" s="19"/>
      <c r="C26" s="35">
        <f t="shared" si="1"/>
        <v>0.54166666666666652</v>
      </c>
      <c r="D26" s="30">
        <v>246</v>
      </c>
      <c r="E26" s="65" t="e">
        <f t="shared" ca="1" si="0"/>
        <v>#NAME?</v>
      </c>
      <c r="F26" s="14"/>
      <c r="G26" s="11"/>
    </row>
    <row r="27" spans="2:7" x14ac:dyDescent="0.15">
      <c r="B27" s="19"/>
      <c r="C27" s="35">
        <f t="shared" si="1"/>
        <v>0.56249999999999989</v>
      </c>
      <c r="D27" s="30">
        <v>259</v>
      </c>
      <c r="E27" s="65" t="e">
        <f t="shared" ca="1" si="0"/>
        <v>#NAME?</v>
      </c>
      <c r="F27" s="14"/>
      <c r="G27" s="11"/>
    </row>
    <row r="28" spans="2:7" x14ac:dyDescent="0.15">
      <c r="B28" s="19"/>
      <c r="C28" s="35">
        <f t="shared" si="1"/>
        <v>0.58333333333333326</v>
      </c>
      <c r="D28" s="30">
        <v>220</v>
      </c>
      <c r="E28" s="65" t="e">
        <f t="shared" ca="1" si="0"/>
        <v>#NAME?</v>
      </c>
      <c r="F28" s="14"/>
      <c r="G28" s="11"/>
    </row>
    <row r="29" spans="2:7" x14ac:dyDescent="0.15">
      <c r="B29" s="19"/>
      <c r="C29" s="35">
        <f t="shared" si="1"/>
        <v>0.60416666666666663</v>
      </c>
      <c r="D29" s="30">
        <v>258</v>
      </c>
      <c r="E29" s="65" t="e">
        <f t="shared" ca="1" si="0"/>
        <v>#NAME?</v>
      </c>
      <c r="F29" s="14"/>
      <c r="G29" s="11"/>
    </row>
    <row r="30" spans="2:7" x14ac:dyDescent="0.15">
      <c r="B30" s="19"/>
      <c r="C30" s="35">
        <f t="shared" si="1"/>
        <v>0.625</v>
      </c>
      <c r="D30" s="30">
        <v>276</v>
      </c>
      <c r="E30" s="65" t="e">
        <f t="shared" ca="1" si="0"/>
        <v>#NAME?</v>
      </c>
      <c r="F30" s="14"/>
      <c r="G30" s="11"/>
    </row>
    <row r="31" spans="2:7" x14ac:dyDescent="0.15">
      <c r="B31" s="19"/>
      <c r="C31" s="35">
        <f t="shared" si="1"/>
        <v>0.64583333333333337</v>
      </c>
      <c r="D31" s="30">
        <v>222</v>
      </c>
      <c r="E31" s="65" t="e">
        <f t="shared" ca="1" si="0"/>
        <v>#NAME?</v>
      </c>
      <c r="F31" s="14"/>
      <c r="G31" s="11"/>
    </row>
    <row r="32" spans="2:7" x14ac:dyDescent="0.15">
      <c r="B32" s="19"/>
      <c r="C32" s="35">
        <f t="shared" si="1"/>
        <v>0.66666666666666674</v>
      </c>
      <c r="D32" s="30">
        <v>180</v>
      </c>
      <c r="E32" s="65" t="e">
        <f t="shared" ca="1" si="0"/>
        <v>#NAME?</v>
      </c>
      <c r="F32" s="14"/>
      <c r="G32" s="11"/>
    </row>
    <row r="33" spans="2:7" x14ac:dyDescent="0.15">
      <c r="B33" s="19"/>
      <c r="C33" s="35">
        <f t="shared" si="1"/>
        <v>0.68750000000000011</v>
      </c>
      <c r="D33" s="30">
        <v>200</v>
      </c>
      <c r="E33" s="65" t="e">
        <f t="shared" ca="1" si="0"/>
        <v>#NAME?</v>
      </c>
      <c r="F33" s="14"/>
      <c r="G33" s="11"/>
    </row>
    <row r="34" spans="2:7" x14ac:dyDescent="0.15">
      <c r="B34" s="19"/>
      <c r="C34" s="35">
        <f t="shared" si="1"/>
        <v>0.70833333333333348</v>
      </c>
      <c r="D34" s="30">
        <v>152</v>
      </c>
      <c r="E34" s="65" t="e">
        <f t="shared" ca="1" si="0"/>
        <v>#NAME?</v>
      </c>
      <c r="F34" s="14"/>
      <c r="G34" s="11"/>
    </row>
    <row r="35" spans="2:7" x14ac:dyDescent="0.15">
      <c r="B35" s="19"/>
      <c r="C35" s="35">
        <f t="shared" si="1"/>
        <v>0.72916666666666685</v>
      </c>
      <c r="D35" s="30">
        <v>87</v>
      </c>
      <c r="E35" s="65" t="e">
        <f t="shared" ca="1" si="0"/>
        <v>#NAME?</v>
      </c>
      <c r="F35" s="14"/>
      <c r="G35" s="11"/>
    </row>
    <row r="36" spans="2:7" x14ac:dyDescent="0.15">
      <c r="B36" s="19"/>
      <c r="C36" s="35">
        <f t="shared" si="1"/>
        <v>0.75000000000000022</v>
      </c>
      <c r="D36" s="30">
        <v>42</v>
      </c>
      <c r="E36" s="65" t="e">
        <f t="shared" ca="1" si="0"/>
        <v>#NAME?</v>
      </c>
      <c r="F36" s="14"/>
      <c r="G36" s="11"/>
    </row>
    <row r="37" spans="2:7" x14ac:dyDescent="0.15">
      <c r="B37" s="19"/>
      <c r="C37" s="35">
        <f t="shared" si="1"/>
        <v>0.77083333333333359</v>
      </c>
      <c r="D37" s="30"/>
      <c r="E37" s="65" t="e">
        <f t="shared" ca="1" si="0"/>
        <v>#NAME?</v>
      </c>
      <c r="F37" s="14"/>
      <c r="G37" s="11"/>
    </row>
    <row r="38" spans="2:7" x14ac:dyDescent="0.15">
      <c r="B38" s="19"/>
      <c r="C38" s="35">
        <f t="shared" si="1"/>
        <v>0.79166666666666696</v>
      </c>
      <c r="D38" s="30"/>
      <c r="E38" s="65" t="e">
        <f t="shared" ca="1" si="0"/>
        <v>#NAME?</v>
      </c>
      <c r="F38" s="14"/>
      <c r="G38" s="11"/>
    </row>
    <row r="39" spans="2:7" x14ac:dyDescent="0.15">
      <c r="B39" s="19"/>
      <c r="C39" s="35">
        <f t="shared" si="1"/>
        <v>0.81250000000000033</v>
      </c>
      <c r="D39" s="30"/>
      <c r="E39" s="65" t="e">
        <f t="shared" ca="1" si="0"/>
        <v>#NAME?</v>
      </c>
      <c r="F39" s="14"/>
      <c r="G39" s="11"/>
    </row>
    <row r="40" spans="2:7" x14ac:dyDescent="0.15">
      <c r="B40" s="19"/>
      <c r="C40" s="35">
        <f t="shared" si="1"/>
        <v>0.8333333333333337</v>
      </c>
      <c r="D40" s="30"/>
      <c r="E40" s="65" t="e">
        <f t="shared" ca="1" si="0"/>
        <v>#NAME?</v>
      </c>
      <c r="F40" s="14"/>
      <c r="G40" s="11"/>
    </row>
    <row r="41" spans="2:7" x14ac:dyDescent="0.15">
      <c r="B41" s="19"/>
      <c r="C41" s="35">
        <f t="shared" si="1"/>
        <v>0.85416666666666707</v>
      </c>
      <c r="D41" s="30"/>
      <c r="E41" s="65" t="e">
        <f t="shared" ca="1" si="0"/>
        <v>#NAME?</v>
      </c>
      <c r="F41" s="14"/>
      <c r="G41" s="11"/>
    </row>
    <row r="42" spans="2:7" x14ac:dyDescent="0.15">
      <c r="B42" s="19"/>
      <c r="C42" s="35">
        <f t="shared" si="1"/>
        <v>0.87500000000000044</v>
      </c>
      <c r="D42" s="30"/>
      <c r="E42" s="65" t="e">
        <f t="shared" ca="1" si="0"/>
        <v>#NAME?</v>
      </c>
      <c r="F42" s="14"/>
      <c r="G42" s="11"/>
    </row>
    <row r="43" spans="2:7" x14ac:dyDescent="0.15">
      <c r="B43" s="19"/>
      <c r="C43" s="35">
        <f t="shared" si="1"/>
        <v>0.89583333333333381</v>
      </c>
      <c r="D43" s="30"/>
      <c r="E43" s="65" t="e">
        <f t="shared" ca="1" si="0"/>
        <v>#NAME?</v>
      </c>
      <c r="F43" s="14"/>
      <c r="G43" s="11"/>
    </row>
    <row r="44" spans="2:7" x14ac:dyDescent="0.15">
      <c r="B44" s="19"/>
      <c r="C44" s="35">
        <f t="shared" si="1"/>
        <v>0.91666666666666718</v>
      </c>
      <c r="D44" s="30"/>
      <c r="E44" s="65" t="e">
        <f t="shared" ca="1" si="0"/>
        <v>#NAME?</v>
      </c>
      <c r="F44" s="14"/>
      <c r="G44" s="11"/>
    </row>
    <row r="45" spans="2:7" x14ac:dyDescent="0.15">
      <c r="B45" s="19"/>
      <c r="C45" s="35">
        <f t="shared" si="1"/>
        <v>0.93750000000000056</v>
      </c>
      <c r="D45" s="30"/>
      <c r="E45" s="65" t="e">
        <f t="shared" ca="1" si="0"/>
        <v>#NAME?</v>
      </c>
      <c r="F45" s="14"/>
      <c r="G45" s="11"/>
    </row>
    <row r="46" spans="2:7" x14ac:dyDescent="0.15">
      <c r="B46" s="19"/>
      <c r="C46" s="35">
        <f t="shared" si="1"/>
        <v>0.95833333333333393</v>
      </c>
      <c r="D46" s="30"/>
      <c r="E46" s="65" t="e">
        <f t="shared" ca="1" si="0"/>
        <v>#NAME?</v>
      </c>
      <c r="F46" s="14"/>
      <c r="G46" s="11"/>
    </row>
    <row r="47" spans="2:7" x14ac:dyDescent="0.15">
      <c r="B47" s="19"/>
      <c r="C47" s="35">
        <f t="shared" si="1"/>
        <v>0.9791666666666673</v>
      </c>
      <c r="D47" s="30"/>
      <c r="E47" s="65" t="e">
        <f t="shared" ca="1" si="0"/>
        <v>#NAME?</v>
      </c>
      <c r="F47" s="14"/>
      <c r="G47" s="11"/>
    </row>
    <row r="48" spans="2:7" x14ac:dyDescent="0.15">
      <c r="B48" s="19"/>
      <c r="C48" s="35">
        <f t="shared" si="1"/>
        <v>1.0000000000000007</v>
      </c>
      <c r="D48" s="30"/>
      <c r="E48" s="65" t="e">
        <f t="shared" ca="1" si="0"/>
        <v>#NAME?</v>
      </c>
      <c r="F48" s="14"/>
      <c r="G48" s="11"/>
    </row>
    <row r="49" spans="2:7" x14ac:dyDescent="0.15">
      <c r="B49" s="19"/>
      <c r="C49" s="35">
        <f t="shared" si="1"/>
        <v>1.0208333333333339</v>
      </c>
      <c r="D49" s="30"/>
      <c r="E49" s="65" t="e">
        <f t="shared" ca="1" si="0"/>
        <v>#NAME?</v>
      </c>
      <c r="F49" s="14"/>
      <c r="G49" s="11"/>
    </row>
    <row r="50" spans="2:7" x14ac:dyDescent="0.15">
      <c r="B50" s="19"/>
      <c r="C50" s="35">
        <f t="shared" si="1"/>
        <v>1.0416666666666672</v>
      </c>
      <c r="D50" s="30"/>
      <c r="E50" s="65" t="e">
        <f t="shared" ca="1" si="0"/>
        <v>#NAME?</v>
      </c>
      <c r="F50" s="14"/>
      <c r="G50" s="11"/>
    </row>
    <row r="51" spans="2:7" x14ac:dyDescent="0.15">
      <c r="B51" s="19"/>
      <c r="C51" s="35">
        <f t="shared" si="1"/>
        <v>1.0625000000000004</v>
      </c>
      <c r="D51" s="30"/>
      <c r="E51" s="65" t="e">
        <f t="shared" ca="1" si="0"/>
        <v>#NAME?</v>
      </c>
      <c r="F51" s="14"/>
      <c r="G51" s="11"/>
    </row>
    <row r="52" spans="2:7" x14ac:dyDescent="0.15">
      <c r="B52" s="19"/>
      <c r="C52" s="35">
        <f t="shared" si="1"/>
        <v>1.0833333333333337</v>
      </c>
      <c r="D52" s="30"/>
      <c r="E52" s="65" t="e">
        <f t="shared" ca="1" si="0"/>
        <v>#NAME?</v>
      </c>
      <c r="F52" s="14"/>
      <c r="G52" s="11"/>
    </row>
    <row r="53" spans="2:7" x14ac:dyDescent="0.15">
      <c r="B53" s="19"/>
      <c r="C53" s="35">
        <f t="shared" si="1"/>
        <v>1.104166666666667</v>
      </c>
      <c r="D53" s="30"/>
      <c r="E53" s="65" t="e">
        <f t="shared" ca="1" si="0"/>
        <v>#NAME?</v>
      </c>
      <c r="F53" s="14"/>
      <c r="G53" s="11"/>
    </row>
    <row r="54" spans="2:7" x14ac:dyDescent="0.15">
      <c r="B54" s="19"/>
      <c r="C54" s="35">
        <f t="shared" si="1"/>
        <v>1.1250000000000002</v>
      </c>
      <c r="D54" s="30"/>
      <c r="E54" s="65" t="e">
        <f t="shared" ca="1" si="0"/>
        <v>#NAME?</v>
      </c>
      <c r="F54" s="14"/>
      <c r="G54" s="11"/>
    </row>
    <row r="55" spans="2:7" x14ac:dyDescent="0.15">
      <c r="B55" s="19"/>
      <c r="C55" s="35">
        <f t="shared" si="1"/>
        <v>1.1458333333333335</v>
      </c>
      <c r="D55" s="30"/>
      <c r="E55" s="65" t="e">
        <f t="shared" ca="1" si="0"/>
        <v>#NAME?</v>
      </c>
      <c r="F55" s="14"/>
      <c r="G55" s="11"/>
    </row>
    <row r="56" spans="2:7" x14ac:dyDescent="0.15">
      <c r="B56" s="19"/>
      <c r="C56" s="35">
        <f t="shared" si="1"/>
        <v>1.1666666666666667</v>
      </c>
      <c r="D56" s="30"/>
      <c r="E56" s="65" t="e">
        <f t="shared" ca="1" si="0"/>
        <v>#NAME?</v>
      </c>
      <c r="F56" s="14"/>
      <c r="G56" s="11"/>
    </row>
    <row r="57" spans="2:7" x14ac:dyDescent="0.15">
      <c r="B57" s="19"/>
      <c r="C57" s="35">
        <f t="shared" si="1"/>
        <v>1.1875</v>
      </c>
      <c r="D57" s="30"/>
      <c r="E57" s="65" t="e">
        <f t="shared" ca="1" si="0"/>
        <v>#NAME?</v>
      </c>
      <c r="F57" s="14"/>
      <c r="G57" s="11"/>
    </row>
    <row r="58" spans="2:7" x14ac:dyDescent="0.15">
      <c r="B58" s="19"/>
      <c r="C58" s="35">
        <f t="shared" si="1"/>
        <v>1.2083333333333333</v>
      </c>
      <c r="D58" s="30"/>
      <c r="E58" s="65" t="e">
        <f t="shared" ca="1" si="0"/>
        <v>#NAME?</v>
      </c>
      <c r="F58" s="14"/>
      <c r="G58" s="11"/>
    </row>
    <row r="59" spans="2:7" x14ac:dyDescent="0.15">
      <c r="B59" s="19"/>
      <c r="C59" s="35">
        <f t="shared" si="1"/>
        <v>1.2291666666666665</v>
      </c>
      <c r="D59" s="30"/>
      <c r="E59" s="65" t="e">
        <f t="shared" ca="1" si="0"/>
        <v>#NAME?</v>
      </c>
      <c r="F59" s="14"/>
      <c r="G59" s="11"/>
    </row>
    <row r="60" spans="2:7" x14ac:dyDescent="0.15">
      <c r="B60" s="19"/>
      <c r="C60" s="35">
        <f t="shared" si="1"/>
        <v>1.2499999999999998</v>
      </c>
      <c r="D60" s="30"/>
      <c r="E60" s="65" t="e">
        <f t="shared" ca="1" si="0"/>
        <v>#NAME?</v>
      </c>
      <c r="F60" s="14"/>
      <c r="G60" s="11"/>
    </row>
    <row r="61" spans="2:7" x14ac:dyDescent="0.15">
      <c r="B61" s="19"/>
      <c r="C61" s="35">
        <f t="shared" si="1"/>
        <v>1.270833333333333</v>
      </c>
      <c r="D61" s="30"/>
      <c r="E61" s="65" t="e">
        <f t="shared" ca="1" si="0"/>
        <v>#NAME?</v>
      </c>
      <c r="F61" s="14"/>
      <c r="G61" s="11"/>
    </row>
    <row r="62" spans="2:7" x14ac:dyDescent="0.15">
      <c r="B62" s="19"/>
      <c r="C62" s="35">
        <f t="shared" si="1"/>
        <v>1.2916666666666663</v>
      </c>
      <c r="D62" s="30"/>
      <c r="E62" s="65" t="e">
        <f t="shared" ca="1" si="0"/>
        <v>#NAME?</v>
      </c>
      <c r="F62" s="14"/>
      <c r="G62" s="11"/>
    </row>
    <row r="63" spans="2:7" x14ac:dyDescent="0.15">
      <c r="B63" s="19"/>
      <c r="C63" s="35">
        <f t="shared" si="1"/>
        <v>1.3124999999999996</v>
      </c>
      <c r="D63" s="30"/>
      <c r="E63" s="65" t="e">
        <f t="shared" ca="1" si="0"/>
        <v>#NAME?</v>
      </c>
      <c r="F63" s="14"/>
      <c r="G63" s="11"/>
    </row>
    <row r="64" spans="2:7" x14ac:dyDescent="0.15">
      <c r="B64" s="19"/>
      <c r="C64" s="87"/>
      <c r="D64" s="87"/>
      <c r="E64" s="14"/>
      <c r="F64" s="14"/>
      <c r="G64" s="11"/>
    </row>
    <row r="65" spans="1:7" ht="13.5" thickBot="1" x14ac:dyDescent="0.2">
      <c r="B65" s="19"/>
      <c r="C65" s="87"/>
      <c r="D65" s="87"/>
      <c r="E65" s="14"/>
      <c r="F65" s="14"/>
      <c r="G65" s="11"/>
    </row>
    <row r="66" spans="1:7" ht="24.75" customHeight="1" thickTop="1" thickBot="1" x14ac:dyDescent="0.2">
      <c r="B66" s="19"/>
      <c r="C66" s="87"/>
      <c r="D66" s="87"/>
      <c r="E66" s="14"/>
      <c r="F66" s="81" t="s">
        <v>53</v>
      </c>
      <c r="G66" s="11"/>
    </row>
    <row r="67" spans="1:7" ht="13.5" thickTop="1" x14ac:dyDescent="0.15">
      <c r="B67" s="19"/>
      <c r="C67" s="12"/>
      <c r="D67" s="13"/>
      <c r="E67" s="12"/>
      <c r="F67" s="12"/>
      <c r="G67" s="11"/>
    </row>
    <row r="68" spans="1:7" ht="13.5" thickBot="1" x14ac:dyDescent="0.2">
      <c r="B68" s="15"/>
      <c r="C68" s="16"/>
      <c r="D68" s="17"/>
      <c r="E68" s="16"/>
      <c r="F68" s="16"/>
      <c r="G68" s="18"/>
    </row>
    <row r="70" spans="1:7" ht="21" customHeight="1" x14ac:dyDescent="0.15"/>
    <row r="71" spans="1:7" x14ac:dyDescent="0.15">
      <c r="A71" s="112" t="s">
        <v>55</v>
      </c>
      <c r="B71" s="88"/>
      <c r="C71" s="88"/>
      <c r="D71" s="110"/>
    </row>
    <row r="72" spans="1:7" x14ac:dyDescent="0.15">
      <c r="A72" s="113" t="s">
        <v>56</v>
      </c>
      <c r="B72" s="88"/>
      <c r="C72" s="88"/>
      <c r="D72" s="110"/>
    </row>
    <row r="10000" spans="1:4" x14ac:dyDescent="0.15">
      <c r="A10000" s="112" t="s">
        <v>55</v>
      </c>
      <c r="B10000" s="88"/>
      <c r="C10000" s="88"/>
      <c r="D10000" s="110"/>
    </row>
    <row r="10001" spans="1:4" x14ac:dyDescent="0.15">
      <c r="A10001" s="113" t="s">
        <v>56</v>
      </c>
      <c r="B10001" s="88"/>
      <c r="C10001" s="88"/>
      <c r="D10001" s="110"/>
    </row>
  </sheetData>
  <dataValidations count="1">
    <dataValidation type="decimal" allowBlank="1" showInputMessage="1" showErrorMessage="1" errorTitle="Service Level" error="Please enter a value greater than zero and less than 100%" sqref="D8" xr:uid="{00000000-0002-0000-0200-000000000000}">
      <formula1>0.00001</formula1>
      <formula2>0.999</formula2>
    </dataValidation>
  </dataValidations>
  <hyperlinks>
    <hyperlink ref="F4" location="'Expected Service Level'!A1" display="Next Page &gt;&gt;" xr:uid="{00000000-0004-0000-0200-000000000000}"/>
    <hyperlink ref="F66" location="'Expected Service Level'!A1" display="Next Page &gt;&gt;" xr:uid="{00000000-0004-0000-0200-000001000000}"/>
    <hyperlink ref="A72" r:id="rId1" xr:uid="{00000000-0004-0000-0200-000002000000}"/>
    <hyperlink ref="A10001" r:id="rId2" xr:uid="{00000000-0004-0000-0200-000003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0001"/>
  <sheetViews>
    <sheetView showGridLines="0" workbookViewId="0">
      <selection activeCell="M54" sqref="M54"/>
    </sheetView>
  </sheetViews>
  <sheetFormatPr defaultRowHeight="12.75" x14ac:dyDescent="0.15"/>
  <cols>
    <col min="2" max="2" width="9.4375" customWidth="1"/>
    <col min="3" max="3" width="24.13671875" customWidth="1"/>
    <col min="4" max="4" width="14.42578125" customWidth="1"/>
    <col min="5" max="5" width="16.046875" customWidth="1"/>
    <col min="8" max="8" width="10.78515625" customWidth="1"/>
    <col min="9" max="9" width="13.484375" customWidth="1"/>
    <col min="10" max="10" width="14.83203125" customWidth="1"/>
  </cols>
  <sheetData>
    <row r="1" spans="2:11" ht="13.5" thickBot="1" x14ac:dyDescent="0.2"/>
    <row r="2" spans="2:11" ht="27.75" customHeight="1" x14ac:dyDescent="0.15">
      <c r="B2" s="61"/>
      <c r="C2" s="122" t="s">
        <v>57</v>
      </c>
      <c r="D2" s="62"/>
      <c r="E2" s="63"/>
      <c r="F2" s="66"/>
      <c r="G2" s="66"/>
      <c r="H2" s="66"/>
      <c r="I2" s="66"/>
      <c r="J2" s="66"/>
      <c r="K2" s="67"/>
    </row>
    <row r="3" spans="2:11" ht="19.5" customHeight="1" x14ac:dyDescent="0.15">
      <c r="B3" s="19"/>
      <c r="C3" s="80"/>
      <c r="D3" s="13"/>
      <c r="E3" s="12"/>
      <c r="F3" s="68"/>
      <c r="G3" s="68"/>
      <c r="H3" s="68"/>
      <c r="I3" s="68"/>
      <c r="J3" s="68"/>
      <c r="K3" s="69"/>
    </row>
    <row r="4" spans="2:11" x14ac:dyDescent="0.15">
      <c r="B4" s="19"/>
      <c r="C4" s="80" t="s">
        <v>52</v>
      </c>
      <c r="D4" s="13"/>
      <c r="E4" s="12"/>
      <c r="F4" s="68"/>
      <c r="G4" s="68"/>
      <c r="H4" s="68"/>
      <c r="I4" s="68"/>
      <c r="J4" s="68"/>
      <c r="K4" s="69"/>
    </row>
    <row r="5" spans="2:11" ht="13.5" thickBot="1" x14ac:dyDescent="0.2">
      <c r="B5" s="19"/>
      <c r="C5" s="12"/>
      <c r="D5" s="13"/>
      <c r="E5" s="12"/>
      <c r="F5" s="68"/>
      <c r="G5" s="70"/>
      <c r="H5" s="70"/>
      <c r="I5" s="68"/>
      <c r="J5" s="68"/>
      <c r="K5" s="69"/>
    </row>
    <row r="6" spans="2:11" ht="21" customHeight="1" thickTop="1" thickBot="1" x14ac:dyDescent="0.2">
      <c r="B6" s="19"/>
      <c r="C6" s="12" t="s">
        <v>84</v>
      </c>
      <c r="D6" s="27">
        <v>240</v>
      </c>
      <c r="E6" s="12" t="s">
        <v>54</v>
      </c>
      <c r="F6" s="70"/>
      <c r="G6" s="70"/>
      <c r="H6" s="70"/>
      <c r="I6" s="70"/>
      <c r="J6" s="81" t="s">
        <v>53</v>
      </c>
      <c r="K6" s="72"/>
    </row>
    <row r="7" spans="2:11" ht="13.5" thickTop="1" x14ac:dyDescent="0.15">
      <c r="B7" s="19"/>
      <c r="C7" s="12"/>
      <c r="D7" s="12"/>
      <c r="E7" s="12"/>
      <c r="F7" s="70"/>
      <c r="G7" s="70"/>
      <c r="H7" s="70"/>
      <c r="I7" s="71"/>
      <c r="J7" s="71"/>
      <c r="K7" s="72"/>
    </row>
    <row r="8" spans="2:11" x14ac:dyDescent="0.15">
      <c r="B8" s="19"/>
      <c r="C8" s="12" t="s">
        <v>15</v>
      </c>
      <c r="D8" s="27">
        <v>30</v>
      </c>
      <c r="E8" s="25" t="s">
        <v>17</v>
      </c>
      <c r="F8" s="70"/>
      <c r="G8" s="70"/>
      <c r="H8" s="70"/>
      <c r="I8" s="71"/>
      <c r="J8" s="71"/>
      <c r="K8" s="72"/>
    </row>
    <row r="9" spans="2:11" x14ac:dyDescent="0.15">
      <c r="B9" s="19"/>
      <c r="C9" s="12"/>
      <c r="D9" s="12"/>
      <c r="E9" s="12"/>
      <c r="F9" s="70"/>
      <c r="G9" s="70"/>
      <c r="H9" s="70"/>
      <c r="I9" s="71"/>
      <c r="J9" s="71"/>
      <c r="K9" s="72"/>
    </row>
    <row r="10" spans="2:11" x14ac:dyDescent="0.15">
      <c r="B10" s="19"/>
      <c r="C10" s="12" t="s">
        <v>2</v>
      </c>
      <c r="D10" s="29">
        <v>0.8</v>
      </c>
      <c r="E10" s="12"/>
      <c r="F10" s="70"/>
      <c r="G10" s="70"/>
      <c r="H10" s="70"/>
      <c r="I10" s="71"/>
      <c r="J10" s="71"/>
      <c r="K10" s="72"/>
    </row>
    <row r="11" spans="2:11" x14ac:dyDescent="0.15">
      <c r="B11" s="19"/>
      <c r="C11" s="12"/>
      <c r="D11" s="12"/>
      <c r="E11" s="12"/>
      <c r="F11" s="70"/>
      <c r="G11" s="70"/>
      <c r="H11" s="70"/>
      <c r="I11" s="71"/>
      <c r="J11" s="71"/>
      <c r="K11" s="72"/>
    </row>
    <row r="12" spans="2:11" x14ac:dyDescent="0.15">
      <c r="B12" s="19"/>
      <c r="C12" s="12" t="s">
        <v>13</v>
      </c>
      <c r="D12" s="27">
        <v>20</v>
      </c>
      <c r="E12" s="12" t="s">
        <v>54</v>
      </c>
      <c r="F12" s="70"/>
      <c r="G12" s="70"/>
      <c r="H12" s="70"/>
      <c r="I12" s="71"/>
      <c r="J12" s="71"/>
      <c r="K12" s="72"/>
    </row>
    <row r="13" spans="2:11" x14ac:dyDescent="0.15">
      <c r="B13" s="19"/>
      <c r="C13" s="12"/>
      <c r="D13" s="12"/>
      <c r="E13" s="12"/>
      <c r="F13" s="70"/>
      <c r="G13" s="70"/>
      <c r="H13" s="70"/>
      <c r="I13" s="71"/>
      <c r="J13" s="71"/>
      <c r="K13" s="72"/>
    </row>
    <row r="14" spans="2:11" x14ac:dyDescent="0.15">
      <c r="B14" s="19"/>
      <c r="C14" s="34"/>
      <c r="D14" s="13"/>
      <c r="E14" s="12"/>
      <c r="F14" s="70"/>
      <c r="G14" s="70"/>
      <c r="H14" s="70"/>
      <c r="I14" s="71"/>
      <c r="J14" s="71"/>
      <c r="K14" s="72"/>
    </row>
    <row r="15" spans="2:11" ht="31.5" x14ac:dyDescent="0.15">
      <c r="B15" s="64"/>
      <c r="C15" s="37" t="s">
        <v>20</v>
      </c>
      <c r="D15" s="39" t="s">
        <v>18</v>
      </c>
      <c r="E15" s="78" t="s">
        <v>50</v>
      </c>
      <c r="F15" s="79"/>
      <c r="G15" s="78" t="s">
        <v>12</v>
      </c>
      <c r="H15" s="78" t="s">
        <v>51</v>
      </c>
      <c r="I15" s="78" t="s">
        <v>11</v>
      </c>
      <c r="J15" s="78" t="s">
        <v>37</v>
      </c>
      <c r="K15" s="72"/>
    </row>
    <row r="16" spans="2:11" x14ac:dyDescent="0.15">
      <c r="B16" s="19"/>
      <c r="C16" s="36">
        <v>0.33333333333333331</v>
      </c>
      <c r="D16" s="30">
        <v>10</v>
      </c>
      <c r="E16" s="119">
        <v>10</v>
      </c>
      <c r="F16" s="71"/>
      <c r="G16" s="73" t="e">
        <f ca="1">AgentsReq(D16,$D$8,$D$6,$D$10,$D$12)</f>
        <v>#NAME?</v>
      </c>
      <c r="H16" s="73" t="e">
        <f ca="1">E16-G16</f>
        <v>#NAME?</v>
      </c>
      <c r="I16" s="77" t="e">
        <f ca="1">Servicelevel(D16,$D$8,$D$6,$D$12,E16)</f>
        <v>#NAME?</v>
      </c>
      <c r="J16" s="77" t="e">
        <f ca="1">ProbCallWaits(D16,$D$8,$D$6,E16)</f>
        <v>#NAME?</v>
      </c>
      <c r="K16" s="72"/>
    </row>
    <row r="17" spans="2:11" x14ac:dyDescent="0.15">
      <c r="B17" s="19"/>
      <c r="C17" s="35">
        <f t="shared" ref="C17:C47" si="0">C16+TIME(0,$D$8,0)</f>
        <v>0.35416666666666663</v>
      </c>
      <c r="D17" s="30">
        <v>32</v>
      </c>
      <c r="E17" s="119">
        <v>10</v>
      </c>
      <c r="F17" s="71"/>
      <c r="G17" s="73" t="e">
        <f t="shared" ref="G17:G47" ca="1" si="1">AgentsReq(D17,$D$8,$D$6,$D$10,$D$12)</f>
        <v>#NAME?</v>
      </c>
      <c r="H17" s="73" t="e">
        <f t="shared" ref="H17:H47" ca="1" si="2">E17-G17</f>
        <v>#NAME?</v>
      </c>
      <c r="I17" s="77" t="e">
        <f t="shared" ref="I17:I47" ca="1" si="3">Servicelevel(D17,$D$8,$D$6,$D$12,E17)</f>
        <v>#NAME?</v>
      </c>
      <c r="J17" s="77" t="e">
        <f t="shared" ref="J17:J47" ca="1" si="4">ProbCallWaits(D17,$D$8,$D$6,E17)</f>
        <v>#NAME?</v>
      </c>
      <c r="K17" s="72"/>
    </row>
    <row r="18" spans="2:11" x14ac:dyDescent="0.15">
      <c r="B18" s="19"/>
      <c r="C18" s="35">
        <f t="shared" si="0"/>
        <v>0.37499999999999994</v>
      </c>
      <c r="D18" s="30">
        <v>103</v>
      </c>
      <c r="E18" s="119">
        <v>30</v>
      </c>
      <c r="F18" s="71"/>
      <c r="G18" s="73" t="e">
        <f t="shared" ca="1" si="1"/>
        <v>#NAME?</v>
      </c>
      <c r="H18" s="73" t="e">
        <f t="shared" ca="1" si="2"/>
        <v>#NAME?</v>
      </c>
      <c r="I18" s="77" t="e">
        <f t="shared" ca="1" si="3"/>
        <v>#NAME?</v>
      </c>
      <c r="J18" s="77" t="e">
        <f t="shared" ca="1" si="4"/>
        <v>#NAME?</v>
      </c>
      <c r="K18" s="72"/>
    </row>
    <row r="19" spans="2:11" x14ac:dyDescent="0.15">
      <c r="B19" s="19"/>
      <c r="C19" s="35">
        <f t="shared" si="0"/>
        <v>0.39583333333333326</v>
      </c>
      <c r="D19" s="30">
        <v>140</v>
      </c>
      <c r="E19" s="119">
        <v>20</v>
      </c>
      <c r="F19" s="71"/>
      <c r="G19" s="73" t="e">
        <f t="shared" ca="1" si="1"/>
        <v>#NAME?</v>
      </c>
      <c r="H19" s="73" t="e">
        <f t="shared" ca="1" si="2"/>
        <v>#NAME?</v>
      </c>
      <c r="I19" s="77" t="e">
        <f t="shared" ca="1" si="3"/>
        <v>#NAME?</v>
      </c>
      <c r="J19" s="77" t="e">
        <f t="shared" ca="1" si="4"/>
        <v>#NAME?</v>
      </c>
      <c r="K19" s="72"/>
    </row>
    <row r="20" spans="2:11" x14ac:dyDescent="0.15">
      <c r="B20" s="19"/>
      <c r="C20" s="35">
        <f t="shared" si="0"/>
        <v>0.41666666666666657</v>
      </c>
      <c r="D20" s="30">
        <v>266</v>
      </c>
      <c r="E20" s="119">
        <v>35</v>
      </c>
      <c r="F20" s="71"/>
      <c r="G20" s="73" t="e">
        <f t="shared" ca="1" si="1"/>
        <v>#NAME?</v>
      </c>
      <c r="H20" s="73" t="e">
        <f t="shared" ca="1" si="2"/>
        <v>#NAME?</v>
      </c>
      <c r="I20" s="77" t="e">
        <f t="shared" ca="1" si="3"/>
        <v>#NAME?</v>
      </c>
      <c r="J20" s="77" t="e">
        <f t="shared" ca="1" si="4"/>
        <v>#NAME?</v>
      </c>
      <c r="K20" s="72"/>
    </row>
    <row r="21" spans="2:11" x14ac:dyDescent="0.15">
      <c r="B21" s="19"/>
      <c r="C21" s="35">
        <f t="shared" si="0"/>
        <v>0.43749999999999989</v>
      </c>
      <c r="D21" s="30">
        <v>361</v>
      </c>
      <c r="E21" s="119">
        <v>35</v>
      </c>
      <c r="F21" s="71"/>
      <c r="G21" s="73" t="e">
        <f t="shared" ca="1" si="1"/>
        <v>#NAME?</v>
      </c>
      <c r="H21" s="73" t="e">
        <f t="shared" ca="1" si="2"/>
        <v>#NAME?</v>
      </c>
      <c r="I21" s="77" t="e">
        <f t="shared" ca="1" si="3"/>
        <v>#NAME?</v>
      </c>
      <c r="J21" s="77" t="e">
        <f t="shared" ca="1" si="4"/>
        <v>#NAME?</v>
      </c>
      <c r="K21" s="72"/>
    </row>
    <row r="22" spans="2:11" x14ac:dyDescent="0.15">
      <c r="B22" s="19"/>
      <c r="C22" s="35">
        <f t="shared" si="0"/>
        <v>0.4583333333333332</v>
      </c>
      <c r="D22" s="30">
        <v>333</v>
      </c>
      <c r="E22" s="119">
        <v>40</v>
      </c>
      <c r="F22" s="71"/>
      <c r="G22" s="73" t="e">
        <f t="shared" ca="1" si="1"/>
        <v>#NAME?</v>
      </c>
      <c r="H22" s="73" t="e">
        <f t="shared" ca="1" si="2"/>
        <v>#NAME?</v>
      </c>
      <c r="I22" s="77" t="e">
        <f t="shared" ca="1" si="3"/>
        <v>#NAME?</v>
      </c>
      <c r="J22" s="77" t="e">
        <f t="shared" ca="1" si="4"/>
        <v>#NAME?</v>
      </c>
      <c r="K22" s="72"/>
    </row>
    <row r="23" spans="2:11" x14ac:dyDescent="0.15">
      <c r="B23" s="19"/>
      <c r="C23" s="35">
        <f t="shared" si="0"/>
        <v>0.47916666666666652</v>
      </c>
      <c r="D23" s="30">
        <v>281</v>
      </c>
      <c r="E23" s="119">
        <v>40</v>
      </c>
      <c r="F23" s="71"/>
      <c r="G23" s="73" t="e">
        <f t="shared" ca="1" si="1"/>
        <v>#NAME?</v>
      </c>
      <c r="H23" s="73" t="e">
        <f t="shared" ca="1" si="2"/>
        <v>#NAME?</v>
      </c>
      <c r="I23" s="77" t="e">
        <f t="shared" ca="1" si="3"/>
        <v>#NAME?</v>
      </c>
      <c r="J23" s="77" t="e">
        <f t="shared" ca="1" si="4"/>
        <v>#NAME?</v>
      </c>
      <c r="K23" s="72"/>
    </row>
    <row r="24" spans="2:11" x14ac:dyDescent="0.15">
      <c r="B24" s="19"/>
      <c r="C24" s="35">
        <f t="shared" si="0"/>
        <v>0.49999999999999983</v>
      </c>
      <c r="D24" s="30">
        <v>304</v>
      </c>
      <c r="E24" s="119">
        <v>45</v>
      </c>
      <c r="F24" s="71"/>
      <c r="G24" s="73" t="e">
        <f t="shared" ca="1" si="1"/>
        <v>#NAME?</v>
      </c>
      <c r="H24" s="73" t="e">
        <f t="shared" ca="1" si="2"/>
        <v>#NAME?</v>
      </c>
      <c r="I24" s="77" t="e">
        <f t="shared" ca="1" si="3"/>
        <v>#NAME?</v>
      </c>
      <c r="J24" s="77" t="e">
        <f t="shared" ca="1" si="4"/>
        <v>#NAME?</v>
      </c>
      <c r="K24" s="72"/>
    </row>
    <row r="25" spans="2:11" x14ac:dyDescent="0.15">
      <c r="B25" s="19"/>
      <c r="C25" s="35">
        <f t="shared" si="0"/>
        <v>0.52083333333333315</v>
      </c>
      <c r="D25" s="30">
        <v>220</v>
      </c>
      <c r="E25" s="119">
        <v>45</v>
      </c>
      <c r="F25" s="71"/>
      <c r="G25" s="73" t="e">
        <f t="shared" ca="1" si="1"/>
        <v>#NAME?</v>
      </c>
      <c r="H25" s="73" t="e">
        <f t="shared" ca="1" si="2"/>
        <v>#NAME?</v>
      </c>
      <c r="I25" s="77" t="e">
        <f t="shared" ca="1" si="3"/>
        <v>#NAME?</v>
      </c>
      <c r="J25" s="77" t="e">
        <f t="shared" ca="1" si="4"/>
        <v>#NAME?</v>
      </c>
      <c r="K25" s="72"/>
    </row>
    <row r="26" spans="2:11" x14ac:dyDescent="0.15">
      <c r="B26" s="19"/>
      <c r="C26" s="35">
        <f t="shared" si="0"/>
        <v>0.54166666666666652</v>
      </c>
      <c r="D26" s="30">
        <v>246</v>
      </c>
      <c r="E26" s="119">
        <v>45</v>
      </c>
      <c r="F26" s="71"/>
      <c r="G26" s="73" t="e">
        <f t="shared" ca="1" si="1"/>
        <v>#NAME?</v>
      </c>
      <c r="H26" s="73" t="e">
        <f t="shared" ca="1" si="2"/>
        <v>#NAME?</v>
      </c>
      <c r="I26" s="77" t="e">
        <f t="shared" ca="1" si="3"/>
        <v>#NAME?</v>
      </c>
      <c r="J26" s="77" t="e">
        <f t="shared" ca="1" si="4"/>
        <v>#NAME?</v>
      </c>
      <c r="K26" s="72"/>
    </row>
    <row r="27" spans="2:11" x14ac:dyDescent="0.15">
      <c r="B27" s="19"/>
      <c r="C27" s="35">
        <f t="shared" si="0"/>
        <v>0.56249999999999989</v>
      </c>
      <c r="D27" s="30">
        <v>259</v>
      </c>
      <c r="E27" s="119">
        <v>45</v>
      </c>
      <c r="F27" s="71"/>
      <c r="G27" s="73" t="e">
        <f t="shared" ca="1" si="1"/>
        <v>#NAME?</v>
      </c>
      <c r="H27" s="73" t="e">
        <f t="shared" ca="1" si="2"/>
        <v>#NAME?</v>
      </c>
      <c r="I27" s="77" t="e">
        <f t="shared" ca="1" si="3"/>
        <v>#NAME?</v>
      </c>
      <c r="J27" s="77" t="e">
        <f t="shared" ca="1" si="4"/>
        <v>#NAME?</v>
      </c>
      <c r="K27" s="72"/>
    </row>
    <row r="28" spans="2:11" x14ac:dyDescent="0.15">
      <c r="B28" s="19"/>
      <c r="C28" s="35">
        <f t="shared" si="0"/>
        <v>0.58333333333333326</v>
      </c>
      <c r="D28" s="30">
        <v>220</v>
      </c>
      <c r="E28" s="119">
        <v>50</v>
      </c>
      <c r="F28" s="71"/>
      <c r="G28" s="73" t="e">
        <f t="shared" ca="1" si="1"/>
        <v>#NAME?</v>
      </c>
      <c r="H28" s="73" t="e">
        <f t="shared" ca="1" si="2"/>
        <v>#NAME?</v>
      </c>
      <c r="I28" s="77" t="e">
        <f t="shared" ca="1" si="3"/>
        <v>#NAME?</v>
      </c>
      <c r="J28" s="77" t="e">
        <f t="shared" ca="1" si="4"/>
        <v>#NAME?</v>
      </c>
      <c r="K28" s="72"/>
    </row>
    <row r="29" spans="2:11" x14ac:dyDescent="0.15">
      <c r="B29" s="19"/>
      <c r="C29" s="35">
        <f t="shared" si="0"/>
        <v>0.60416666666666663</v>
      </c>
      <c r="D29" s="30">
        <v>258</v>
      </c>
      <c r="E29" s="119">
        <v>50</v>
      </c>
      <c r="F29" s="71"/>
      <c r="G29" s="73" t="e">
        <f t="shared" ca="1" si="1"/>
        <v>#NAME?</v>
      </c>
      <c r="H29" s="73" t="e">
        <f t="shared" ca="1" si="2"/>
        <v>#NAME?</v>
      </c>
      <c r="I29" s="77" t="e">
        <f t="shared" ca="1" si="3"/>
        <v>#NAME?</v>
      </c>
      <c r="J29" s="77" t="e">
        <f t="shared" ca="1" si="4"/>
        <v>#NAME?</v>
      </c>
      <c r="K29" s="72"/>
    </row>
    <row r="30" spans="2:11" x14ac:dyDescent="0.15">
      <c r="B30" s="19"/>
      <c r="C30" s="35">
        <f t="shared" si="0"/>
        <v>0.625</v>
      </c>
      <c r="D30" s="30">
        <v>276</v>
      </c>
      <c r="E30" s="119">
        <v>50</v>
      </c>
      <c r="F30" s="71"/>
      <c r="G30" s="73" t="e">
        <f t="shared" ca="1" si="1"/>
        <v>#NAME?</v>
      </c>
      <c r="H30" s="73" t="e">
        <f t="shared" ca="1" si="2"/>
        <v>#NAME?</v>
      </c>
      <c r="I30" s="77" t="e">
        <f t="shared" ca="1" si="3"/>
        <v>#NAME?</v>
      </c>
      <c r="J30" s="77" t="e">
        <f t="shared" ca="1" si="4"/>
        <v>#NAME?</v>
      </c>
      <c r="K30" s="72"/>
    </row>
    <row r="31" spans="2:11" x14ac:dyDescent="0.15">
      <c r="B31" s="19"/>
      <c r="C31" s="35">
        <f t="shared" si="0"/>
        <v>0.64583333333333337</v>
      </c>
      <c r="D31" s="30">
        <v>222</v>
      </c>
      <c r="E31" s="119">
        <v>50</v>
      </c>
      <c r="F31" s="71"/>
      <c r="G31" s="73" t="e">
        <f t="shared" ca="1" si="1"/>
        <v>#NAME?</v>
      </c>
      <c r="H31" s="73" t="e">
        <f t="shared" ca="1" si="2"/>
        <v>#NAME?</v>
      </c>
      <c r="I31" s="77" t="e">
        <f t="shared" ca="1" si="3"/>
        <v>#NAME?</v>
      </c>
      <c r="J31" s="77" t="e">
        <f t="shared" ca="1" si="4"/>
        <v>#NAME?</v>
      </c>
      <c r="K31" s="72"/>
    </row>
    <row r="32" spans="2:11" x14ac:dyDescent="0.15">
      <c r="B32" s="19"/>
      <c r="C32" s="35">
        <f t="shared" si="0"/>
        <v>0.66666666666666674</v>
      </c>
      <c r="D32" s="30">
        <v>180</v>
      </c>
      <c r="E32" s="119">
        <v>30</v>
      </c>
      <c r="F32" s="71"/>
      <c r="G32" s="73" t="e">
        <f t="shared" ca="1" si="1"/>
        <v>#NAME?</v>
      </c>
      <c r="H32" s="73" t="e">
        <f t="shared" ca="1" si="2"/>
        <v>#NAME?</v>
      </c>
      <c r="I32" s="77" t="e">
        <f t="shared" ca="1" si="3"/>
        <v>#NAME?</v>
      </c>
      <c r="J32" s="77" t="e">
        <f t="shared" ca="1" si="4"/>
        <v>#NAME?</v>
      </c>
      <c r="K32" s="72"/>
    </row>
    <row r="33" spans="2:11" x14ac:dyDescent="0.15">
      <c r="B33" s="19"/>
      <c r="C33" s="35">
        <f t="shared" si="0"/>
        <v>0.68750000000000011</v>
      </c>
      <c r="D33" s="30">
        <v>200</v>
      </c>
      <c r="E33" s="119">
        <v>30</v>
      </c>
      <c r="F33" s="71"/>
      <c r="G33" s="73" t="e">
        <f t="shared" ca="1" si="1"/>
        <v>#NAME?</v>
      </c>
      <c r="H33" s="73" t="e">
        <f t="shared" ca="1" si="2"/>
        <v>#NAME?</v>
      </c>
      <c r="I33" s="77" t="e">
        <f t="shared" ca="1" si="3"/>
        <v>#NAME?</v>
      </c>
      <c r="J33" s="77" t="e">
        <f t="shared" ca="1" si="4"/>
        <v>#NAME?</v>
      </c>
      <c r="K33" s="72"/>
    </row>
    <row r="34" spans="2:11" x14ac:dyDescent="0.15">
      <c r="B34" s="19"/>
      <c r="C34" s="35">
        <f t="shared" si="0"/>
        <v>0.70833333333333348</v>
      </c>
      <c r="D34" s="30">
        <v>152</v>
      </c>
      <c r="E34" s="119">
        <v>30</v>
      </c>
      <c r="F34" s="71"/>
      <c r="G34" s="73" t="e">
        <f t="shared" ca="1" si="1"/>
        <v>#NAME?</v>
      </c>
      <c r="H34" s="73" t="e">
        <f t="shared" ca="1" si="2"/>
        <v>#NAME?</v>
      </c>
      <c r="I34" s="77" t="e">
        <f t="shared" ca="1" si="3"/>
        <v>#NAME?</v>
      </c>
      <c r="J34" s="77" t="e">
        <f t="shared" ca="1" si="4"/>
        <v>#NAME?</v>
      </c>
      <c r="K34" s="72"/>
    </row>
    <row r="35" spans="2:11" x14ac:dyDescent="0.15">
      <c r="B35" s="19"/>
      <c r="C35" s="35">
        <f t="shared" si="0"/>
        <v>0.72916666666666685</v>
      </c>
      <c r="D35" s="30">
        <v>87</v>
      </c>
      <c r="E35" s="119">
        <v>30</v>
      </c>
      <c r="F35" s="71"/>
      <c r="G35" s="73" t="e">
        <f t="shared" ca="1" si="1"/>
        <v>#NAME?</v>
      </c>
      <c r="H35" s="73" t="e">
        <f t="shared" ca="1" si="2"/>
        <v>#NAME?</v>
      </c>
      <c r="I35" s="77" t="e">
        <f t="shared" ca="1" si="3"/>
        <v>#NAME?</v>
      </c>
      <c r="J35" s="77" t="e">
        <f t="shared" ca="1" si="4"/>
        <v>#NAME?</v>
      </c>
      <c r="K35" s="72"/>
    </row>
    <row r="36" spans="2:11" x14ac:dyDescent="0.15">
      <c r="B36" s="19"/>
      <c r="C36" s="35">
        <f t="shared" si="0"/>
        <v>0.75000000000000022</v>
      </c>
      <c r="D36" s="30">
        <v>42</v>
      </c>
      <c r="E36" s="119">
        <v>20</v>
      </c>
      <c r="F36" s="71"/>
      <c r="G36" s="73" t="e">
        <f t="shared" ca="1" si="1"/>
        <v>#NAME?</v>
      </c>
      <c r="H36" s="73" t="e">
        <f t="shared" ca="1" si="2"/>
        <v>#NAME?</v>
      </c>
      <c r="I36" s="77" t="e">
        <f t="shared" ca="1" si="3"/>
        <v>#NAME?</v>
      </c>
      <c r="J36" s="77" t="e">
        <f t="shared" ca="1" si="4"/>
        <v>#NAME?</v>
      </c>
      <c r="K36" s="72"/>
    </row>
    <row r="37" spans="2:11" x14ac:dyDescent="0.15">
      <c r="B37" s="19"/>
      <c r="C37" s="35">
        <f t="shared" si="0"/>
        <v>0.77083333333333359</v>
      </c>
      <c r="D37" s="30"/>
      <c r="E37" s="119"/>
      <c r="F37" s="71"/>
      <c r="G37" s="73" t="e">
        <f ca="1">AgentsReq(D37,$D$8,$D$6,$D$10,$D$12)</f>
        <v>#NAME?</v>
      </c>
      <c r="H37" s="73" t="e">
        <f t="shared" ca="1" si="2"/>
        <v>#NAME?</v>
      </c>
      <c r="I37" s="77" t="e">
        <f t="shared" ca="1" si="3"/>
        <v>#NAME?</v>
      </c>
      <c r="J37" s="77" t="e">
        <f t="shared" ca="1" si="4"/>
        <v>#NAME?</v>
      </c>
      <c r="K37" s="72"/>
    </row>
    <row r="38" spans="2:11" x14ac:dyDescent="0.15">
      <c r="B38" s="19"/>
      <c r="C38" s="35">
        <f t="shared" si="0"/>
        <v>0.79166666666666696</v>
      </c>
      <c r="D38" s="30"/>
      <c r="E38" s="119"/>
      <c r="F38" s="71"/>
      <c r="G38" s="73" t="e">
        <f t="shared" ca="1" si="1"/>
        <v>#NAME?</v>
      </c>
      <c r="H38" s="73" t="e">
        <f t="shared" ca="1" si="2"/>
        <v>#NAME?</v>
      </c>
      <c r="I38" s="77" t="e">
        <f t="shared" ca="1" si="3"/>
        <v>#NAME?</v>
      </c>
      <c r="J38" s="77" t="e">
        <f t="shared" ca="1" si="4"/>
        <v>#NAME?</v>
      </c>
      <c r="K38" s="72"/>
    </row>
    <row r="39" spans="2:11" x14ac:dyDescent="0.15">
      <c r="B39" s="19"/>
      <c r="C39" s="35">
        <f t="shared" si="0"/>
        <v>0.81250000000000033</v>
      </c>
      <c r="D39" s="30"/>
      <c r="E39" s="119"/>
      <c r="F39" s="71"/>
      <c r="G39" s="73" t="e">
        <f t="shared" ca="1" si="1"/>
        <v>#NAME?</v>
      </c>
      <c r="H39" s="73" t="e">
        <f t="shared" ca="1" si="2"/>
        <v>#NAME?</v>
      </c>
      <c r="I39" s="77" t="e">
        <f t="shared" ca="1" si="3"/>
        <v>#NAME?</v>
      </c>
      <c r="J39" s="77" t="e">
        <f t="shared" ca="1" si="4"/>
        <v>#NAME?</v>
      </c>
      <c r="K39" s="72"/>
    </row>
    <row r="40" spans="2:11" x14ac:dyDescent="0.15">
      <c r="B40" s="19"/>
      <c r="C40" s="35">
        <f t="shared" si="0"/>
        <v>0.8333333333333337</v>
      </c>
      <c r="D40" s="30"/>
      <c r="E40" s="119"/>
      <c r="F40" s="71"/>
      <c r="G40" s="73" t="e">
        <f t="shared" ca="1" si="1"/>
        <v>#NAME?</v>
      </c>
      <c r="H40" s="73" t="e">
        <f t="shared" ca="1" si="2"/>
        <v>#NAME?</v>
      </c>
      <c r="I40" s="77" t="e">
        <f t="shared" ca="1" si="3"/>
        <v>#NAME?</v>
      </c>
      <c r="J40" s="77" t="e">
        <f t="shared" ca="1" si="4"/>
        <v>#NAME?</v>
      </c>
      <c r="K40" s="72"/>
    </row>
    <row r="41" spans="2:11" x14ac:dyDescent="0.15">
      <c r="B41" s="19"/>
      <c r="C41" s="35">
        <f t="shared" si="0"/>
        <v>0.85416666666666707</v>
      </c>
      <c r="D41" s="30"/>
      <c r="E41" s="119"/>
      <c r="F41" s="71"/>
      <c r="G41" s="73" t="e">
        <f t="shared" ca="1" si="1"/>
        <v>#NAME?</v>
      </c>
      <c r="H41" s="73" t="e">
        <f t="shared" ca="1" si="2"/>
        <v>#NAME?</v>
      </c>
      <c r="I41" s="77" t="e">
        <f t="shared" ca="1" si="3"/>
        <v>#NAME?</v>
      </c>
      <c r="J41" s="77" t="e">
        <f t="shared" ca="1" si="4"/>
        <v>#NAME?</v>
      </c>
      <c r="K41" s="72"/>
    </row>
    <row r="42" spans="2:11" x14ac:dyDescent="0.15">
      <c r="B42" s="19"/>
      <c r="C42" s="35">
        <f t="shared" si="0"/>
        <v>0.87500000000000044</v>
      </c>
      <c r="D42" s="30"/>
      <c r="E42" s="119"/>
      <c r="F42" s="71"/>
      <c r="G42" s="73" t="e">
        <f t="shared" ca="1" si="1"/>
        <v>#NAME?</v>
      </c>
      <c r="H42" s="73" t="e">
        <f t="shared" ca="1" si="2"/>
        <v>#NAME?</v>
      </c>
      <c r="I42" s="77" t="e">
        <f t="shared" ca="1" si="3"/>
        <v>#NAME?</v>
      </c>
      <c r="J42" s="77" t="e">
        <f t="shared" ca="1" si="4"/>
        <v>#NAME?</v>
      </c>
      <c r="K42" s="72"/>
    </row>
    <row r="43" spans="2:11" x14ac:dyDescent="0.15">
      <c r="B43" s="19"/>
      <c r="C43" s="35">
        <f t="shared" si="0"/>
        <v>0.89583333333333381</v>
      </c>
      <c r="D43" s="30"/>
      <c r="E43" s="119"/>
      <c r="F43" s="71"/>
      <c r="G43" s="73" t="e">
        <f t="shared" ca="1" si="1"/>
        <v>#NAME?</v>
      </c>
      <c r="H43" s="73" t="e">
        <f t="shared" ca="1" si="2"/>
        <v>#NAME?</v>
      </c>
      <c r="I43" s="77" t="e">
        <f t="shared" ca="1" si="3"/>
        <v>#NAME?</v>
      </c>
      <c r="J43" s="77" t="e">
        <f t="shared" ca="1" si="4"/>
        <v>#NAME?</v>
      </c>
      <c r="K43" s="72"/>
    </row>
    <row r="44" spans="2:11" x14ac:dyDescent="0.15">
      <c r="B44" s="19"/>
      <c r="C44" s="35">
        <f t="shared" si="0"/>
        <v>0.91666666666666718</v>
      </c>
      <c r="D44" s="30"/>
      <c r="E44" s="119"/>
      <c r="F44" s="71"/>
      <c r="G44" s="73" t="e">
        <f t="shared" ca="1" si="1"/>
        <v>#NAME?</v>
      </c>
      <c r="H44" s="73" t="e">
        <f t="shared" ca="1" si="2"/>
        <v>#NAME?</v>
      </c>
      <c r="I44" s="77" t="e">
        <f t="shared" ca="1" si="3"/>
        <v>#NAME?</v>
      </c>
      <c r="J44" s="77" t="e">
        <f t="shared" ca="1" si="4"/>
        <v>#NAME?</v>
      </c>
      <c r="K44" s="72"/>
    </row>
    <row r="45" spans="2:11" x14ac:dyDescent="0.15">
      <c r="B45" s="19"/>
      <c r="C45" s="35">
        <f t="shared" si="0"/>
        <v>0.93750000000000056</v>
      </c>
      <c r="D45" s="30"/>
      <c r="E45" s="119"/>
      <c r="F45" s="71"/>
      <c r="G45" s="73" t="e">
        <f t="shared" ca="1" si="1"/>
        <v>#NAME?</v>
      </c>
      <c r="H45" s="73" t="e">
        <f t="shared" ca="1" si="2"/>
        <v>#NAME?</v>
      </c>
      <c r="I45" s="77" t="e">
        <f t="shared" ca="1" si="3"/>
        <v>#NAME?</v>
      </c>
      <c r="J45" s="77" t="e">
        <f t="shared" ca="1" si="4"/>
        <v>#NAME?</v>
      </c>
      <c r="K45" s="72"/>
    </row>
    <row r="46" spans="2:11" x14ac:dyDescent="0.15">
      <c r="B46" s="19"/>
      <c r="C46" s="35">
        <f t="shared" si="0"/>
        <v>0.95833333333333393</v>
      </c>
      <c r="D46" s="30"/>
      <c r="E46" s="119"/>
      <c r="F46" s="71"/>
      <c r="G46" s="73" t="e">
        <f t="shared" ca="1" si="1"/>
        <v>#NAME?</v>
      </c>
      <c r="H46" s="73" t="e">
        <f t="shared" ca="1" si="2"/>
        <v>#NAME?</v>
      </c>
      <c r="I46" s="77" t="e">
        <f t="shared" ca="1" si="3"/>
        <v>#NAME?</v>
      </c>
      <c r="J46" s="77" t="e">
        <f t="shared" ca="1" si="4"/>
        <v>#NAME?</v>
      </c>
      <c r="K46" s="72"/>
    </row>
    <row r="47" spans="2:11" x14ac:dyDescent="0.15">
      <c r="B47" s="19"/>
      <c r="C47" s="35">
        <f t="shared" si="0"/>
        <v>0.9791666666666673</v>
      </c>
      <c r="D47" s="30"/>
      <c r="E47" s="119"/>
      <c r="F47" s="71"/>
      <c r="G47" s="73" t="e">
        <f t="shared" ca="1" si="1"/>
        <v>#NAME?</v>
      </c>
      <c r="H47" s="73" t="e">
        <f t="shared" ca="1" si="2"/>
        <v>#NAME?</v>
      </c>
      <c r="I47" s="77" t="e">
        <f t="shared" ca="1" si="3"/>
        <v>#NAME?</v>
      </c>
      <c r="J47" s="77" t="e">
        <f t="shared" ca="1" si="4"/>
        <v>#NAME?</v>
      </c>
      <c r="K47" s="72"/>
    </row>
    <row r="48" spans="2:11" x14ac:dyDescent="0.15">
      <c r="B48" s="19"/>
      <c r="C48" s="12"/>
      <c r="D48" s="13"/>
      <c r="E48" s="12"/>
      <c r="F48" s="68"/>
      <c r="G48" s="120"/>
      <c r="H48" s="121"/>
      <c r="I48" s="71"/>
      <c r="J48" s="71"/>
      <c r="K48" s="72"/>
    </row>
    <row r="49" spans="1:11" ht="13.5" thickBot="1" x14ac:dyDescent="0.2">
      <c r="B49" s="15"/>
      <c r="C49" s="16"/>
      <c r="D49" s="17"/>
      <c r="E49" s="16"/>
      <c r="F49" s="74"/>
      <c r="G49" s="74"/>
      <c r="H49" s="75"/>
      <c r="I49" s="75"/>
      <c r="J49" s="75"/>
      <c r="K49" s="76"/>
    </row>
    <row r="50" spans="1:11" ht="13.5" thickBot="1" x14ac:dyDescent="0.2"/>
    <row r="51" spans="1:11" ht="24.75" customHeight="1" thickTop="1" thickBot="1" x14ac:dyDescent="0.2">
      <c r="J51" s="81" t="s">
        <v>53</v>
      </c>
    </row>
    <row r="52" spans="1:11" ht="13.5" thickTop="1" x14ac:dyDescent="0.15">
      <c r="A52" s="112" t="s">
        <v>55</v>
      </c>
      <c r="B52" s="88"/>
      <c r="C52" s="88"/>
      <c r="D52" s="110"/>
    </row>
    <row r="53" spans="1:11" x14ac:dyDescent="0.15">
      <c r="A53" s="113" t="s">
        <v>56</v>
      </c>
      <c r="B53" s="88"/>
      <c r="C53" s="88"/>
      <c r="D53" s="110"/>
    </row>
    <row r="10000" spans="1:4" x14ac:dyDescent="0.15">
      <c r="A10000" s="112" t="s">
        <v>55</v>
      </c>
      <c r="B10000" s="88"/>
      <c r="C10000" s="88"/>
      <c r="D10000" s="110"/>
    </row>
    <row r="10001" spans="1:4" x14ac:dyDescent="0.15">
      <c r="A10001" s="113" t="s">
        <v>56</v>
      </c>
      <c r="B10001" s="88"/>
      <c r="C10001" s="88"/>
      <c r="D10001" s="110"/>
    </row>
  </sheetData>
  <dataValidations disablePrompts="1" count="1">
    <dataValidation type="decimal" allowBlank="1" showInputMessage="1" showErrorMessage="1" errorTitle="Service Level" error="Please enter a value greater than zero and less than 100%" sqref="D10" xr:uid="{00000000-0002-0000-0300-000000000000}">
      <formula1>0.00001</formula1>
      <formula2>0.999</formula2>
    </dataValidation>
  </dataValidations>
  <hyperlinks>
    <hyperlink ref="J6" location="'Other Tools'!A1" display="Next Page &gt;&gt;" xr:uid="{00000000-0004-0000-0300-000000000000}"/>
    <hyperlink ref="J51" location="'Other Tools'!A1" display="Next Page &gt;&gt;" xr:uid="{00000000-0004-0000-0300-000001000000}"/>
    <hyperlink ref="A53" r:id="rId1" xr:uid="{00000000-0004-0000-0300-000002000000}"/>
    <hyperlink ref="A10001" r:id="rId2" xr:uid="{00000000-0004-0000-0300-000003000000}"/>
  </hyperlinks>
  <pageMargins left="0.7" right="0.7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9984"/>
  <sheetViews>
    <sheetView workbookViewId="0">
      <selection activeCell="C30" sqref="C30"/>
    </sheetView>
  </sheetViews>
  <sheetFormatPr defaultRowHeight="12.75" x14ac:dyDescent="0.15"/>
  <cols>
    <col min="2" max="2" width="9.4375" customWidth="1"/>
    <col min="3" max="3" width="24.13671875" customWidth="1"/>
    <col min="4" max="4" width="14.42578125" customWidth="1"/>
    <col min="5" max="5" width="16.046875" customWidth="1"/>
    <col min="8" max="8" width="10.78515625" customWidth="1"/>
    <col min="9" max="9" width="13.484375" customWidth="1"/>
    <col min="10" max="10" width="14.83203125" customWidth="1"/>
  </cols>
  <sheetData>
    <row r="1" spans="2:11" ht="13.5" thickBot="1" x14ac:dyDescent="0.2"/>
    <row r="2" spans="2:11" ht="14.25" x14ac:dyDescent="0.15">
      <c r="B2" s="61"/>
      <c r="C2" s="122"/>
      <c r="D2" s="62"/>
      <c r="E2" s="63"/>
      <c r="F2" s="66"/>
      <c r="G2" s="66"/>
      <c r="H2" s="66"/>
      <c r="I2" s="66"/>
      <c r="J2" s="66"/>
      <c r="K2" s="67"/>
    </row>
    <row r="3" spans="2:11" ht="14.25" x14ac:dyDescent="0.15">
      <c r="B3" s="19"/>
      <c r="C3" s="127" t="s">
        <v>103</v>
      </c>
      <c r="D3" s="13"/>
      <c r="E3" s="12"/>
      <c r="F3" s="68"/>
      <c r="G3" s="68"/>
      <c r="H3" s="68"/>
      <c r="I3" s="68"/>
      <c r="J3" s="68"/>
      <c r="K3" s="69"/>
    </row>
    <row r="4" spans="2:11" ht="14.25" x14ac:dyDescent="0.15">
      <c r="B4" s="19"/>
      <c r="C4" s="127"/>
      <c r="D4" s="13"/>
      <c r="E4" s="12"/>
      <c r="F4" s="68"/>
      <c r="G4" s="68"/>
      <c r="H4" s="68"/>
      <c r="I4" s="68"/>
      <c r="J4" s="68"/>
      <c r="K4" s="69"/>
    </row>
    <row r="5" spans="2:11" x14ac:dyDescent="0.15">
      <c r="B5" s="19"/>
      <c r="C5" s="80" t="s">
        <v>104</v>
      </c>
      <c r="D5" s="13"/>
      <c r="E5" s="12"/>
      <c r="F5" s="68"/>
      <c r="G5" s="68"/>
      <c r="H5" s="68"/>
      <c r="I5" s="68"/>
      <c r="J5" s="68"/>
      <c r="K5" s="69"/>
    </row>
    <row r="6" spans="2:11" ht="13.5" thickBot="1" x14ac:dyDescent="0.2">
      <c r="B6" s="19"/>
      <c r="C6" s="80"/>
      <c r="D6" s="80"/>
      <c r="E6" s="80"/>
      <c r="F6" s="68"/>
      <c r="G6" s="68"/>
      <c r="H6" s="68"/>
      <c r="I6" s="68"/>
      <c r="J6" s="68"/>
      <c r="K6" s="69"/>
    </row>
    <row r="7" spans="2:11" ht="21" customHeight="1" thickTop="1" thickBot="1" x14ac:dyDescent="0.2">
      <c r="B7" s="19"/>
      <c r="C7" s="80"/>
      <c r="D7" s="80"/>
      <c r="E7" s="80"/>
      <c r="F7" s="70"/>
      <c r="G7" s="70"/>
      <c r="H7" s="70"/>
      <c r="I7" s="70"/>
      <c r="J7" s="81" t="s">
        <v>53</v>
      </c>
      <c r="K7" s="72"/>
    </row>
    <row r="8" spans="2:11" ht="13.5" thickTop="1" x14ac:dyDescent="0.15">
      <c r="B8" s="19"/>
      <c r="C8" s="80"/>
      <c r="D8" s="80"/>
      <c r="E8" s="80"/>
      <c r="F8" s="70"/>
      <c r="G8" s="70"/>
      <c r="H8" s="70"/>
      <c r="I8" s="71"/>
      <c r="J8" s="71"/>
      <c r="K8" s="72"/>
    </row>
    <row r="9" spans="2:11" ht="14.25" x14ac:dyDescent="0.15">
      <c r="B9" s="19"/>
      <c r="C9" s="127" t="s">
        <v>105</v>
      </c>
      <c r="D9" s="80"/>
      <c r="E9" s="80"/>
      <c r="F9" s="70"/>
      <c r="G9" s="70"/>
      <c r="H9" s="70"/>
      <c r="I9" s="71"/>
      <c r="J9" s="71"/>
      <c r="K9" s="72"/>
    </row>
    <row r="10" spans="2:11" x14ac:dyDescent="0.15">
      <c r="B10" s="19"/>
      <c r="C10" s="80"/>
      <c r="D10" s="80"/>
      <c r="E10" s="80"/>
      <c r="F10" s="70"/>
      <c r="G10" s="70"/>
      <c r="H10" s="70"/>
      <c r="I10" s="71"/>
      <c r="J10" s="71"/>
      <c r="K10" s="72"/>
    </row>
    <row r="11" spans="2:11" x14ac:dyDescent="0.15">
      <c r="B11" s="19"/>
      <c r="C11" s="12" t="s">
        <v>117</v>
      </c>
      <c r="D11" s="80"/>
      <c r="E11" s="80"/>
      <c r="F11" s="80"/>
      <c r="G11" s="80"/>
      <c r="H11" s="80"/>
      <c r="I11" s="80"/>
      <c r="J11" s="71"/>
      <c r="K11" s="72"/>
    </row>
    <row r="12" spans="2:11" x14ac:dyDescent="0.15">
      <c r="B12" s="19"/>
      <c r="C12" s="129" t="s">
        <v>106</v>
      </c>
      <c r="D12" s="80"/>
      <c r="E12" s="80"/>
      <c r="F12" s="80"/>
      <c r="G12" s="80"/>
      <c r="H12" s="80"/>
      <c r="I12" s="80"/>
      <c r="J12" s="71"/>
      <c r="K12" s="72"/>
    </row>
    <row r="13" spans="2:11" x14ac:dyDescent="0.15">
      <c r="B13" s="19"/>
      <c r="C13" s="129"/>
      <c r="D13" s="80"/>
      <c r="E13" s="80"/>
      <c r="F13" s="80"/>
      <c r="G13" s="80"/>
      <c r="H13" s="80"/>
      <c r="I13" s="80"/>
      <c r="J13" s="71"/>
      <c r="K13" s="72"/>
    </row>
    <row r="14" spans="2:11" x14ac:dyDescent="0.15">
      <c r="B14" s="19"/>
      <c r="C14" s="129"/>
      <c r="D14" s="80"/>
      <c r="E14" s="80"/>
      <c r="F14" s="80"/>
      <c r="G14" s="80"/>
      <c r="H14" s="80"/>
      <c r="I14" s="80"/>
      <c r="J14" s="71"/>
      <c r="K14" s="72"/>
    </row>
    <row r="15" spans="2:11" ht="14.25" x14ac:dyDescent="0.15">
      <c r="B15" s="19"/>
      <c r="C15" s="127" t="s">
        <v>112</v>
      </c>
      <c r="D15" s="80"/>
      <c r="E15" s="80"/>
      <c r="F15" s="80"/>
      <c r="G15" s="80"/>
      <c r="H15" s="80"/>
      <c r="I15" s="80"/>
      <c r="J15" s="71"/>
      <c r="K15" s="72"/>
    </row>
    <row r="16" spans="2:11" x14ac:dyDescent="0.15">
      <c r="B16" s="19"/>
      <c r="C16" s="80"/>
      <c r="D16" s="80"/>
      <c r="E16" s="80"/>
      <c r="F16" s="80"/>
      <c r="G16" s="80"/>
      <c r="H16" s="80"/>
      <c r="I16" s="80"/>
      <c r="J16" s="71"/>
      <c r="K16" s="72"/>
    </row>
    <row r="17" spans="2:11" x14ac:dyDescent="0.15">
      <c r="B17" s="19"/>
      <c r="C17" s="12" t="s">
        <v>118</v>
      </c>
      <c r="D17" s="80"/>
      <c r="E17" s="80"/>
      <c r="F17" s="80"/>
      <c r="G17" s="80"/>
      <c r="H17" s="80"/>
      <c r="I17" s="80"/>
      <c r="J17" s="71"/>
      <c r="K17" s="72"/>
    </row>
    <row r="18" spans="2:11" x14ac:dyDescent="0.15">
      <c r="B18" s="19"/>
      <c r="C18" s="129" t="s">
        <v>109</v>
      </c>
      <c r="D18" s="80"/>
      <c r="E18" s="80"/>
      <c r="F18" s="80"/>
      <c r="G18" s="80"/>
      <c r="H18" s="80"/>
      <c r="I18" s="80"/>
      <c r="J18" s="71"/>
      <c r="K18" s="72"/>
    </row>
    <row r="19" spans="2:11" x14ac:dyDescent="0.15">
      <c r="B19" s="19"/>
      <c r="C19" s="129"/>
      <c r="D19" s="80"/>
      <c r="E19" s="80"/>
      <c r="F19" s="80"/>
      <c r="G19" s="80"/>
      <c r="H19" s="80"/>
      <c r="I19" s="80"/>
      <c r="J19" s="71"/>
      <c r="K19" s="72"/>
    </row>
    <row r="20" spans="2:11" x14ac:dyDescent="0.15">
      <c r="B20" s="19"/>
      <c r="C20" s="129"/>
      <c r="D20" s="80"/>
      <c r="E20" s="80"/>
      <c r="F20" s="80"/>
      <c r="G20" s="80"/>
      <c r="H20" s="80"/>
      <c r="I20" s="80"/>
      <c r="J20" s="71"/>
      <c r="K20" s="72"/>
    </row>
    <row r="21" spans="2:11" ht="14.25" x14ac:dyDescent="0.15">
      <c r="B21" s="19"/>
      <c r="C21" s="127" t="s">
        <v>113</v>
      </c>
      <c r="D21" s="80"/>
      <c r="E21" s="80"/>
      <c r="F21" s="80"/>
      <c r="G21" s="80"/>
      <c r="H21" s="80"/>
      <c r="I21" s="80"/>
      <c r="J21" s="71"/>
      <c r="K21" s="72"/>
    </row>
    <row r="22" spans="2:11" x14ac:dyDescent="0.15">
      <c r="B22" s="19"/>
      <c r="C22" s="80"/>
      <c r="D22" s="80"/>
      <c r="E22" s="80"/>
      <c r="F22" s="80"/>
      <c r="G22" s="80"/>
      <c r="H22" s="80"/>
      <c r="I22" s="80"/>
      <c r="J22" s="71"/>
      <c r="K22" s="72"/>
    </row>
    <row r="23" spans="2:11" x14ac:dyDescent="0.15">
      <c r="B23" s="19"/>
      <c r="C23" s="12" t="s">
        <v>107</v>
      </c>
      <c r="D23" s="80"/>
      <c r="E23" s="80"/>
      <c r="F23" s="80"/>
      <c r="G23" s="80"/>
      <c r="H23" s="80"/>
      <c r="I23" s="80"/>
      <c r="J23" s="71"/>
      <c r="K23" s="72"/>
    </row>
    <row r="24" spans="2:11" x14ac:dyDescent="0.15">
      <c r="B24" s="19"/>
      <c r="C24" s="129" t="s">
        <v>108</v>
      </c>
      <c r="D24" s="80"/>
      <c r="E24" s="80"/>
      <c r="F24" s="80"/>
      <c r="G24" s="80"/>
      <c r="H24" s="80"/>
      <c r="I24" s="80"/>
      <c r="J24" s="71"/>
      <c r="K24" s="72"/>
    </row>
    <row r="25" spans="2:11" x14ac:dyDescent="0.15">
      <c r="B25" s="19"/>
      <c r="C25" s="129"/>
      <c r="D25" s="80"/>
      <c r="E25" s="80"/>
      <c r="F25" s="80"/>
      <c r="G25" s="80"/>
      <c r="H25" s="80"/>
      <c r="I25" s="80"/>
      <c r="J25" s="71"/>
      <c r="K25" s="72"/>
    </row>
    <row r="26" spans="2:11" x14ac:dyDescent="0.15">
      <c r="B26" s="19"/>
      <c r="C26" s="129"/>
      <c r="D26" s="80"/>
      <c r="E26" s="80"/>
      <c r="F26" s="80"/>
      <c r="G26" s="80"/>
      <c r="H26" s="80"/>
      <c r="I26" s="80"/>
      <c r="J26" s="71"/>
      <c r="K26" s="72"/>
    </row>
    <row r="27" spans="2:11" ht="14.25" x14ac:dyDescent="0.15">
      <c r="B27" s="19"/>
      <c r="C27" s="127" t="s">
        <v>111</v>
      </c>
      <c r="D27" s="80"/>
      <c r="E27" s="80"/>
      <c r="F27" s="80"/>
      <c r="G27" s="80"/>
      <c r="H27" s="80"/>
      <c r="I27" s="80"/>
      <c r="J27" s="71"/>
      <c r="K27" s="72"/>
    </row>
    <row r="28" spans="2:11" x14ac:dyDescent="0.15">
      <c r="B28" s="19"/>
      <c r="C28" s="80"/>
      <c r="D28" s="80"/>
      <c r="E28" s="80"/>
      <c r="F28" s="80"/>
      <c r="G28" s="80"/>
      <c r="H28" s="80"/>
      <c r="I28" s="80"/>
      <c r="J28" s="71"/>
      <c r="K28" s="72"/>
    </row>
    <row r="29" spans="2:11" x14ac:dyDescent="0.15">
      <c r="B29" s="19"/>
      <c r="C29" s="12" t="s">
        <v>119</v>
      </c>
      <c r="D29" s="80"/>
      <c r="E29" s="80"/>
      <c r="F29" s="80"/>
      <c r="G29" s="80"/>
      <c r="H29" s="80"/>
      <c r="I29" s="80"/>
      <c r="J29" s="71"/>
      <c r="K29" s="72"/>
    </row>
    <row r="30" spans="2:11" x14ac:dyDescent="0.15">
      <c r="B30" s="19"/>
      <c r="C30" s="129" t="s">
        <v>110</v>
      </c>
      <c r="D30" s="80"/>
      <c r="E30" s="80"/>
      <c r="F30" s="80"/>
      <c r="G30" s="80"/>
      <c r="H30" s="80"/>
      <c r="I30" s="80"/>
      <c r="J30" s="71"/>
      <c r="K30" s="72"/>
    </row>
    <row r="31" spans="2:11" x14ac:dyDescent="0.15">
      <c r="B31" s="19"/>
      <c r="C31" s="12"/>
      <c r="D31" s="13"/>
      <c r="E31" s="12"/>
      <c r="F31" s="80"/>
      <c r="G31" s="80"/>
      <c r="H31" s="80"/>
      <c r="I31" s="80"/>
      <c r="J31" s="71"/>
      <c r="K31" s="72"/>
    </row>
    <row r="32" spans="2:11" ht="13.5" thickBot="1" x14ac:dyDescent="0.2">
      <c r="B32" s="15"/>
      <c r="C32" s="16"/>
      <c r="D32" s="17"/>
      <c r="E32" s="16"/>
      <c r="F32" s="74"/>
      <c r="G32" s="74"/>
      <c r="H32" s="75"/>
      <c r="I32" s="75"/>
      <c r="J32" s="75"/>
      <c r="K32" s="76"/>
    </row>
    <row r="33" spans="2:10" ht="13.5" thickBot="1" x14ac:dyDescent="0.2"/>
    <row r="34" spans="2:10" ht="18" customHeight="1" thickTop="1" thickBot="1" x14ac:dyDescent="0.2">
      <c r="J34" s="81" t="s">
        <v>53</v>
      </c>
    </row>
    <row r="35" spans="2:10" ht="13.5" thickTop="1" x14ac:dyDescent="0.15">
      <c r="B35" s="88"/>
      <c r="C35" s="88"/>
      <c r="D35" s="110"/>
    </row>
    <row r="36" spans="2:10" x14ac:dyDescent="0.15">
      <c r="B36" s="88"/>
      <c r="C36" s="88"/>
      <c r="D36" s="110"/>
    </row>
    <row r="9983" spans="2:4" x14ac:dyDescent="0.15">
      <c r="B9983" s="88"/>
      <c r="C9983" s="88"/>
      <c r="D9983" s="110"/>
    </row>
    <row r="9984" spans="2:4" x14ac:dyDescent="0.15">
      <c r="B9984" s="88"/>
      <c r="C9984" s="88"/>
      <c r="D9984" s="110"/>
    </row>
  </sheetData>
  <dataValidations count="1">
    <dataValidation type="decimal" allowBlank="1" showInputMessage="1" showErrorMessage="1" errorTitle="Service Level" error="Please enter a value greater than zero and less than 100%" sqref="D10" xr:uid="{00000000-0002-0000-0400-000000000000}">
      <formula1>0.00001</formula1>
      <formula2>0.999</formula2>
    </dataValidation>
  </dataValidations>
  <hyperlinks>
    <hyperlink ref="J7" location="Changelog!A1" display="Next Page &gt;&gt;" xr:uid="{00000000-0004-0000-0400-000000000000}"/>
    <hyperlink ref="J34" location="Changelog!A1" display="Next Page &gt;&gt;" xr:uid="{00000000-0004-0000-0400-000001000000}"/>
    <hyperlink ref="C12" r:id="rId1" xr:uid="{00000000-0004-0000-0400-000002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K35"/>
  <sheetViews>
    <sheetView workbookViewId="0">
      <selection activeCell="D1" sqref="D1"/>
    </sheetView>
  </sheetViews>
  <sheetFormatPr defaultRowHeight="12.75" x14ac:dyDescent="0.15"/>
  <cols>
    <col min="1" max="1" width="19.28125" customWidth="1"/>
    <col min="2" max="2" width="16.31640625" customWidth="1"/>
    <col min="11" max="11" width="14.5625" customWidth="1"/>
  </cols>
  <sheetData>
    <row r="1" spans="1:11" ht="21" thickBot="1" x14ac:dyDescent="0.3">
      <c r="A1" s="125" t="s">
        <v>116</v>
      </c>
    </row>
    <row r="2" spans="1:11" ht="18.75" customHeight="1" thickTop="1" thickBot="1" x14ac:dyDescent="0.2">
      <c r="K2" s="128" t="s">
        <v>53</v>
      </c>
    </row>
    <row r="3" spans="1:11" ht="13.5" thickTop="1" x14ac:dyDescent="0.15"/>
    <row r="4" spans="1:11" x14ac:dyDescent="0.15">
      <c r="A4" s="44" t="s">
        <v>99</v>
      </c>
      <c r="B4" s="44" t="s">
        <v>79</v>
      </c>
      <c r="C4" s="44" t="s">
        <v>80</v>
      </c>
    </row>
    <row r="5" spans="1:11" x14ac:dyDescent="0.15">
      <c r="B5" s="124">
        <v>42781</v>
      </c>
      <c r="C5" s="42" t="s">
        <v>97</v>
      </c>
    </row>
    <row r="6" spans="1:11" x14ac:dyDescent="0.15">
      <c r="C6" s="42" t="s">
        <v>100</v>
      </c>
    </row>
    <row r="7" spans="1:11" x14ac:dyDescent="0.15">
      <c r="C7" s="49" t="s">
        <v>102</v>
      </c>
    </row>
    <row r="8" spans="1:11" x14ac:dyDescent="0.15">
      <c r="C8" s="130" t="s">
        <v>115</v>
      </c>
    </row>
    <row r="10" spans="1:11" x14ac:dyDescent="0.15">
      <c r="A10" s="44" t="s">
        <v>78</v>
      </c>
      <c r="B10" s="44" t="s">
        <v>79</v>
      </c>
      <c r="C10" s="44" t="s">
        <v>80</v>
      </c>
    </row>
    <row r="11" spans="1:11" x14ac:dyDescent="0.15">
      <c r="A11" s="44"/>
      <c r="B11" s="124">
        <v>42704</v>
      </c>
      <c r="C11" s="42" t="s">
        <v>92</v>
      </c>
    </row>
    <row r="12" spans="1:11" x14ac:dyDescent="0.15">
      <c r="A12" s="44"/>
      <c r="B12" s="44"/>
      <c r="C12" s="42" t="s">
        <v>81</v>
      </c>
    </row>
    <row r="13" spans="1:11" x14ac:dyDescent="0.15">
      <c r="A13" s="44"/>
      <c r="B13" s="44"/>
      <c r="C13" s="42" t="s">
        <v>91</v>
      </c>
    </row>
    <row r="14" spans="1:11" x14ac:dyDescent="0.15">
      <c r="A14" s="44"/>
      <c r="B14" s="44"/>
      <c r="C14" s="42" t="s">
        <v>90</v>
      </c>
    </row>
    <row r="15" spans="1:11" x14ac:dyDescent="0.15">
      <c r="C15" s="42"/>
    </row>
    <row r="16" spans="1:11" x14ac:dyDescent="0.15">
      <c r="C16" s="42"/>
    </row>
    <row r="17" spans="1:3" x14ac:dyDescent="0.15">
      <c r="A17" s="44" t="s">
        <v>67</v>
      </c>
      <c r="B17" s="44" t="s">
        <v>79</v>
      </c>
      <c r="C17" s="44" t="s">
        <v>80</v>
      </c>
    </row>
    <row r="18" spans="1:3" x14ac:dyDescent="0.15">
      <c r="B18" s="124">
        <v>42686</v>
      </c>
      <c r="C18" s="42" t="s">
        <v>68</v>
      </c>
    </row>
    <row r="19" spans="1:3" x14ac:dyDescent="0.15">
      <c r="C19" s="42" t="s">
        <v>69</v>
      </c>
    </row>
    <row r="20" spans="1:3" x14ac:dyDescent="0.15">
      <c r="C20" s="42" t="s">
        <v>93</v>
      </c>
    </row>
    <row r="21" spans="1:3" x14ac:dyDescent="0.15">
      <c r="C21" s="42" t="s">
        <v>70</v>
      </c>
    </row>
    <row r="22" spans="1:3" x14ac:dyDescent="0.15">
      <c r="C22" s="42" t="s">
        <v>94</v>
      </c>
    </row>
    <row r="23" spans="1:3" x14ac:dyDescent="0.15">
      <c r="C23" s="42" t="s">
        <v>71</v>
      </c>
    </row>
    <row r="24" spans="1:3" x14ac:dyDescent="0.15">
      <c r="C24" s="42" t="s">
        <v>95</v>
      </c>
    </row>
    <row r="25" spans="1:3" x14ac:dyDescent="0.15">
      <c r="C25" s="42" t="s">
        <v>72</v>
      </c>
    </row>
    <row r="26" spans="1:3" x14ac:dyDescent="0.15">
      <c r="C26" s="42" t="s">
        <v>96</v>
      </c>
    </row>
    <row r="27" spans="1:3" x14ac:dyDescent="0.15">
      <c r="C27" s="42" t="s">
        <v>73</v>
      </c>
    </row>
    <row r="28" spans="1:3" x14ac:dyDescent="0.15">
      <c r="C28" s="42" t="s">
        <v>74</v>
      </c>
    </row>
    <row r="29" spans="1:3" x14ac:dyDescent="0.15">
      <c r="C29" s="42" t="s">
        <v>75</v>
      </c>
    </row>
    <row r="30" spans="1:3" x14ac:dyDescent="0.15">
      <c r="C30" s="42" t="s">
        <v>77</v>
      </c>
    </row>
    <row r="31" spans="1:3" x14ac:dyDescent="0.15">
      <c r="C31" s="42" t="s">
        <v>76</v>
      </c>
    </row>
    <row r="33" spans="11:11" ht="13.5" thickBot="1" x14ac:dyDescent="0.2"/>
    <row r="34" spans="11:11" ht="14.25" thickTop="1" thickBot="1" x14ac:dyDescent="0.2">
      <c r="K34" s="128" t="s">
        <v>53</v>
      </c>
    </row>
    <row r="35" spans="11:11" ht="13.5" thickTop="1" x14ac:dyDescent="0.15"/>
  </sheetData>
  <hyperlinks>
    <hyperlink ref="K2" location="AgentCalculator!A1" display="Next Page &gt;&gt;" xr:uid="{00000000-0004-0000-0500-000000000000}"/>
    <hyperlink ref="K34" location="AgentCalculator!A1" display="Next Page &gt;&gt;" xr:uid="{00000000-0004-0000-0500-000001000000}"/>
    <hyperlink ref="C7" r:id="rId1" xr:uid="{00000000-0004-0000-05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AgentCalculator</vt:lpstr>
      <vt:lpstr>How to Use</vt:lpstr>
      <vt:lpstr>Day Planner</vt:lpstr>
      <vt:lpstr>Expected Service Level</vt:lpstr>
      <vt:lpstr>Other Tools</vt:lpstr>
      <vt:lpstr>Changelog</vt:lpstr>
      <vt:lpstr>servlevel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Sparkes</dc:creator>
  <cp:lastModifiedBy>King William N</cp:lastModifiedBy>
  <cp:lastPrinted>2017-03-01T02:02:04Z</cp:lastPrinted>
  <dcterms:created xsi:type="dcterms:W3CDTF">2008-11-17T21:44:12Z</dcterms:created>
  <dcterms:modified xsi:type="dcterms:W3CDTF">2017-03-01T02:10:54Z</dcterms:modified>
</cp:coreProperties>
</file>